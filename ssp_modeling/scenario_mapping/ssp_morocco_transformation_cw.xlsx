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214F51CC-1DB3-234C-AFAF-B73ACAD022A1}" xr6:coauthVersionLast="47" xr6:coauthVersionMax="47" xr10:uidLastSave="{00000000-0000-0000-0000-000000000000}"/>
  <bookViews>
    <workbookView xWindow="-38480" yWindow="600" windowWidth="3186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5" i="1" l="1"/>
  <c r="Q36" i="1"/>
  <c r="Q8" i="1"/>
  <c r="P8" i="1"/>
  <c r="P11" i="1"/>
  <c r="Q12" i="1"/>
  <c r="Q17" i="1"/>
  <c r="P17" i="1"/>
  <c r="Q14" i="1"/>
  <c r="O13" i="1"/>
  <c r="P63" i="1"/>
  <c r="P62" i="1"/>
  <c r="P61" i="1"/>
  <c r="P60" i="1"/>
  <c r="P59" i="1"/>
  <c r="P57"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6" i="1"/>
  <c r="P47" i="1"/>
  <c r="P48" i="1"/>
  <c r="P50" i="1"/>
  <c r="P12" i="1"/>
  <c r="Q23" i="1"/>
  <c r="Q25" i="1"/>
  <c r="P25" i="1"/>
  <c r="Q41" i="1" l="1"/>
  <c r="P49" i="1"/>
  <c r="P42" i="1"/>
  <c r="Q42" i="1" s="1"/>
  <c r="Q13" i="1"/>
  <c r="Q11" i="1"/>
  <c r="P23" i="1" l="1"/>
  <c r="P64"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2" i="1"/>
  <c r="P53" i="1"/>
  <c r="P9" i="1"/>
</calcChain>
</file>

<file path=xl/sharedStrings.xml><?xml version="1.0" encoding="utf-8"?>
<sst xmlns="http://schemas.openxmlformats.org/spreadsheetml/2006/main" count="718" uniqueCount="416">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</sst>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5"/>
  <sheetViews>
    <sheetView tabSelected="1" zoomScale="115" workbookViewId="0">
      <pane ySplit="1" topLeftCell="A42" activePane="bottomLeft" state="frozen"/>
      <selection pane="bottomLeft" activeCell="N47" sqref="N4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hidden="1"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hidden="1"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hidden="1"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hidden="1"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hidden="1" customHeight="1" x14ac:dyDescent="0.2">
      <c r="A7" s="22" t="s">
        <v>226</v>
      </c>
      <c r="B7" s="13" t="s">
        <v>20</v>
      </c>
      <c r="C7" s="59" t="s">
        <v>21</v>
      </c>
      <c r="D7" s="59" t="s">
        <v>22</v>
      </c>
      <c r="E7" s="59" t="s">
        <v>227</v>
      </c>
      <c r="F7" s="12" t="s">
        <v>228</v>
      </c>
      <c r="G7" s="12"/>
      <c r="H7" s="12"/>
      <c r="I7" s="12"/>
      <c r="J7" s="12"/>
      <c r="K7" s="23">
        <v>50</v>
      </c>
      <c r="L7" s="16">
        <v>12</v>
      </c>
      <c r="M7" s="17"/>
      <c r="N7" s="79"/>
      <c r="O7" s="10"/>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79"/>
      <c r="O9" s="10"/>
      <c r="P9" s="10">
        <f t="shared" ref="P9:P15" si="1">K9*M9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hidden="1"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62" t="s">
        <v>35</v>
      </c>
      <c r="D12" s="13" t="s">
        <v>36</v>
      </c>
      <c r="E12" s="13" t="s">
        <v>242</v>
      </c>
      <c r="F12" s="12" t="s">
        <v>243</v>
      </c>
      <c r="G12" s="12"/>
      <c r="H12" s="12"/>
      <c r="I12" s="12"/>
      <c r="J12" s="12"/>
      <c r="K12" s="19">
        <v>0.8</v>
      </c>
      <c r="L12" s="16">
        <v>10</v>
      </c>
      <c r="M12" s="17"/>
      <c r="N12" s="79"/>
      <c r="O12" s="10"/>
      <c r="P12" s="10">
        <f t="shared" si="1"/>
        <v>0</v>
      </c>
      <c r="Q12" s="10">
        <f>K12*N12</f>
        <v>0</v>
      </c>
      <c r="R12" s="11"/>
    </row>
    <row r="13" spans="1:18" s="4" customFormat="1" ht="85" hidden="1" customHeight="1" x14ac:dyDescent="0.2">
      <c r="A13" s="12" t="s">
        <v>226</v>
      </c>
      <c r="B13" s="13" t="s">
        <v>34</v>
      </c>
      <c r="C13" s="62" t="s">
        <v>38</v>
      </c>
      <c r="D13" s="13" t="s">
        <v>39</v>
      </c>
      <c r="E13" s="13" t="s">
        <v>244</v>
      </c>
      <c r="F13" s="24" t="s">
        <v>245</v>
      </c>
      <c r="G13" s="12"/>
      <c r="H13" s="12"/>
      <c r="I13" s="12"/>
      <c r="J13" s="12"/>
      <c r="K13" s="19">
        <v>0.8</v>
      </c>
      <c r="L13" s="16">
        <v>12</v>
      </c>
      <c r="M13" s="78"/>
      <c r="N13" s="79"/>
      <c r="O13" s="10" t="e">
        <f>K13*#REF!</f>
        <v>#REF!</v>
      </c>
      <c r="P13" s="66">
        <f t="shared" si="1"/>
        <v>0</v>
      </c>
      <c r="Q13" s="66">
        <f>K13*N13</f>
        <v>0</v>
      </c>
      <c r="R13" s="11"/>
    </row>
    <row r="14" spans="1:18" s="4" customFormat="1" ht="85" hidden="1"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c r="O14" s="10"/>
      <c r="P14" s="10">
        <f t="shared" si="1"/>
        <v>0</v>
      </c>
      <c r="Q14" s="10">
        <f>K14*N14</f>
        <v>0</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c r="O15" s="10"/>
      <c r="P15" s="10">
        <f t="shared" si="1"/>
        <v>0</v>
      </c>
      <c r="Q15" s="10">
        <f>K15*N15</f>
        <v>0</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79"/>
      <c r="O16" s="10"/>
      <c r="P16" s="10"/>
      <c r="Q16" s="11"/>
      <c r="R16" s="11"/>
    </row>
    <row r="17" spans="1:18" s="64" customFormat="1" ht="85" hidden="1"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c r="O17" s="10"/>
      <c r="P17" s="10">
        <f t="shared" ref="P17:P41" si="2">K17*M17</f>
        <v>0</v>
      </c>
      <c r="Q17" s="10">
        <f>K17*N17</f>
        <v>0</v>
      </c>
      <c r="R17" s="63"/>
    </row>
    <row r="18" spans="1:18" s="4" customFormat="1" ht="85" hidden="1"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c r="O18" s="10"/>
      <c r="P18" s="10">
        <f t="shared" si="2"/>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c r="O19" s="10"/>
      <c r="P19" s="10">
        <f t="shared" si="2"/>
        <v>0</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79"/>
      <c r="O20" s="10"/>
      <c r="P20" s="10">
        <f t="shared" si="2"/>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79"/>
      <c r="O21" s="10"/>
      <c r="P21" s="10">
        <f t="shared" si="2"/>
        <v>0</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79"/>
      <c r="O22" s="10"/>
      <c r="P22" s="10">
        <f t="shared" si="2"/>
        <v>0</v>
      </c>
      <c r="Q22" s="11"/>
      <c r="R22" s="11"/>
    </row>
    <row r="23" spans="1:18" s="4" customFormat="1" ht="85" hidden="1"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c r="O23" s="66"/>
      <c r="P23" s="66">
        <f t="shared" si="2"/>
        <v>0</v>
      </c>
      <c r="Q23" s="67">
        <f>K23*N23</f>
        <v>0</v>
      </c>
      <c r="R23" s="11"/>
    </row>
    <row r="24" spans="1:18"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c r="O24" s="10"/>
      <c r="P24" s="10">
        <f t="shared" si="2"/>
        <v>0</v>
      </c>
      <c r="Q24" s="11"/>
      <c r="R24" s="11"/>
    </row>
    <row r="25" spans="1:18" s="4" customFormat="1" ht="85" hidden="1"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c r="O25" s="10"/>
      <c r="P25" s="10">
        <f t="shared" si="2"/>
        <v>0</v>
      </c>
      <c r="Q25" s="67">
        <f>K25*N25</f>
        <v>0</v>
      </c>
      <c r="R25" s="11"/>
    </row>
    <row r="26" spans="1:18"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c r="O26" s="10"/>
      <c r="P26" s="10">
        <f t="shared" si="2"/>
        <v>0</v>
      </c>
      <c r="Q26" s="11"/>
      <c r="R26" s="11"/>
    </row>
    <row r="27" spans="1:18" ht="85" hidden="1" customHeight="1" x14ac:dyDescent="0.2">
      <c r="A27" s="12" t="s">
        <v>212</v>
      </c>
      <c r="B27" s="13" t="s">
        <v>83</v>
      </c>
      <c r="C27" s="13" t="s">
        <v>84</v>
      </c>
      <c r="D27" s="13" t="s">
        <v>85</v>
      </c>
      <c r="E27" s="13" t="s">
        <v>291</v>
      </c>
      <c r="F27" s="12" t="s">
        <v>292</v>
      </c>
      <c r="G27" s="12"/>
      <c r="H27" s="12"/>
      <c r="I27" s="12"/>
      <c r="J27" s="12"/>
      <c r="K27" s="19">
        <v>0.9</v>
      </c>
      <c r="L27" s="16">
        <v>12</v>
      </c>
      <c r="M27" s="17"/>
      <c r="N27" s="79"/>
      <c r="O27" s="10"/>
      <c r="P27" s="10">
        <f t="shared" si="2"/>
        <v>0</v>
      </c>
      <c r="Q27" s="11"/>
      <c r="R27" s="28"/>
    </row>
    <row r="28" spans="1:18"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79"/>
      <c r="O28" s="10"/>
      <c r="P28" s="10" t="e">
        <f t="shared" si="2"/>
        <v>#VALUE!</v>
      </c>
      <c r="Q28" s="11"/>
      <c r="R28" s="11"/>
    </row>
    <row r="29" spans="1:18"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79"/>
      <c r="O29" s="10"/>
      <c r="P29" s="10" t="e">
        <f t="shared" si="2"/>
        <v>#VALUE!</v>
      </c>
      <c r="Q29" s="11"/>
      <c r="R29" s="11"/>
    </row>
    <row r="30" spans="1:18"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79"/>
      <c r="O30" s="10"/>
      <c r="P30" s="10" t="e">
        <f t="shared" si="2"/>
        <v>#VALUE!</v>
      </c>
      <c r="Q30" s="11"/>
      <c r="R30" s="11"/>
    </row>
    <row r="31" spans="1:18" s="4" customFormat="1" ht="85" hidden="1" customHeight="1" x14ac:dyDescent="0.2">
      <c r="A31" s="12" t="s">
        <v>212</v>
      </c>
      <c r="B31" s="13" t="s">
        <v>96</v>
      </c>
      <c r="C31" s="74" t="s">
        <v>97</v>
      </c>
      <c r="D31" s="69" t="s">
        <v>98</v>
      </c>
      <c r="E31" s="13" t="s">
        <v>300</v>
      </c>
      <c r="F31" s="12" t="s">
        <v>301</v>
      </c>
      <c r="G31" s="12"/>
      <c r="H31" s="12"/>
      <c r="I31" s="12"/>
      <c r="J31" s="12"/>
      <c r="K31" s="15" t="s">
        <v>302</v>
      </c>
      <c r="L31" s="16">
        <v>12</v>
      </c>
      <c r="M31" s="17"/>
      <c r="N31" s="79"/>
      <c r="O31" s="10"/>
      <c r="P31" s="10" t="e">
        <f t="shared" si="2"/>
        <v>#VALUE!</v>
      </c>
      <c r="Q31" s="11"/>
      <c r="R31" s="11"/>
    </row>
    <row r="32" spans="1:18" s="4" customFormat="1" ht="85" hidden="1" customHeight="1" x14ac:dyDescent="0.2">
      <c r="A32" s="12" t="s">
        <v>212</v>
      </c>
      <c r="B32" s="13" t="s">
        <v>96</v>
      </c>
      <c r="C32" s="74" t="s">
        <v>100</v>
      </c>
      <c r="D32" s="69" t="s">
        <v>101</v>
      </c>
      <c r="E32" s="13" t="s">
        <v>303</v>
      </c>
      <c r="F32" s="12" t="s">
        <v>304</v>
      </c>
      <c r="G32" s="12"/>
      <c r="H32" s="12"/>
      <c r="I32" s="12"/>
      <c r="J32" s="12"/>
      <c r="K32" s="19">
        <v>0.5</v>
      </c>
      <c r="L32" s="16">
        <v>12</v>
      </c>
      <c r="M32" s="17"/>
      <c r="N32" s="79"/>
      <c r="O32" s="10"/>
      <c r="P32" s="10">
        <f t="shared" si="2"/>
        <v>0</v>
      </c>
      <c r="Q32" s="11"/>
      <c r="R32" s="11"/>
    </row>
    <row r="33" spans="1:18" ht="85" hidden="1"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c r="O33" s="10"/>
      <c r="P33" s="10">
        <f t="shared" si="2"/>
        <v>0</v>
      </c>
      <c r="Q33" s="17"/>
      <c r="R33" s="29"/>
    </row>
    <row r="34" spans="1:18"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79"/>
      <c r="O34" s="10"/>
      <c r="P34" s="10">
        <f t="shared" si="2"/>
        <v>0</v>
      </c>
      <c r="Q34" s="11"/>
      <c r="R34" s="11"/>
    </row>
    <row r="35" spans="1:18"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79"/>
      <c r="O35" s="10"/>
      <c r="P35" s="10">
        <f t="shared" si="2"/>
        <v>0</v>
      </c>
      <c r="Q35" s="11"/>
      <c r="R35" s="11"/>
    </row>
    <row r="36" spans="1:18" s="4" customFormat="1" ht="85" hidden="1" customHeight="1" x14ac:dyDescent="0.2">
      <c r="A36" s="12" t="s">
        <v>226</v>
      </c>
      <c r="B36" s="13" t="s">
        <v>113</v>
      </c>
      <c r="C36" s="65" t="s">
        <v>114</v>
      </c>
      <c r="D36" s="13" t="s">
        <v>115</v>
      </c>
      <c r="E36" s="13" t="s">
        <v>314</v>
      </c>
      <c r="F36" s="12" t="s">
        <v>315</v>
      </c>
      <c r="G36" s="12"/>
      <c r="H36" s="12"/>
      <c r="I36" s="12"/>
      <c r="J36" s="12"/>
      <c r="K36" s="20">
        <v>0.5</v>
      </c>
      <c r="L36" s="16">
        <v>10</v>
      </c>
      <c r="M36" s="17"/>
      <c r="N36" s="79"/>
      <c r="O36" s="10"/>
      <c r="P36" s="10">
        <f t="shared" si="2"/>
        <v>0</v>
      </c>
      <c r="Q36" s="10">
        <f>K36*N36</f>
        <v>0</v>
      </c>
      <c r="R36" s="11"/>
    </row>
    <row r="37" spans="1:18" s="4" customFormat="1" ht="85" hidden="1" customHeight="1" x14ac:dyDescent="0.2">
      <c r="A37" s="12" t="s">
        <v>226</v>
      </c>
      <c r="B37" s="13" t="s">
        <v>113</v>
      </c>
      <c r="C37" s="65" t="s">
        <v>117</v>
      </c>
      <c r="D37" s="13" t="s">
        <v>118</v>
      </c>
      <c r="E37" s="13" t="s">
        <v>316</v>
      </c>
      <c r="F37" s="12" t="s">
        <v>317</v>
      </c>
      <c r="G37" s="12"/>
      <c r="H37" s="12"/>
      <c r="I37" s="12"/>
      <c r="J37" s="12"/>
      <c r="K37" s="19">
        <v>0.5</v>
      </c>
      <c r="L37" s="16">
        <v>10</v>
      </c>
      <c r="M37" s="17"/>
      <c r="N37" s="79"/>
      <c r="O37" s="10"/>
      <c r="P37" s="10">
        <f t="shared" si="2"/>
        <v>0</v>
      </c>
      <c r="Q37" s="11"/>
      <c r="R37" s="11"/>
    </row>
    <row r="38" spans="1:18" s="4" customFormat="1" ht="85" hidden="1" customHeight="1" x14ac:dyDescent="0.2">
      <c r="A38" s="12" t="s">
        <v>226</v>
      </c>
      <c r="B38" s="13" t="s">
        <v>113</v>
      </c>
      <c r="C38" s="13" t="s">
        <v>120</v>
      </c>
      <c r="D38" s="13" t="s">
        <v>121</v>
      </c>
      <c r="E38" s="13" t="s">
        <v>318</v>
      </c>
      <c r="F38" s="12" t="s">
        <v>319</v>
      </c>
      <c r="G38" s="12"/>
      <c r="H38" s="12"/>
      <c r="I38" s="12"/>
      <c r="J38" s="12"/>
      <c r="K38" s="20">
        <v>0.95</v>
      </c>
      <c r="L38" s="16">
        <v>10</v>
      </c>
      <c r="M38" s="17"/>
      <c r="N38" s="79"/>
      <c r="O38" s="10"/>
      <c r="P38" s="10">
        <f t="shared" si="2"/>
        <v>0</v>
      </c>
      <c r="Q38" s="11"/>
      <c r="R38" s="11"/>
    </row>
    <row r="39" spans="1:18"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79"/>
      <c r="O39" s="10"/>
      <c r="P39" s="10">
        <f t="shared" si="2"/>
        <v>0</v>
      </c>
      <c r="Q39" s="11"/>
      <c r="R39" s="11"/>
    </row>
    <row r="40" spans="1:18"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79"/>
      <c r="O40" s="10"/>
      <c r="P40" s="10">
        <f t="shared" si="2"/>
        <v>0</v>
      </c>
      <c r="Q40" s="11"/>
      <c r="R40" s="11"/>
    </row>
    <row r="41" spans="1:18"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c r="O41" s="10"/>
      <c r="P41" s="10">
        <f t="shared" si="2"/>
        <v>0</v>
      </c>
      <c r="Q41" s="10">
        <f>K41*N41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v>1</v>
      </c>
      <c r="N42" s="17">
        <v>1</v>
      </c>
      <c r="O42" s="10"/>
      <c r="P42" s="10">
        <f>K42*N42</f>
        <v>0.25</v>
      </c>
      <c r="Q42" s="10">
        <f>K42*P42</f>
        <v>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c r="O43" s="10"/>
      <c r="P43" s="10">
        <f t="shared" ref="P43:P50" si="3">K43*N43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79"/>
      <c r="O44" s="10"/>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10</v>
      </c>
      <c r="M45" s="17">
        <v>0.5</v>
      </c>
      <c r="N45" s="79">
        <v>1.35</v>
      </c>
      <c r="O45" s="10"/>
      <c r="P45" s="10">
        <f>K45*N45</f>
        <v>0.94499999999999995</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c r="O46" s="10"/>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79">
        <v>0.8</v>
      </c>
      <c r="O47" s="10"/>
      <c r="P47" s="10">
        <f t="shared" si="3"/>
        <v>0.55999999999999994</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79"/>
      <c r="O48" s="10"/>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79">
        <v>2</v>
      </c>
      <c r="O49" s="10"/>
      <c r="P49" s="10">
        <f t="shared" si="3"/>
        <v>0.4</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79">
        <v>1</v>
      </c>
      <c r="O50" s="10"/>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79"/>
      <c r="O51" s="10"/>
      <c r="P51" s="10"/>
      <c r="Q51" s="11"/>
      <c r="R51" s="11"/>
    </row>
    <row r="52" spans="1:18"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c r="N52" s="79"/>
      <c r="O52" s="10"/>
      <c r="P52" s="10">
        <f>K52*M52</f>
        <v>0</v>
      </c>
      <c r="Q52" s="11"/>
      <c r="R52" s="11"/>
    </row>
    <row r="53" spans="1:18"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79"/>
      <c r="O53" s="10"/>
      <c r="P53" s="10">
        <f>K53*M53</f>
        <v>0</v>
      </c>
      <c r="Q53" s="11"/>
      <c r="R53" s="11"/>
    </row>
    <row r="54" spans="1:18"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79"/>
      <c r="O54" s="10"/>
      <c r="P54" s="10"/>
      <c r="Q54" s="11"/>
      <c r="R54" s="11"/>
    </row>
    <row r="55" spans="1:18"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79"/>
      <c r="O55" s="10"/>
      <c r="P55" s="10"/>
      <c r="Q55" s="11"/>
      <c r="R55" s="11"/>
    </row>
    <row r="56" spans="1:18"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79"/>
      <c r="O56" s="10"/>
      <c r="P56" s="10"/>
      <c r="Q56" s="11"/>
      <c r="R56" s="11"/>
    </row>
    <row r="57" spans="1:18" s="4" customFormat="1" ht="85" hidden="1" customHeight="1" x14ac:dyDescent="0.2">
      <c r="A57" s="12" t="s">
        <v>369</v>
      </c>
      <c r="B57" s="13" t="s">
        <v>182</v>
      </c>
      <c r="C57" s="74" t="s">
        <v>183</v>
      </c>
      <c r="D57" s="69" t="s">
        <v>184</v>
      </c>
      <c r="E57" s="13" t="s">
        <v>383</v>
      </c>
      <c r="F57" s="12" t="s">
        <v>384</v>
      </c>
      <c r="G57" s="12"/>
      <c r="H57" s="12"/>
      <c r="I57" s="12" t="s">
        <v>385</v>
      </c>
      <c r="J57" s="12" t="s">
        <v>386</v>
      </c>
      <c r="K57" s="19">
        <v>0.3</v>
      </c>
      <c r="L57" s="16">
        <v>12</v>
      </c>
      <c r="M57" s="17"/>
      <c r="N57" s="79"/>
      <c r="O57" s="10"/>
      <c r="P57" s="10">
        <f>K57*M57</f>
        <v>0</v>
      </c>
      <c r="Q57" s="11"/>
      <c r="R57" s="11"/>
    </row>
    <row r="58" spans="1:18" s="4" customFormat="1" ht="85" hidden="1" customHeight="1" x14ac:dyDescent="0.2">
      <c r="A58" s="12" t="s">
        <v>369</v>
      </c>
      <c r="B58" s="13" t="s">
        <v>182</v>
      </c>
      <c r="C58" s="74" t="s">
        <v>186</v>
      </c>
      <c r="D58" s="69" t="s">
        <v>187</v>
      </c>
      <c r="E58" s="13" t="s">
        <v>387</v>
      </c>
      <c r="F58" s="12" t="s">
        <v>388</v>
      </c>
      <c r="G58" s="12"/>
      <c r="H58" s="12"/>
      <c r="I58" s="12"/>
      <c r="J58" s="12"/>
      <c r="K58" s="15" t="s">
        <v>389</v>
      </c>
      <c r="L58" s="16">
        <v>12</v>
      </c>
      <c r="M58" s="17"/>
      <c r="N58" s="79"/>
      <c r="O58" s="10"/>
      <c r="P58" s="10"/>
      <c r="Q58" s="11"/>
      <c r="R58" s="11"/>
    </row>
    <row r="59" spans="1:18" s="4" customFormat="1" ht="85" hidden="1" customHeight="1" x14ac:dyDescent="0.2">
      <c r="A59" s="12" t="s">
        <v>369</v>
      </c>
      <c r="B59" s="13" t="s">
        <v>182</v>
      </c>
      <c r="C59" s="74" t="s">
        <v>189</v>
      </c>
      <c r="D59" s="71" t="s">
        <v>167</v>
      </c>
      <c r="E59" s="59" t="s">
        <v>390</v>
      </c>
      <c r="F59" s="22" t="s">
        <v>391</v>
      </c>
      <c r="G59" s="12"/>
      <c r="H59" s="12"/>
      <c r="I59" s="12" t="s">
        <v>392</v>
      </c>
      <c r="J59" s="12" t="s">
        <v>393</v>
      </c>
      <c r="K59" s="15">
        <v>0.85</v>
      </c>
      <c r="L59" s="16">
        <v>12</v>
      </c>
      <c r="M59" s="17"/>
      <c r="N59" s="79"/>
      <c r="O59" s="10"/>
      <c r="P59" s="10">
        <f t="shared" ref="P59:P64" si="4">K59*M59</f>
        <v>0</v>
      </c>
      <c r="Q59" s="11"/>
      <c r="R59" s="11"/>
    </row>
    <row r="60" spans="1:18" s="4" customFormat="1" ht="85" hidden="1" customHeight="1" x14ac:dyDescent="0.2">
      <c r="A60" s="12" t="s">
        <v>369</v>
      </c>
      <c r="B60" s="13" t="s">
        <v>182</v>
      </c>
      <c r="C60" s="74" t="s">
        <v>191</v>
      </c>
      <c r="D60" s="69" t="s">
        <v>192</v>
      </c>
      <c r="E60" s="13" t="s">
        <v>394</v>
      </c>
      <c r="F60" s="12" t="s">
        <v>395</v>
      </c>
      <c r="G60" s="12"/>
      <c r="H60" s="12"/>
      <c r="I60" s="12"/>
      <c r="J60" s="12"/>
      <c r="K60" s="15">
        <v>0.85</v>
      </c>
      <c r="L60" s="16">
        <v>12</v>
      </c>
      <c r="M60" s="17"/>
      <c r="N60" s="79"/>
      <c r="O60" s="10"/>
      <c r="P60" s="10">
        <f t="shared" si="4"/>
        <v>0</v>
      </c>
      <c r="Q60" s="11"/>
      <c r="R60" s="11"/>
    </row>
    <row r="61" spans="1:18" s="4" customFormat="1" ht="85" hidden="1" customHeight="1" x14ac:dyDescent="0.2">
      <c r="A61" s="12" t="s">
        <v>369</v>
      </c>
      <c r="B61" s="13" t="s">
        <v>182</v>
      </c>
      <c r="C61" s="74" t="s">
        <v>194</v>
      </c>
      <c r="D61" s="69" t="s">
        <v>195</v>
      </c>
      <c r="E61" s="13" t="s">
        <v>396</v>
      </c>
      <c r="F61" s="12" t="s">
        <v>397</v>
      </c>
      <c r="G61" s="12"/>
      <c r="H61" s="12"/>
      <c r="I61" s="12"/>
      <c r="J61" s="12"/>
      <c r="K61" s="15">
        <v>0.85</v>
      </c>
      <c r="L61" s="16">
        <v>12</v>
      </c>
      <c r="M61" s="17"/>
      <c r="N61" s="79"/>
      <c r="O61" s="10"/>
      <c r="P61" s="10">
        <f t="shared" si="4"/>
        <v>0</v>
      </c>
      <c r="Q61" s="11"/>
      <c r="R61" s="11"/>
    </row>
    <row r="62" spans="1:18" s="4" customFormat="1" ht="85" hidden="1" customHeight="1" x14ac:dyDescent="0.2">
      <c r="A62" s="40" t="s">
        <v>369</v>
      </c>
      <c r="B62" s="61" t="s">
        <v>182</v>
      </c>
      <c r="C62" s="76" t="s">
        <v>197</v>
      </c>
      <c r="D62" s="72" t="s">
        <v>198</v>
      </c>
      <c r="E62" s="61" t="s">
        <v>398</v>
      </c>
      <c r="F62" s="40" t="s">
        <v>399</v>
      </c>
      <c r="G62" s="40"/>
      <c r="H62" s="40"/>
      <c r="I62" s="40" t="s">
        <v>400</v>
      </c>
      <c r="J62" s="40" t="s">
        <v>401</v>
      </c>
      <c r="K62" s="41">
        <v>1</v>
      </c>
      <c r="L62" s="42">
        <v>12</v>
      </c>
      <c r="M62" s="43"/>
      <c r="N62" s="79"/>
      <c r="O62" s="10"/>
      <c r="P62" s="10">
        <f t="shared" si="4"/>
        <v>0</v>
      </c>
      <c r="Q62" s="11"/>
      <c r="R62" s="11"/>
    </row>
    <row r="63" spans="1:18" s="4" customFormat="1" ht="85" hidden="1" customHeight="1" x14ac:dyDescent="0.2">
      <c r="A63" s="44" t="s">
        <v>369</v>
      </c>
      <c r="B63" s="45" t="s">
        <v>182</v>
      </c>
      <c r="C63" s="77" t="s">
        <v>200</v>
      </c>
      <c r="D63" s="73" t="s">
        <v>201</v>
      </c>
      <c r="E63" s="45" t="s">
        <v>402</v>
      </c>
      <c r="F63" s="44" t="s">
        <v>403</v>
      </c>
      <c r="G63" s="44"/>
      <c r="H63" s="44"/>
      <c r="I63" s="44" t="s">
        <v>404</v>
      </c>
      <c r="J63" s="44" t="s">
        <v>405</v>
      </c>
      <c r="K63" s="46">
        <v>0.95</v>
      </c>
      <c r="L63" s="47">
        <v>12</v>
      </c>
      <c r="M63" s="48"/>
      <c r="N63" s="79"/>
      <c r="O63" s="10"/>
      <c r="P63" s="10">
        <f t="shared" si="4"/>
        <v>0</v>
      </c>
      <c r="Q63" s="11"/>
      <c r="R63" s="11"/>
    </row>
    <row r="64" spans="1:18" ht="18.75" hidden="1" customHeight="1" x14ac:dyDescent="0.2">
      <c r="A64" s="45" t="s">
        <v>226</v>
      </c>
      <c r="B64" s="45" t="s">
        <v>407</v>
      </c>
      <c r="C64" s="45" t="s">
        <v>406</v>
      </c>
      <c r="D64" s="45" t="s">
        <v>408</v>
      </c>
      <c r="E64" s="45"/>
      <c r="F64" s="45"/>
      <c r="G64" s="45"/>
      <c r="H64" s="45"/>
      <c r="I64" s="45"/>
      <c r="J64" s="45"/>
      <c r="K64" s="51">
        <v>1.5</v>
      </c>
      <c r="L64" s="52">
        <v>12</v>
      </c>
      <c r="M64" s="49"/>
      <c r="N64" s="17"/>
      <c r="O64" s="50"/>
      <c r="P64" s="50">
        <f t="shared" si="4"/>
        <v>0</v>
      </c>
      <c r="Q64" s="11"/>
      <c r="R64" s="28"/>
    </row>
    <row r="65" spans="1:18" ht="18.75" hidden="1" customHeight="1" x14ac:dyDescent="0.2">
      <c r="A65" s="31"/>
      <c r="B65" s="31"/>
      <c r="C65" s="31"/>
      <c r="D65" s="31"/>
      <c r="E65" s="31"/>
      <c r="F65" s="31"/>
      <c r="G65" s="31"/>
      <c r="H65" s="31"/>
      <c r="I65" s="31"/>
      <c r="J65" s="31"/>
      <c r="K65" s="10"/>
      <c r="L65" s="32"/>
      <c r="M65" s="11"/>
      <c r="N65" s="11"/>
      <c r="O65" s="33"/>
      <c r="P65" s="33"/>
      <c r="Q65" s="11"/>
      <c r="R65" s="27"/>
    </row>
  </sheetData>
  <autoFilter ref="A1:R65" xr:uid="{00000000-0001-0000-0000-000000000000}">
    <filterColumn colId="1">
      <filters>
        <filter val="TRNS"/>
      </filters>
    </filterColumn>
  </autoFilter>
  <conditionalFormatting sqref="M1">
    <cfRule type="colorScale" priority="6">
      <colorScale>
        <cfvo type="min"/>
        <cfvo type="percentile" val="50"/>
        <cfvo type="max"/>
        <color rgb="FFF8696B"/>
        <color rgb="FFFFEB84"/>
        <color rgb="FF63BE7B"/>
      </colorScale>
    </cfRule>
  </conditionalFormatting>
  <conditionalFormatting sqref="M8">
    <cfRule type="colorScale" priority="2">
      <colorScale>
        <cfvo type="min"/>
        <cfvo type="percentile" val="50"/>
        <cfvo type="max"/>
        <color rgb="FFF8696B"/>
        <color rgb="FFFFEB84"/>
        <color rgb="FF63BE7B"/>
      </colorScale>
    </cfRule>
  </conditionalFormatting>
  <conditionalFormatting sqref="M10">
    <cfRule type="colorScale" priority="3">
      <colorScale>
        <cfvo type="min"/>
        <cfvo type="percentile" val="50"/>
        <cfvo type="max"/>
        <color rgb="FFF8696B"/>
        <color rgb="FFFFEB84"/>
        <color rgb="FF63BE7B"/>
      </colorScale>
    </cfRule>
  </conditionalFormatting>
  <conditionalFormatting sqref="M64:N1048576 M2:M7 M11:M63 M9">
    <cfRule type="colorScale" priority="9">
      <colorScale>
        <cfvo type="min"/>
        <cfvo type="percentile" val="50"/>
        <cfvo type="max"/>
        <color rgb="FFF8696B"/>
        <color rgb="FFFFEB84"/>
        <color rgb="FF63BE7B"/>
      </colorScale>
    </cfRule>
  </conditionalFormatting>
  <conditionalFormatting sqref="N1">
    <cfRule type="colorScale" priority="7">
      <colorScale>
        <cfvo type="min"/>
        <cfvo type="percentile" val="50"/>
        <cfvo type="max"/>
        <color rgb="FFF8696B"/>
        <color rgb="FFFFEB84"/>
        <color rgb="FF63BE7B"/>
      </colorScale>
    </cfRule>
  </conditionalFormatting>
  <conditionalFormatting sqref="N2:N10 N12:N41 N43:N63">
    <cfRule type="colorScale" priority="5">
      <colorScale>
        <cfvo type="min"/>
        <cfvo type="percentile" val="50"/>
        <cfvo type="max"/>
        <color rgb="FFF8696B"/>
        <color rgb="FFFFEB84"/>
        <color rgb="FF63BE7B"/>
      </colorScale>
    </cfRule>
  </conditionalFormatting>
  <conditionalFormatting sqref="N11">
    <cfRule type="colorScale" priority="4">
      <colorScale>
        <cfvo type="min"/>
        <cfvo type="percentile" val="50"/>
        <cfvo type="max"/>
        <color rgb="FFF8696B"/>
        <color rgb="FFFFEB84"/>
        <color rgb="FF63BE7B"/>
      </colorScale>
    </cfRule>
  </conditionalFormatting>
  <conditionalFormatting sqref="N4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2026-05-19T04:12:14Z</dcterms:modified>
</cp:coreProperties>
</file>