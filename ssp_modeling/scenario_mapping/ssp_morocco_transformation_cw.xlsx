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05619E08-449D-FF4C-891F-FE0DE5089343}" xr6:coauthVersionLast="47" xr6:coauthVersionMax="47" xr10:uidLastSave="{00000000-0000-0000-0000-000000000000}"/>
  <bookViews>
    <workbookView xWindow="0" yWindow="660" windowWidth="34560" windowHeight="2168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1" l="1"/>
  <c r="Q26" i="1"/>
  <c r="Q8" i="1"/>
  <c r="P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R53" i="1" l="1"/>
  <c r="Q45" i="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<sst xmlns="http://schemas.openxmlformats.org/spreadsheetml/2006/main" count="758" uniqueCount="431">
  <si>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</si>
  <si>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</si>
  <si>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</si>
  <si>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</si>
  <si>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</si>
  <si>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</si>
  <si>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</si>
  <si>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</si>
  <si>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</si>
  <si>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</si>
  <si>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</si>
  <si>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</si>
  <si>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</si>
  <si>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</si>
  <si>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</si>
  <si>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</si>
  <si>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</si>
  <si>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</si>
  <si>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</si>
  <si>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</si>
  <si>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</si>
  <si>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</si>
  <si>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</si>
  <si>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</si>
  <si>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</si>
  <si>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</si>
  <si>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</si>
  <si>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</si>
  <si>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</si>
  <si>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</si>
  <si>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</si>
  <si>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</si>
  <si>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</si>
  <si>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</si>
  <si>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</si>
  <si>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</si>
  <si>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</si>
  <si>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</si>
  <si>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</si>
  <si>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</si>
  <si>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</si>
  <si>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</si>
  <si>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</si>
  <si>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</si>
  <si>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</si>
  <si>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</si>
  <si>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</si>
  <si>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</si>
  <si>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</si>
  <si>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</si>
  <si>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</si>
  <si>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</si>
  <si>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</si>
  <si>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</si>
  <si>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</si>
  <si>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</si>
  <si>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</si>
  <si>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</si>
  <si>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</si>
  <si>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</si>
  <si>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</si>
  <si>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</si>
  <si>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</si>
  <si>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</si>
  <si>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</si>
  <si>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</si>
  <si>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</si>
  <si>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</si>
  <si>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</si>
  <si>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</si>
  <si>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</si>
  <si>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</si>
  <si>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</si>
  <si>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</si>
  <si>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</si>
  <si>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</si>
  <si>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</si>
  <si>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</si>
  <si>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</si>
  <si>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</si>
  <si>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</si>
  <si>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</si>
  <si>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</si>
  <si>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</si>
  <si>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</si>
  <si>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</si>
  <si>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</si>
  <si>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</si>
  <si>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</si>
  <si>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</si>
  <si>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</si>
  <si>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</si>
  <si>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</si>
  <si>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</si>
  <si>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</si>
  <si>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</si>
  <si>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</si>
  <si>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</si>
  <si>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</si>
  <si>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</si>
  <si>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</si>
  <si>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</si>
  <si>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</si>
  <si>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</si>
  <si>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</si>
  <si>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</si>
  <si>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</si>
  <si>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</si>
  <si>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</si>
  <si>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</si>
  <si>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</si>
  <si>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</si>
  <si>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</si>
  <si>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</si>
  <si>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</si>
  <si>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</si>
  <si>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</si>
  <si>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</si>
  <si>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</si>
  <si>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</si>
  <si>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</si>
  <si>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</si>
  <si>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</si>
  <si>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</si>
  <si>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</si>
  <si>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</si>
  <si>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</si>
  <si>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</si>
  <si>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</si>
  <si>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</si>
  <si>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</si>
  <si>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</si>
  <si>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</si>
  <si>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</si>
  <si>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</si>
  <si>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</si>
  <si>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</si>
  <si>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</si>
  <si>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</si>
  <si>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</si>
  <si>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</si>
  <si>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</si>
  <si>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</si>
  <si>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</si>
  <si>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</si>
  <si>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</si>
  <si>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</si>
  <si>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</si>
  <si>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</si>
  <si>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</si>
  <si>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</si>
  <si>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</si>
  <si>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</si>
  <si>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</si>
  <si>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</si>
  <si>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</si>
  <si>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</si>
  <si>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</si>
  <si>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</si>
  <si>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</si>
  <si>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</si>
  <si>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</si>
  <si>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</si>
  <si>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</si>
  <si>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</si>
  <si>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</si>
  <si>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</si>
  <si>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</si>
  <si>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</si>
  <si>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</si>
  <si>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</si>
  <si>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</si>
  <si>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</si>
  <si>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</si>
  <si>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</si>
  <si>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</si>
  <si>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</si>
  <si>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</si>
  <si>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</si>
  <si>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</si>
  <si>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</si>
  <si>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</si>
  <si>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</si>
  <si>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</si>
  <si>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</si>
  <si>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</si>
  <si>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</si>
  <si>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</si>
  <si>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</si>
  <si>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</si>
  <si>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</si>
  <si>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</si>
  <si>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</si>
  <si>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</si>
  <si>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</si>
  <si>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</si>
  <si>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</si>
  <si>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</si>
  <si>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</si>
  <si>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</si>
  <si>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</si>
  <si>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</si>
  <si>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</si>
  <si>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</si>
  <si>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</si>
  <si>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</si>
  <si>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</si>
  <si>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</si>
  <si>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</si>
  <si>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</si>
  <si>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</si>
  <si>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</si>
  <si>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</si>
  <si>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</si>
  <si>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</si>
  <si>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</si>
  <si>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</si>
  <si>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</si>
  <si>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</si>
  <si>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</si>
  <si>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</si>
  <si>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</si>
  <si>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</si>
  <si>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</si>
  <si>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</si>
  <si>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</si>
  <si>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</si>
  <si>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</si>
  <si>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</si>
  <si>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</si>
  <si>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</si>
  <si>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</si>
  <si>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</si>
  <si>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</si>
  <si>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</si>
  <si>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</si>
  <si>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</si>
  <si>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</si>
  <si>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</si>
  <si>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</si>
  <si>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</si>
  <si>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</si>
  <si>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</si>
  <si>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</si>
  <si>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</si>
  <si>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</si>
  <si>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</si>
  <si>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</si>
  <si>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</si>
  <si>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</si>
  <si>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</si>
  <si>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</si>
  <si>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</si>
  <si>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</si>
  <si>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</si>
  <si>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</si>
  <si>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</si>
  <si>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</si>
  <si>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</si>
  <si>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</si>
  <si>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</si>
  <si>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</si>
  <si>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</si>
  <si>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</si>
  <si>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</si>
  <si>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</si>
  <si>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</si>
  <si>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</si>
  <si>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</si>
  <si>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</si>
  <si>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</si>
  <si>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</si>
  <si>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</si>
  <si>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</si>
  <si>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</si>
  <si>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</si>
  <si>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</si>
  <si>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</si>
  <si>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</si>
  <si>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</si>
  <si>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</si>
  <si>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</si>
  <si>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</si>
  <si>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</si>
  <si>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</si>
  <si>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</si>
  <si>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</si>
  <si>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</si>
  <si>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</si>
  <si>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</si>
  <si>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</si>
  <si>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</si>
  <si>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</si>
  <si>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</si>
  <si>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</si>
  <si>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</si>
  <si>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</si>
  <si>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</si>
  <si>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</si>
  <si>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</si>
  <si>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</si>
  <si>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</si>
  <si>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</si>
  <si>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</si>
  <si>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</si>
  <si>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</si>
  <si>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</si>
  <si>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</si>
  <si>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</si>
  <si>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</si>
  <si>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</si>
  <si>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</si>
  <si>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</si>
  <si>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</si>
  <si>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</si>
  <si>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</si>
  <si>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</si>
  <si>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</si>
  <si>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</si>
  <si>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</si>
  <si>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</si>
  <si>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</si>
  <si>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</si>
  <si>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</si>
  <si>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</si>
  <si>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</si>
  <si>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</si>
  <si>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</si>
  <si>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</si>
  <si>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</si>
  <si>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</si>
  <si>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</si>
  <si>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</si>
  <si>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</si>
  <si>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</si>
  <si>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</si>
  <si>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</si>
  <si>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</si>
  <si>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</si>
  <si>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</si>
  <si>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</si>
  <si>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</si>
  <si>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</si>
  <si>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</si>
  <si>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</si>
  <si>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</si>
  <si>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</si>
  <si>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</si>
  <si>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</si>
  <si>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</si>
  <si>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</si>
  <si>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</si>
  <si>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</si>
  <si>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</si>
  <si>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</si>
  <si>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</si>
  <si>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</si>
  <si>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</si>
  <si>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</si>
  <si>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</si>
  <si>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</si>
  <si>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</si>
  <si>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</si>
  <si>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</si>
  <si>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</si>
  <si>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</si>
  <si>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</si>
  <si>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</si>
  <si>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</si>
  <si>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</si>
  <si>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</si>
  <si>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</si>
  <si>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</si>
  <si>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</si>
  <si>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</si>
  <si>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</si>
  <si>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</si>
  <si>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</si>
  <si>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</si>
  <si>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</si>
  <si>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</si>
  <si>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</si>
  <si>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</si>
  <si>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</si>
  <si>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</si>
  <si>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</si>
  <si>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</si>
  <si>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</si>
  <si>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</si>
  <si>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</si>
  <si>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</si>
  <si>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</si>
  <si>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</si>
  <si>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</si>
  <si>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</si>
  <si>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</si>
  <si>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</si>
  <si>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</si>
  <si>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</si>
  <si>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</si>
  <si>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</si>
  <si>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</si>
  <si>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</si>
  <si>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</si>
  <si>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</si>
  <si>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</si>
  <si>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</si>
  <si>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</si>
  <si>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</si>
  <si>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</si>
  <si>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</si>
  <si>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</si>
  <si>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</si>
  <si>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</si>
  <si>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</si>
  <si>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</si>
  <si>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</si>
  <si>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</si>
  <si>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</si>
  <si>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</si>
  <si>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</si>
  <si>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</si>
  <si>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</si>
  <si>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</si>
  <si>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</si>
  <si>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</si>
  <si>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</si>
  <si>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</si>
  <si>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</si>
  <si>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</si>
  <si>
    <t>strategy_bau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</si>
</sst>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70"/>
  <sheetViews>
    <sheetView tabSelected="1" zoomScale="115" workbookViewId="0">
      <pane ySplit="1" topLeftCell="A2" activePane="bottomLeft" state="frozen"/>
      <selection pane="bottomLeft" activeCell="M1" sqref="M1"/>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430</v>
      </c>
      <c r="N1" s="9" t="s">
        <v>414</v>
      </c>
      <c r="O1" s="10"/>
      <c r="P1" s="10"/>
      <c r="Q1" s="11"/>
      <c r="R1" s="11"/>
    </row>
    <row r="2" spans="1:18" s="4" customFormat="1" ht="20.25" hidden="1"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hidden="1" customHeight="1" x14ac:dyDescent="0.2">
      <c r="A3" s="12" t="s">
        <v>212</v>
      </c>
      <c r="B3" s="51" t="s">
        <v>4</v>
      </c>
      <c r="C3" s="68" t="s">
        <v>8</v>
      </c>
      <c r="D3" s="63" t="s">
        <v>9</v>
      </c>
      <c r="E3" s="52" t="s">
        <v>215</v>
      </c>
      <c r="F3" s="18" t="s">
        <v>216</v>
      </c>
      <c r="G3" s="12"/>
      <c r="H3" s="12"/>
      <c r="I3" s="12"/>
      <c r="J3" s="12"/>
      <c r="K3" s="19">
        <v>0.5</v>
      </c>
      <c r="L3" s="16">
        <v>10</v>
      </c>
      <c r="M3" s="17"/>
      <c r="N3" s="17">
        <v>1</v>
      </c>
      <c r="O3" s="10"/>
      <c r="P3" s="10">
        <f t="shared" si="0"/>
        <v>0</v>
      </c>
      <c r="Q3" s="11"/>
      <c r="R3" s="11"/>
    </row>
    <row r="4" spans="1:18" s="4" customFormat="1" ht="86" hidden="1" customHeight="1" x14ac:dyDescent="0.2">
      <c r="A4" s="12" t="s">
        <v>212</v>
      </c>
      <c r="B4" s="13" t="s">
        <v>4</v>
      </c>
      <c r="C4" s="67" t="s">
        <v>11</v>
      </c>
      <c r="D4" s="62" t="s">
        <v>12</v>
      </c>
      <c r="E4" s="13" t="s">
        <v>217</v>
      </c>
      <c r="F4" s="12" t="s">
        <v>218</v>
      </c>
      <c r="G4" s="12"/>
      <c r="H4" s="12"/>
      <c r="I4" s="12"/>
      <c r="J4" s="12"/>
      <c r="K4" s="19">
        <v>0.3</v>
      </c>
      <c r="L4" s="16">
        <v>10</v>
      </c>
      <c r="M4" s="17"/>
      <c r="N4" s="17"/>
      <c r="O4" s="10"/>
      <c r="P4" s="10">
        <f t="shared" si="0"/>
        <v>0</v>
      </c>
      <c r="Q4" s="11" t="s">
        <v>410</v>
      </c>
      <c r="R4" s="11"/>
    </row>
    <row r="5" spans="1:18" s="4" customFormat="1" ht="153" hidden="1" x14ac:dyDescent="0.2">
      <c r="A5" s="12" t="s">
        <v>212</v>
      </c>
      <c r="B5" s="13" t="s">
        <v>4</v>
      </c>
      <c r="C5" s="67" t="s">
        <v>14</v>
      </c>
      <c r="D5" s="62" t="s">
        <v>15</v>
      </c>
      <c r="E5" s="13" t="s">
        <v>219</v>
      </c>
      <c r="F5" s="12" t="s">
        <v>220</v>
      </c>
      <c r="G5" s="14"/>
      <c r="H5" s="14"/>
      <c r="I5" s="12"/>
      <c r="J5" s="12"/>
      <c r="K5" s="74" t="s">
        <v>221</v>
      </c>
      <c r="L5" s="16">
        <v>10</v>
      </c>
      <c r="M5" s="17"/>
      <c r="N5" s="17"/>
      <c r="O5" s="10"/>
      <c r="P5" s="10" t="e">
        <f t="shared" si="0"/>
        <v>#VALUE!</v>
      </c>
      <c r="Q5" s="11"/>
      <c r="R5" s="11"/>
    </row>
    <row r="6" spans="1:18" s="4" customFormat="1" ht="70" hidden="1" customHeight="1" x14ac:dyDescent="0.2">
      <c r="A6" s="12" t="s">
        <v>212</v>
      </c>
      <c r="B6" s="13" t="s">
        <v>4</v>
      </c>
      <c r="C6" s="67" t="s">
        <v>17</v>
      </c>
      <c r="D6" s="62" t="s">
        <v>18</v>
      </c>
      <c r="E6" s="13" t="s">
        <v>222</v>
      </c>
      <c r="F6" s="21" t="s">
        <v>223</v>
      </c>
      <c r="G6" s="12"/>
      <c r="H6" s="12"/>
      <c r="I6" s="12" t="s">
        <v>224</v>
      </c>
      <c r="J6" s="12" t="s">
        <v>225</v>
      </c>
      <c r="K6" s="19">
        <v>0.2</v>
      </c>
      <c r="L6" s="16">
        <v>10</v>
      </c>
      <c r="M6" s="17"/>
      <c r="N6" s="17"/>
      <c r="O6" s="10"/>
      <c r="P6" s="10">
        <f>0.6*M6</f>
        <v>0</v>
      </c>
      <c r="Q6" s="10">
        <f>K6*N6</f>
        <v>0</v>
      </c>
      <c r="R6" s="11"/>
    </row>
    <row r="7" spans="1:18" s="4" customFormat="1" ht="19.5" hidden="1" customHeight="1" x14ac:dyDescent="0.2">
      <c r="A7" s="22" t="s">
        <v>226</v>
      </c>
      <c r="B7" s="13" t="s">
        <v>20</v>
      </c>
      <c r="C7" s="53" t="s">
        <v>21</v>
      </c>
      <c r="D7" s="53" t="s">
        <v>22</v>
      </c>
      <c r="E7" s="53" t="s">
        <v>227</v>
      </c>
      <c r="F7" s="12" t="s">
        <v>228</v>
      </c>
      <c r="G7" s="12"/>
      <c r="H7" s="12"/>
      <c r="I7" s="12"/>
      <c r="J7" s="12"/>
      <c r="K7" s="23">
        <v>50</v>
      </c>
      <c r="L7" s="16">
        <v>10</v>
      </c>
      <c r="M7" s="17"/>
      <c r="N7" s="17"/>
      <c r="O7" s="10"/>
      <c r="P7" s="10">
        <f t="shared" si="0"/>
        <v>0</v>
      </c>
      <c r="Q7" s="11"/>
      <c r="R7" s="11"/>
    </row>
    <row r="8" spans="1:18" s="4" customFormat="1" ht="55" customHeight="1" x14ac:dyDescent="0.2">
      <c r="A8" s="12" t="s">
        <v>226</v>
      </c>
      <c r="B8" s="13" t="s">
        <v>24</v>
      </c>
      <c r="C8" s="13" t="s">
        <v>25</v>
      </c>
      <c r="D8" s="13" t="s">
        <v>26</v>
      </c>
      <c r="E8" s="13" t="s">
        <v>229</v>
      </c>
      <c r="F8" s="12" t="s">
        <v>230</v>
      </c>
      <c r="G8" s="12"/>
      <c r="H8" s="12"/>
      <c r="I8" s="12" t="s">
        <v>231</v>
      </c>
      <c r="J8" s="12" t="s">
        <v>232</v>
      </c>
      <c r="K8" s="20" t="s">
        <v>233</v>
      </c>
      <c r="L8" s="16">
        <v>10</v>
      </c>
      <c r="M8" s="17">
        <v>1.5</v>
      </c>
      <c r="N8" s="17">
        <v>1.5</v>
      </c>
      <c r="O8" s="10"/>
      <c r="P8" s="10">
        <f>0.6*M8</f>
        <v>0.89999999999999991</v>
      </c>
      <c r="Q8" s="10">
        <f>0.6*N8</f>
        <v>0.89999999999999991</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10</v>
      </c>
      <c r="M9" s="71">
        <v>0.5</v>
      </c>
      <c r="N9" s="71">
        <v>0.5</v>
      </c>
      <c r="O9" s="10"/>
      <c r="P9" s="10">
        <f t="shared" ref="P9:P15" si="1">K9*M9</f>
        <v>0.47499999999999998</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hidden="1" customHeight="1" x14ac:dyDescent="0.2">
      <c r="A11" s="12" t="s">
        <v>226</v>
      </c>
      <c r="B11" s="13" t="s">
        <v>34</v>
      </c>
      <c r="C11" s="56"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56" t="s">
        <v>35</v>
      </c>
      <c r="D12" s="13" t="s">
        <v>36</v>
      </c>
      <c r="E12" s="13" t="s">
        <v>242</v>
      </c>
      <c r="F12" s="12" t="s">
        <v>243</v>
      </c>
      <c r="G12" s="12"/>
      <c r="H12" s="12"/>
      <c r="I12" s="12"/>
      <c r="J12" s="12"/>
      <c r="K12" s="19">
        <v>0.8</v>
      </c>
      <c r="L12" s="16">
        <v>10</v>
      </c>
      <c r="M12" s="71"/>
      <c r="N12" s="71"/>
      <c r="O12" s="10"/>
      <c r="P12" s="10">
        <f t="shared" si="1"/>
        <v>0</v>
      </c>
      <c r="Q12" s="10">
        <f>K12*N12</f>
        <v>0</v>
      </c>
      <c r="R12" s="11"/>
    </row>
    <row r="13" spans="1:18" s="4" customFormat="1" ht="85" hidden="1"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hidden="1" customHeight="1" x14ac:dyDescent="0.2">
      <c r="A14" s="12" t="s">
        <v>226</v>
      </c>
      <c r="B14" s="13" t="s">
        <v>41</v>
      </c>
      <c r="C14" s="13" t="s">
        <v>42</v>
      </c>
      <c r="D14" s="54" t="s">
        <v>43</v>
      </c>
      <c r="E14" s="54" t="s">
        <v>246</v>
      </c>
      <c r="F14" s="25" t="s">
        <v>247</v>
      </c>
      <c r="G14" s="12"/>
      <c r="H14" s="12"/>
      <c r="I14" s="12" t="s">
        <v>248</v>
      </c>
      <c r="J14" s="12" t="s">
        <v>249</v>
      </c>
      <c r="K14" s="20">
        <v>0.3</v>
      </c>
      <c r="L14" s="16">
        <v>10</v>
      </c>
      <c r="M14" s="71"/>
      <c r="N14" s="71">
        <v>0.5</v>
      </c>
      <c r="O14" s="10"/>
      <c r="P14" s="10">
        <f t="shared" si="1"/>
        <v>0</v>
      </c>
      <c r="Q14" s="10">
        <f>K14*N14</f>
        <v>0.15</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10</v>
      </c>
      <c r="M15" s="71"/>
      <c r="N15" s="71">
        <v>0.5</v>
      </c>
      <c r="O15" s="10"/>
      <c r="P15" s="10">
        <f t="shared" si="1"/>
        <v>0</v>
      </c>
      <c r="Q15" s="10">
        <f>K15*N15</f>
        <v>0.2</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10</v>
      </c>
      <c r="M16" s="71"/>
      <c r="N16" s="71">
        <v>1</v>
      </c>
      <c r="O16" s="10"/>
      <c r="P16" s="10"/>
      <c r="Q16" s="11"/>
      <c r="R16" s="11"/>
    </row>
    <row r="17" spans="1:18" s="58" customFormat="1" ht="85" hidden="1" customHeight="1" x14ac:dyDescent="0.2">
      <c r="A17" s="13" t="s">
        <v>51</v>
      </c>
      <c r="B17" s="13" t="s">
        <v>51</v>
      </c>
      <c r="C17" s="13" t="s">
        <v>52</v>
      </c>
      <c r="D17" s="13" t="s">
        <v>53</v>
      </c>
      <c r="E17" s="13" t="s">
        <v>257</v>
      </c>
      <c r="F17" s="13" t="s">
        <v>258</v>
      </c>
      <c r="G17" s="13"/>
      <c r="H17" s="13"/>
      <c r="I17" s="13" t="s">
        <v>259</v>
      </c>
      <c r="J17" s="13" t="s">
        <v>260</v>
      </c>
      <c r="K17" s="15">
        <v>0.5</v>
      </c>
      <c r="L17" s="16">
        <v>10</v>
      </c>
      <c r="M17" s="72"/>
      <c r="N17" s="72">
        <v>1</v>
      </c>
      <c r="O17" s="10"/>
      <c r="P17" s="10">
        <f t="shared" ref="P17:P45" si="2">K17*M17</f>
        <v>0</v>
      </c>
      <c r="Q17" s="10">
        <f t="shared" ref="Q17:Q22" si="3">K17*N17</f>
        <v>0.5</v>
      </c>
      <c r="R17" s="57"/>
    </row>
    <row r="18" spans="1:18" s="4" customFormat="1" ht="85" hidden="1" customHeight="1" x14ac:dyDescent="0.2">
      <c r="A18" s="12" t="s">
        <v>51</v>
      </c>
      <c r="B18" s="13" t="s">
        <v>51</v>
      </c>
      <c r="C18" s="13" t="s">
        <v>55</v>
      </c>
      <c r="D18" s="54" t="s">
        <v>56</v>
      </c>
      <c r="E18" s="53" t="s">
        <v>261</v>
      </c>
      <c r="F18" s="25" t="s">
        <v>262</v>
      </c>
      <c r="G18" s="12"/>
      <c r="H18" s="12"/>
      <c r="I18" s="12" t="s">
        <v>263</v>
      </c>
      <c r="J18" s="12" t="s">
        <v>264</v>
      </c>
      <c r="K18" s="19">
        <v>0.3</v>
      </c>
      <c r="L18" s="16">
        <v>10</v>
      </c>
      <c r="M18" s="71"/>
      <c r="N18" s="72">
        <v>0.3</v>
      </c>
      <c r="O18" s="10"/>
      <c r="P18" s="10">
        <f t="shared" ref="P18:P22" si="4">K18*M18</f>
        <v>0</v>
      </c>
      <c r="Q18" s="10">
        <f t="shared" si="3"/>
        <v>0.09</v>
      </c>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10</v>
      </c>
      <c r="M19" s="71"/>
      <c r="N19" s="72">
        <v>1</v>
      </c>
      <c r="O19" s="10"/>
      <c r="P19" s="10">
        <f t="shared" si="4"/>
        <v>0</v>
      </c>
      <c r="Q19" s="10">
        <f t="shared" si="3"/>
        <v>0.1</v>
      </c>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10</v>
      </c>
      <c r="M20" s="71"/>
      <c r="N20" s="72">
        <v>1</v>
      </c>
      <c r="O20" s="10"/>
      <c r="P20" s="10">
        <f t="shared" si="4"/>
        <v>0</v>
      </c>
      <c r="Q20" s="10">
        <f t="shared" si="3"/>
        <v>0.1</v>
      </c>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10</v>
      </c>
      <c r="M21" s="71"/>
      <c r="N21" s="72">
        <v>1</v>
      </c>
      <c r="O21" s="10"/>
      <c r="P21" s="10">
        <f t="shared" si="4"/>
        <v>0</v>
      </c>
      <c r="Q21" s="10">
        <f t="shared" si="3"/>
        <v>0.1</v>
      </c>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10</v>
      </c>
      <c r="M22" s="71"/>
      <c r="N22" s="72">
        <v>1</v>
      </c>
      <c r="O22" s="10"/>
      <c r="P22" s="10">
        <f t="shared" si="4"/>
        <v>0</v>
      </c>
      <c r="Q22" s="10">
        <f t="shared" si="3"/>
        <v>0.1</v>
      </c>
      <c r="R22" s="11"/>
    </row>
    <row r="23" spans="1:18" s="4" customFormat="1" ht="85" hidden="1" customHeight="1" x14ac:dyDescent="0.2">
      <c r="A23" s="12" t="s">
        <v>212</v>
      </c>
      <c r="B23" s="13" t="s">
        <v>70</v>
      </c>
      <c r="C23" s="13" t="s">
        <v>71</v>
      </c>
      <c r="D23" s="54" t="s">
        <v>72</v>
      </c>
      <c r="E23" s="53" t="s">
        <v>275</v>
      </c>
      <c r="F23" s="25" t="s">
        <v>276</v>
      </c>
      <c r="G23" s="12"/>
      <c r="H23" s="12"/>
      <c r="I23" s="13" t="s">
        <v>277</v>
      </c>
      <c r="J23" s="13" t="s">
        <v>278</v>
      </c>
      <c r="K23" s="15">
        <v>0.999</v>
      </c>
      <c r="L23" s="16">
        <v>10</v>
      </c>
      <c r="M23" s="17"/>
      <c r="N23" s="17">
        <v>1</v>
      </c>
      <c r="O23" s="59"/>
      <c r="P23" s="59">
        <f t="shared" si="2"/>
        <v>0</v>
      </c>
      <c r="Q23" s="60">
        <f t="shared" ref="Q23:Q30" si="5">K23*N23</f>
        <v>0.999</v>
      </c>
      <c r="R23" s="11"/>
    </row>
    <row r="24" spans="1:18" s="4" customFormat="1" ht="85" hidden="1" customHeight="1" x14ac:dyDescent="0.2">
      <c r="A24" s="12" t="s">
        <v>212</v>
      </c>
      <c r="B24" s="13" t="s">
        <v>70</v>
      </c>
      <c r="C24" s="13" t="s">
        <v>424</v>
      </c>
      <c r="D24" s="13" t="s">
        <v>425</v>
      </c>
      <c r="E24" s="19">
        <v>0.95</v>
      </c>
      <c r="F24" s="16">
        <v>12</v>
      </c>
      <c r="G24" s="17"/>
      <c r="H24" s="71">
        <v>1</v>
      </c>
      <c r="I24" s="10"/>
      <c r="J24" s="10">
        <v>0</v>
      </c>
      <c r="K24" s="15">
        <v>0.999</v>
      </c>
      <c r="L24" s="16">
        <v>10</v>
      </c>
      <c r="M24" s="17"/>
      <c r="N24" s="17">
        <v>1</v>
      </c>
      <c r="O24" s="59"/>
      <c r="P24" s="59">
        <f t="shared" si="2"/>
        <v>0</v>
      </c>
      <c r="Q24" s="60">
        <f t="shared" si="5"/>
        <v>0.999</v>
      </c>
      <c r="R24" s="11"/>
    </row>
    <row r="25" spans="1:18" s="4" customFormat="1" ht="85" hidden="1" customHeight="1" x14ac:dyDescent="0.2">
      <c r="A25" s="12" t="s">
        <v>212</v>
      </c>
      <c r="B25" s="13" t="s">
        <v>70</v>
      </c>
      <c r="C25" s="13" t="s">
        <v>74</v>
      </c>
      <c r="D25" s="13" t="s">
        <v>75</v>
      </c>
      <c r="E25" s="13" t="s">
        <v>279</v>
      </c>
      <c r="F25" s="12" t="s">
        <v>280</v>
      </c>
      <c r="G25" s="12"/>
      <c r="H25" s="12"/>
      <c r="I25" s="12" t="s">
        <v>281</v>
      </c>
      <c r="J25" s="26" t="s">
        <v>282</v>
      </c>
      <c r="K25" s="19">
        <v>0.95</v>
      </c>
      <c r="L25" s="16">
        <v>10</v>
      </c>
      <c r="M25" s="17"/>
      <c r="N25" s="17">
        <v>1</v>
      </c>
      <c r="O25" s="10"/>
      <c r="P25" s="10">
        <f t="shared" si="2"/>
        <v>0</v>
      </c>
      <c r="Q25" s="60">
        <f t="shared" si="5"/>
        <v>0.95</v>
      </c>
      <c r="R25" s="11"/>
    </row>
    <row r="26" spans="1:18" s="4" customFormat="1" ht="85" hidden="1" customHeight="1" x14ac:dyDescent="0.2">
      <c r="A26" s="12" t="s">
        <v>212</v>
      </c>
      <c r="B26" s="13" t="s">
        <v>70</v>
      </c>
      <c r="C26" s="13" t="s">
        <v>427</v>
      </c>
      <c r="D26" s="54" t="s">
        <v>428</v>
      </c>
      <c r="E26" s="53"/>
      <c r="F26" s="25"/>
      <c r="G26" s="12"/>
      <c r="H26" s="12"/>
      <c r="I26" s="13"/>
      <c r="J26" s="13"/>
      <c r="K26" s="15">
        <v>0.05</v>
      </c>
      <c r="L26" s="16">
        <v>7</v>
      </c>
      <c r="M26" s="17"/>
      <c r="N26" s="17">
        <v>1</v>
      </c>
      <c r="O26" s="10"/>
      <c r="P26" s="10"/>
      <c r="Q26" s="60">
        <f t="shared" si="5"/>
        <v>0.05</v>
      </c>
      <c r="R26" s="11"/>
    </row>
    <row r="27" spans="1:18" s="4" customFormat="1" ht="85" hidden="1" customHeight="1" x14ac:dyDescent="0.2">
      <c r="A27" s="12" t="s">
        <v>212</v>
      </c>
      <c r="B27" s="13" t="s">
        <v>70</v>
      </c>
      <c r="C27" s="13" t="s">
        <v>77</v>
      </c>
      <c r="D27" s="54" t="s">
        <v>78</v>
      </c>
      <c r="E27" s="53" t="s">
        <v>283</v>
      </c>
      <c r="F27" s="25" t="s">
        <v>284</v>
      </c>
      <c r="G27" s="12"/>
      <c r="H27" s="12"/>
      <c r="I27" s="13" t="s">
        <v>285</v>
      </c>
      <c r="J27" s="13" t="s">
        <v>286</v>
      </c>
      <c r="K27" s="15">
        <v>0.2</v>
      </c>
      <c r="L27" s="16">
        <v>5</v>
      </c>
      <c r="M27" s="17"/>
      <c r="N27" s="17">
        <v>2.5</v>
      </c>
      <c r="O27" s="10"/>
      <c r="P27" s="10">
        <f t="shared" si="2"/>
        <v>0</v>
      </c>
      <c r="Q27" s="60">
        <f t="shared" si="5"/>
        <v>0.5</v>
      </c>
      <c r="R27" s="11"/>
    </row>
    <row r="28" spans="1:18" s="4" customFormat="1" ht="85" hidden="1" customHeight="1" x14ac:dyDescent="0.2">
      <c r="A28" s="12" t="s">
        <v>212</v>
      </c>
      <c r="B28" s="13" t="s">
        <v>70</v>
      </c>
      <c r="C28" s="13" t="s">
        <v>421</v>
      </c>
      <c r="D28" s="13" t="s">
        <v>422</v>
      </c>
      <c r="E28" s="19">
        <v>0.1</v>
      </c>
      <c r="F28" s="16">
        <v>12</v>
      </c>
      <c r="G28" s="17"/>
      <c r="H28" s="71">
        <v>1</v>
      </c>
      <c r="I28" s="10"/>
      <c r="J28" s="10">
        <v>0</v>
      </c>
      <c r="K28" s="15">
        <v>0.5</v>
      </c>
      <c r="L28" s="16">
        <v>10</v>
      </c>
      <c r="M28" s="17"/>
      <c r="N28" s="17">
        <v>1</v>
      </c>
      <c r="O28" s="10"/>
      <c r="P28" s="10">
        <f t="shared" si="2"/>
        <v>0</v>
      </c>
      <c r="Q28" s="60">
        <f t="shared" si="5"/>
        <v>0.5</v>
      </c>
      <c r="R28" s="11"/>
    </row>
    <row r="29" spans="1:18" s="4" customFormat="1" ht="85" hidden="1" customHeight="1" x14ac:dyDescent="0.2">
      <c r="A29" s="12" t="s">
        <v>212</v>
      </c>
      <c r="B29" s="13" t="s">
        <v>70</v>
      </c>
      <c r="C29" s="13" t="s">
        <v>80</v>
      </c>
      <c r="D29" s="13" t="s">
        <v>81</v>
      </c>
      <c r="E29" s="13" t="s">
        <v>287</v>
      </c>
      <c r="F29" s="12" t="s">
        <v>288</v>
      </c>
      <c r="G29" s="12"/>
      <c r="H29" s="12"/>
      <c r="I29" s="12" t="s">
        <v>289</v>
      </c>
      <c r="J29" s="12" t="s">
        <v>290</v>
      </c>
      <c r="K29" s="19">
        <v>0.1</v>
      </c>
      <c r="L29" s="16">
        <v>10</v>
      </c>
      <c r="M29" s="17"/>
      <c r="N29" s="17">
        <v>1</v>
      </c>
      <c r="O29" s="10"/>
      <c r="P29" s="10">
        <f t="shared" si="2"/>
        <v>0</v>
      </c>
      <c r="Q29" s="11">
        <f t="shared" si="5"/>
        <v>0.1</v>
      </c>
      <c r="R29" s="11"/>
    </row>
    <row r="30" spans="1:18" ht="85" hidden="1" customHeight="1" x14ac:dyDescent="0.2">
      <c r="A30" s="12" t="s">
        <v>212</v>
      </c>
      <c r="B30" s="13" t="s">
        <v>83</v>
      </c>
      <c r="C30" s="13" t="s">
        <v>84</v>
      </c>
      <c r="D30" s="13" t="s">
        <v>85</v>
      </c>
      <c r="E30" s="13" t="s">
        <v>291</v>
      </c>
      <c r="F30" s="12" t="s">
        <v>292</v>
      </c>
      <c r="G30" s="12"/>
      <c r="H30" s="12"/>
      <c r="I30" s="12"/>
      <c r="J30" s="12"/>
      <c r="K30" s="19">
        <v>0.9</v>
      </c>
      <c r="L30" s="16">
        <v>10</v>
      </c>
      <c r="M30" s="17"/>
      <c r="N30" s="17">
        <v>1</v>
      </c>
      <c r="O30" s="10"/>
      <c r="P30" s="10">
        <f t="shared" si="2"/>
        <v>0</v>
      </c>
      <c r="Q30" s="11">
        <f t="shared" si="5"/>
        <v>0.9</v>
      </c>
      <c r="R30" s="28"/>
    </row>
    <row r="31" spans="1:18" s="4" customFormat="1" ht="85" hidden="1" customHeight="1" x14ac:dyDescent="0.2">
      <c r="A31" s="12" t="s">
        <v>212</v>
      </c>
      <c r="B31" s="13" t="s">
        <v>83</v>
      </c>
      <c r="C31" s="13" t="s">
        <v>87</v>
      </c>
      <c r="D31" s="13" t="s">
        <v>88</v>
      </c>
      <c r="E31" s="13" t="s">
        <v>293</v>
      </c>
      <c r="F31" s="12" t="s">
        <v>294</v>
      </c>
      <c r="G31" s="12"/>
      <c r="H31" s="12"/>
      <c r="I31" s="12"/>
      <c r="J31" s="12"/>
      <c r="K31" s="19" t="s">
        <v>295</v>
      </c>
      <c r="L31" s="16">
        <v>10</v>
      </c>
      <c r="M31" s="17"/>
      <c r="N31" s="17"/>
      <c r="O31" s="10"/>
      <c r="P31" s="10" t="e">
        <f t="shared" si="2"/>
        <v>#VALUE!</v>
      </c>
      <c r="Q31" s="11"/>
      <c r="R31" s="11"/>
    </row>
    <row r="32" spans="1:18" s="4" customFormat="1" ht="85" hidden="1" customHeight="1" x14ac:dyDescent="0.2">
      <c r="A32" s="12" t="s">
        <v>212</v>
      </c>
      <c r="B32" s="13" t="s">
        <v>83</v>
      </c>
      <c r="C32" s="13" t="s">
        <v>90</v>
      </c>
      <c r="D32" s="13" t="s">
        <v>91</v>
      </c>
      <c r="E32" s="13" t="s">
        <v>296</v>
      </c>
      <c r="F32" s="12" t="s">
        <v>294</v>
      </c>
      <c r="G32" s="12"/>
      <c r="H32" s="12"/>
      <c r="I32" s="12"/>
      <c r="J32" s="12"/>
      <c r="K32" s="19" t="s">
        <v>297</v>
      </c>
      <c r="L32" s="16">
        <v>10</v>
      </c>
      <c r="M32" s="17"/>
      <c r="N32" s="17"/>
      <c r="O32" s="10"/>
      <c r="P32" s="10" t="e">
        <f t="shared" si="2"/>
        <v>#VALUE!</v>
      </c>
      <c r="Q32" s="11"/>
      <c r="R32" s="11"/>
    </row>
    <row r="33" spans="1:18" s="4" customFormat="1" ht="85" hidden="1" customHeight="1" x14ac:dyDescent="0.2">
      <c r="A33" s="12" t="s">
        <v>212</v>
      </c>
      <c r="B33" s="13" t="s">
        <v>83</v>
      </c>
      <c r="C33" s="13" t="s">
        <v>93</v>
      </c>
      <c r="D33" s="13" t="s">
        <v>94</v>
      </c>
      <c r="E33" s="13" t="s">
        <v>298</v>
      </c>
      <c r="F33" s="12" t="s">
        <v>294</v>
      </c>
      <c r="G33" s="12"/>
      <c r="H33" s="12"/>
      <c r="I33" s="12"/>
      <c r="J33" s="12"/>
      <c r="K33" s="19" t="s">
        <v>299</v>
      </c>
      <c r="L33" s="16">
        <v>10</v>
      </c>
      <c r="M33" s="17"/>
      <c r="N33" s="17"/>
      <c r="O33" s="10"/>
      <c r="P33" s="10" t="e">
        <f t="shared" si="2"/>
        <v>#VALUE!</v>
      </c>
      <c r="Q33" s="11"/>
      <c r="R33" s="11"/>
    </row>
    <row r="34" spans="1:18" s="4" customFormat="1" ht="85" hidden="1" customHeight="1" x14ac:dyDescent="0.2">
      <c r="A34" s="12" t="s">
        <v>212</v>
      </c>
      <c r="B34" s="13" t="s">
        <v>96</v>
      </c>
      <c r="C34" s="67" t="s">
        <v>97</v>
      </c>
      <c r="D34" s="62" t="s">
        <v>98</v>
      </c>
      <c r="E34" s="13" t="s">
        <v>300</v>
      </c>
      <c r="F34" s="12" t="s">
        <v>301</v>
      </c>
      <c r="G34" s="12"/>
      <c r="H34" s="12"/>
      <c r="I34" s="12"/>
      <c r="J34" s="12"/>
      <c r="K34" s="15" t="s">
        <v>302</v>
      </c>
      <c r="L34" s="16">
        <v>10</v>
      </c>
      <c r="M34" s="17"/>
      <c r="N34" s="17"/>
      <c r="O34" s="10"/>
      <c r="P34" s="10" t="e">
        <f t="shared" si="2"/>
        <v>#VALUE!</v>
      </c>
      <c r="Q34" s="11"/>
      <c r="R34" s="11"/>
    </row>
    <row r="35" spans="1:18" s="4" customFormat="1" ht="85" hidden="1" customHeight="1" x14ac:dyDescent="0.2">
      <c r="A35" s="12" t="s">
        <v>212</v>
      </c>
      <c r="B35" s="13" t="s">
        <v>96</v>
      </c>
      <c r="C35" s="67" t="s">
        <v>100</v>
      </c>
      <c r="D35" s="62" t="s">
        <v>101</v>
      </c>
      <c r="E35" s="13" t="s">
        <v>303</v>
      </c>
      <c r="F35" s="12" t="s">
        <v>304</v>
      </c>
      <c r="G35" s="12"/>
      <c r="H35" s="12"/>
      <c r="I35" s="12"/>
      <c r="J35" s="12"/>
      <c r="K35" s="19">
        <v>0.5</v>
      </c>
      <c r="L35" s="16">
        <v>10</v>
      </c>
      <c r="M35" s="17"/>
      <c r="N35" s="17"/>
      <c r="O35" s="10"/>
      <c r="P35" s="10">
        <f t="shared" si="2"/>
        <v>0</v>
      </c>
      <c r="Q35" s="11"/>
      <c r="R35" s="11"/>
    </row>
    <row r="36" spans="1:18" ht="85" hidden="1" customHeight="1" x14ac:dyDescent="0.2">
      <c r="A36" s="12" t="s">
        <v>212</v>
      </c>
      <c r="B36" s="13" t="s">
        <v>96</v>
      </c>
      <c r="C36" s="67" t="s">
        <v>103</v>
      </c>
      <c r="D36" s="62" t="s">
        <v>104</v>
      </c>
      <c r="E36" s="13" t="s">
        <v>305</v>
      </c>
      <c r="F36" s="12" t="s">
        <v>306</v>
      </c>
      <c r="G36" s="12"/>
      <c r="H36" s="12"/>
      <c r="I36" s="12" t="s">
        <v>307</v>
      </c>
      <c r="J36" s="12" t="s">
        <v>308</v>
      </c>
      <c r="K36" s="19">
        <v>0.3</v>
      </c>
      <c r="L36" s="16">
        <v>10</v>
      </c>
      <c r="M36" s="17"/>
      <c r="N36" s="17"/>
      <c r="O36" s="10"/>
      <c r="P36" s="60">
        <f t="shared" si="2"/>
        <v>0</v>
      </c>
      <c r="Q36" s="60">
        <f>K36*N36</f>
        <v>0</v>
      </c>
      <c r="R36" s="29"/>
    </row>
    <row r="37" spans="1:18" s="4" customFormat="1" ht="85" hidden="1" customHeight="1" x14ac:dyDescent="0.2">
      <c r="A37" s="12" t="s">
        <v>309</v>
      </c>
      <c r="B37" s="13" t="s">
        <v>106</v>
      </c>
      <c r="C37" s="13" t="s">
        <v>107</v>
      </c>
      <c r="D37" s="13" t="s">
        <v>108</v>
      </c>
      <c r="E37" s="13" t="s">
        <v>310</v>
      </c>
      <c r="F37" s="12" t="s">
        <v>311</v>
      </c>
      <c r="G37" s="12"/>
      <c r="H37" s="12"/>
      <c r="I37" s="12"/>
      <c r="J37" s="12"/>
      <c r="K37" s="19">
        <v>0.5</v>
      </c>
      <c r="L37" s="16">
        <v>10</v>
      </c>
      <c r="M37" s="71"/>
      <c r="N37" s="71">
        <v>1</v>
      </c>
      <c r="O37" s="10"/>
      <c r="P37" s="10">
        <f t="shared" si="2"/>
        <v>0</v>
      </c>
      <c r="Q37" s="11"/>
      <c r="R37" s="11"/>
    </row>
    <row r="38" spans="1:18" s="4" customFormat="1" ht="85" hidden="1"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hidden="1" customHeight="1" x14ac:dyDescent="0.2">
      <c r="A39" s="12" t="s">
        <v>226</v>
      </c>
      <c r="B39" s="13" t="s">
        <v>113</v>
      </c>
      <c r="C39" s="13" t="s">
        <v>418</v>
      </c>
      <c r="D39" s="13" t="s">
        <v>419</v>
      </c>
      <c r="E39" s="20">
        <v>0.5</v>
      </c>
      <c r="F39" s="16">
        <v>10</v>
      </c>
      <c r="G39" s="17"/>
      <c r="H39" s="71">
        <v>0.25</v>
      </c>
      <c r="I39" s="12"/>
      <c r="J39" s="12"/>
      <c r="K39" s="73">
        <v>0.2</v>
      </c>
      <c r="L39" s="16">
        <v>10</v>
      </c>
      <c r="M39" s="71"/>
      <c r="N39" s="71">
        <v>1</v>
      </c>
      <c r="O39" s="10"/>
      <c r="P39" s="10">
        <f t="shared" si="2"/>
        <v>0</v>
      </c>
      <c r="Q39" s="11"/>
      <c r="R39" s="11"/>
    </row>
    <row r="40" spans="1:18" s="4" customFormat="1" ht="85" hidden="1" customHeight="1" x14ac:dyDescent="0.2">
      <c r="A40" s="12" t="s">
        <v>226</v>
      </c>
      <c r="B40" s="13" t="s">
        <v>113</v>
      </c>
      <c r="C40" s="13" t="s">
        <v>114</v>
      </c>
      <c r="D40" s="13" t="s">
        <v>115</v>
      </c>
      <c r="E40" s="13" t="s">
        <v>314</v>
      </c>
      <c r="F40" s="12" t="s">
        <v>315</v>
      </c>
      <c r="G40" s="12"/>
      <c r="H40" s="12"/>
      <c r="I40" s="12"/>
      <c r="J40" s="12"/>
      <c r="K40" s="20">
        <v>0.5</v>
      </c>
      <c r="L40" s="16">
        <v>10</v>
      </c>
      <c r="M40" s="71"/>
      <c r="N40" s="71">
        <v>0.1</v>
      </c>
      <c r="O40" s="10"/>
      <c r="P40" s="10">
        <f t="shared" si="2"/>
        <v>0</v>
      </c>
      <c r="Q40" s="10">
        <f>K40*N40</f>
        <v>0.05</v>
      </c>
      <c r="R40" s="11"/>
    </row>
    <row r="41" spans="1:18" s="4" customFormat="1" ht="85" hidden="1" customHeight="1" x14ac:dyDescent="0.2">
      <c r="A41" s="12" t="s">
        <v>226</v>
      </c>
      <c r="B41" s="13" t="s">
        <v>113</v>
      </c>
      <c r="C41" s="13" t="s">
        <v>117</v>
      </c>
      <c r="D41" s="13" t="s">
        <v>118</v>
      </c>
      <c r="E41" s="13" t="s">
        <v>316</v>
      </c>
      <c r="F41" s="12" t="s">
        <v>317</v>
      </c>
      <c r="G41" s="12"/>
      <c r="H41" s="12"/>
      <c r="I41" s="12"/>
      <c r="J41" s="12"/>
      <c r="K41" s="19">
        <v>0.5</v>
      </c>
      <c r="L41" s="16">
        <v>10</v>
      </c>
      <c r="M41" s="71"/>
      <c r="N41" s="71">
        <v>1</v>
      </c>
      <c r="O41" s="10"/>
      <c r="P41" s="10">
        <f t="shared" si="2"/>
        <v>0</v>
      </c>
      <c r="Q41" s="11"/>
      <c r="R41" s="11"/>
    </row>
    <row r="42" spans="1:18" s="4" customFormat="1" ht="85" hidden="1" customHeight="1" x14ac:dyDescent="0.2">
      <c r="A42" s="12" t="s">
        <v>226</v>
      </c>
      <c r="B42" s="13" t="s">
        <v>113</v>
      </c>
      <c r="C42" s="13" t="s">
        <v>120</v>
      </c>
      <c r="D42" s="13" t="s">
        <v>121</v>
      </c>
      <c r="E42" s="13" t="s">
        <v>318</v>
      </c>
      <c r="F42" s="12" t="s">
        <v>319</v>
      </c>
      <c r="G42" s="12"/>
      <c r="H42" s="12"/>
      <c r="I42" s="12"/>
      <c r="J42" s="12"/>
      <c r="K42" s="20">
        <v>0.95</v>
      </c>
      <c r="L42" s="16">
        <v>10</v>
      </c>
      <c r="M42" s="71"/>
      <c r="N42" s="71">
        <v>1</v>
      </c>
      <c r="O42" s="10"/>
      <c r="P42" s="10">
        <f t="shared" si="2"/>
        <v>0</v>
      </c>
      <c r="Q42" s="11"/>
      <c r="R42" s="11"/>
    </row>
    <row r="43" spans="1:18" s="4" customFormat="1" ht="85" hidden="1" customHeight="1" x14ac:dyDescent="0.2">
      <c r="A43" s="12" t="s">
        <v>212</v>
      </c>
      <c r="B43" s="13" t="s">
        <v>123</v>
      </c>
      <c r="C43" s="13" t="s">
        <v>124</v>
      </c>
      <c r="D43" s="13" t="s">
        <v>125</v>
      </c>
      <c r="E43" s="13" t="s">
        <v>320</v>
      </c>
      <c r="F43" s="12" t="s">
        <v>321</v>
      </c>
      <c r="G43" s="12"/>
      <c r="H43" s="12"/>
      <c r="I43" s="12"/>
      <c r="J43" s="12"/>
      <c r="K43" s="19">
        <v>0.2</v>
      </c>
      <c r="L43" s="16">
        <v>10</v>
      </c>
      <c r="M43" s="17"/>
      <c r="N43" s="17">
        <v>1</v>
      </c>
      <c r="O43" s="10"/>
      <c r="P43" s="10">
        <f t="shared" si="2"/>
        <v>0</v>
      </c>
      <c r="Q43" s="11"/>
      <c r="R43" s="11"/>
    </row>
    <row r="44" spans="1:18" s="4" customFormat="1" ht="85" hidden="1" customHeight="1" x14ac:dyDescent="0.2">
      <c r="A44" s="12" t="s">
        <v>212</v>
      </c>
      <c r="B44" s="13" t="s">
        <v>123</v>
      </c>
      <c r="C44" s="13" t="s">
        <v>127</v>
      </c>
      <c r="D44" s="13" t="s">
        <v>128</v>
      </c>
      <c r="E44" s="13" t="s">
        <v>322</v>
      </c>
      <c r="F44" s="12" t="s">
        <v>323</v>
      </c>
      <c r="G44" s="12"/>
      <c r="H44" s="12"/>
      <c r="I44" s="12"/>
      <c r="J44" s="12"/>
      <c r="K44" s="19">
        <v>0.2</v>
      </c>
      <c r="L44" s="16">
        <v>10</v>
      </c>
      <c r="M44" s="17"/>
      <c r="N44" s="17">
        <v>1</v>
      </c>
      <c r="O44" s="10"/>
      <c r="P44" s="10">
        <f t="shared" si="2"/>
        <v>0</v>
      </c>
      <c r="Q44" s="11"/>
      <c r="R44" s="11"/>
    </row>
    <row r="45" spans="1:18" s="4" customFormat="1" ht="85" hidden="1" customHeight="1" x14ac:dyDescent="0.2">
      <c r="A45" s="12" t="s">
        <v>226</v>
      </c>
      <c r="B45" s="13" t="s">
        <v>130</v>
      </c>
      <c r="C45" s="13" t="s">
        <v>131</v>
      </c>
      <c r="D45" s="13" t="s">
        <v>132</v>
      </c>
      <c r="E45" s="13" t="s">
        <v>324</v>
      </c>
      <c r="F45" s="12" t="s">
        <v>325</v>
      </c>
      <c r="G45" s="12"/>
      <c r="H45" s="12"/>
      <c r="I45" s="12" t="s">
        <v>326</v>
      </c>
      <c r="J45" s="12" t="s">
        <v>327</v>
      </c>
      <c r="K45" s="19">
        <v>0.25</v>
      </c>
      <c r="L45" s="16">
        <v>10</v>
      </c>
      <c r="M45" s="71"/>
      <c r="N45" s="71">
        <v>1.5</v>
      </c>
      <c r="O45" s="10"/>
      <c r="P45" s="10">
        <f t="shared" si="2"/>
        <v>0</v>
      </c>
      <c r="Q45" s="10">
        <f>K45*N45</f>
        <v>0.375</v>
      </c>
      <c r="R45" s="11"/>
    </row>
    <row r="46" spans="1:18" s="4" customFormat="1" ht="85" hidden="1" customHeight="1" x14ac:dyDescent="0.2">
      <c r="A46" s="12" t="s">
        <v>226</v>
      </c>
      <c r="B46" s="13" t="s">
        <v>134</v>
      </c>
      <c r="C46" s="13" t="s">
        <v>135</v>
      </c>
      <c r="D46" s="13" t="s">
        <v>136</v>
      </c>
      <c r="E46" s="13" t="s">
        <v>328</v>
      </c>
      <c r="F46" s="12" t="s">
        <v>329</v>
      </c>
      <c r="G46" s="12"/>
      <c r="H46" s="30"/>
      <c r="I46" s="12" t="s">
        <v>330</v>
      </c>
      <c r="J46" s="12" t="s">
        <v>331</v>
      </c>
      <c r="K46" s="19">
        <v>0.25</v>
      </c>
      <c r="L46" s="16">
        <v>10</v>
      </c>
      <c r="M46" s="17"/>
      <c r="N46" s="17">
        <v>1</v>
      </c>
      <c r="O46" s="10"/>
      <c r="P46" s="10">
        <f>K46*N46</f>
        <v>0.25</v>
      </c>
      <c r="Q46" s="10">
        <f>K46*P46</f>
        <v>6.25E-2</v>
      </c>
      <c r="R46" s="11"/>
    </row>
    <row r="47" spans="1:18" s="4" customFormat="1" ht="18.75" hidden="1"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hidden="1"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hidden="1" customHeight="1" x14ac:dyDescent="0.2">
      <c r="A49" s="12" t="s">
        <v>226</v>
      </c>
      <c r="B49" s="13" t="s">
        <v>134</v>
      </c>
      <c r="C49" s="13" t="s">
        <v>144</v>
      </c>
      <c r="D49" s="13" t="s">
        <v>145</v>
      </c>
      <c r="E49" s="13" t="s">
        <v>338</v>
      </c>
      <c r="F49" s="12" t="s">
        <v>339</v>
      </c>
      <c r="G49" s="12"/>
      <c r="H49" s="12"/>
      <c r="I49" s="12"/>
      <c r="J49" s="12"/>
      <c r="K49" s="19">
        <v>0.7</v>
      </c>
      <c r="L49" s="16">
        <v>10</v>
      </c>
      <c r="M49" s="71"/>
      <c r="N49" s="71">
        <v>1.4</v>
      </c>
      <c r="O49" s="10"/>
      <c r="P49" s="10">
        <f>K49*N49</f>
        <v>0.97999999999999987</v>
      </c>
      <c r="Q49" s="10"/>
      <c r="R49" s="11"/>
    </row>
    <row r="50" spans="1:18" s="4" customFormat="1" ht="85" hidden="1" customHeight="1" x14ac:dyDescent="0.2">
      <c r="A50" s="12" t="s">
        <v>226</v>
      </c>
      <c r="B50" s="13" t="s">
        <v>134</v>
      </c>
      <c r="C50" s="13" t="s">
        <v>147</v>
      </c>
      <c r="D50" s="13" t="s">
        <v>148</v>
      </c>
      <c r="E50" s="13" t="s">
        <v>340</v>
      </c>
      <c r="F50" s="12" t="s">
        <v>341</v>
      </c>
      <c r="G50" s="12"/>
      <c r="H50" s="12"/>
      <c r="I50" s="12" t="s">
        <v>342</v>
      </c>
      <c r="J50" s="12" t="s">
        <v>343</v>
      </c>
      <c r="K50" s="19">
        <v>0.7</v>
      </c>
      <c r="L50" s="16">
        <v>10</v>
      </c>
      <c r="M50" s="71"/>
      <c r="N50" s="71">
        <v>1</v>
      </c>
      <c r="O50" s="10"/>
      <c r="P50" s="10">
        <f t="shared" si="6"/>
        <v>0.7</v>
      </c>
      <c r="Q50" s="11"/>
      <c r="R50" s="11"/>
    </row>
    <row r="51" spans="1:18" s="4" customFormat="1" ht="85" hidden="1" customHeight="1" x14ac:dyDescent="0.2">
      <c r="A51" s="12" t="s">
        <v>226</v>
      </c>
      <c r="B51" s="13" t="s">
        <v>134</v>
      </c>
      <c r="C51" s="13" t="s">
        <v>415</v>
      </c>
      <c r="D51" s="13" t="s">
        <v>151</v>
      </c>
      <c r="E51" s="20">
        <v>0.7</v>
      </c>
      <c r="F51" s="16">
        <v>12</v>
      </c>
      <c r="G51" s="17"/>
      <c r="H51" s="71">
        <v>0.8</v>
      </c>
      <c r="I51" s="12"/>
      <c r="J51" s="12"/>
      <c r="K51" s="73">
        <v>0.06</v>
      </c>
      <c r="L51" s="16">
        <v>10</v>
      </c>
      <c r="M51" s="71"/>
      <c r="N51" s="71">
        <v>1</v>
      </c>
      <c r="O51" s="10"/>
      <c r="P51" s="10">
        <f t="shared" si="6"/>
        <v>0.06</v>
      </c>
      <c r="Q51" s="11"/>
      <c r="R51" s="11"/>
    </row>
    <row r="52" spans="1:18" s="4" customFormat="1" ht="85" hidden="1" customHeight="1" x14ac:dyDescent="0.2">
      <c r="A52" s="12" t="s">
        <v>226</v>
      </c>
      <c r="B52" s="13" t="s">
        <v>134</v>
      </c>
      <c r="C52" s="13" t="s">
        <v>150</v>
      </c>
      <c r="D52" s="13" t="s">
        <v>151</v>
      </c>
      <c r="E52" s="13" t="s">
        <v>344</v>
      </c>
      <c r="F52" s="12" t="s">
        <v>345</v>
      </c>
      <c r="G52" s="12"/>
      <c r="H52" s="12"/>
      <c r="I52" s="12" t="s">
        <v>346</v>
      </c>
      <c r="J52" s="12" t="s">
        <v>347</v>
      </c>
      <c r="K52" s="20">
        <v>0.7</v>
      </c>
      <c r="L52" s="16">
        <v>10</v>
      </c>
      <c r="M52" s="71"/>
      <c r="N52" s="71">
        <v>0.8</v>
      </c>
      <c r="O52" s="10"/>
      <c r="P52" s="10">
        <f t="shared" si="6"/>
        <v>0.55999999999999994</v>
      </c>
      <c r="Q52" s="11"/>
      <c r="R52" s="11"/>
    </row>
    <row r="53" spans="1:18" s="4" customFormat="1" ht="85" hidden="1" customHeight="1" x14ac:dyDescent="0.2">
      <c r="A53" s="12" t="s">
        <v>226</v>
      </c>
      <c r="B53" s="13" t="s">
        <v>134</v>
      </c>
      <c r="C53" s="13" t="s">
        <v>153</v>
      </c>
      <c r="D53" s="13" t="s">
        <v>154</v>
      </c>
      <c r="E53" s="13" t="s">
        <v>348</v>
      </c>
      <c r="F53" s="12" t="s">
        <v>349</v>
      </c>
      <c r="G53" s="12"/>
      <c r="H53" s="12"/>
      <c r="I53" s="12"/>
      <c r="J53" s="12"/>
      <c r="K53" s="19">
        <v>0.25</v>
      </c>
      <c r="L53" s="16">
        <v>10</v>
      </c>
      <c r="M53" s="71"/>
      <c r="N53" s="71">
        <v>2</v>
      </c>
      <c r="O53" s="10"/>
      <c r="P53" s="10">
        <f>K53*N53</f>
        <v>0.5</v>
      </c>
      <c r="Q53" s="11"/>
      <c r="R53" s="10">
        <f t="shared" si="6"/>
        <v>0</v>
      </c>
    </row>
    <row r="54" spans="1:18" s="4" customFormat="1" ht="85" hidden="1"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hidden="1"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hidden="1"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hidden="1" customHeight="1" x14ac:dyDescent="0.2">
      <c r="A57" s="12" t="s">
        <v>51</v>
      </c>
      <c r="B57" s="13" t="s">
        <v>165</v>
      </c>
      <c r="C57" s="13" t="s">
        <v>166</v>
      </c>
      <c r="D57" s="13" t="s">
        <v>167</v>
      </c>
      <c r="E57" s="13" t="s">
        <v>363</v>
      </c>
      <c r="F57" s="12" t="s">
        <v>364</v>
      </c>
      <c r="G57" s="12"/>
      <c r="H57" s="12"/>
      <c r="I57" s="12"/>
      <c r="J57" s="12"/>
      <c r="K57" s="19">
        <v>0.85</v>
      </c>
      <c r="L57" s="16">
        <v>10</v>
      </c>
      <c r="M57" s="17"/>
      <c r="N57" s="17">
        <v>1</v>
      </c>
      <c r="O57" s="10"/>
      <c r="P57" s="10">
        <f>K57*M57</f>
        <v>0</v>
      </c>
      <c r="Q57" s="11"/>
      <c r="R57" s="11"/>
    </row>
    <row r="58" spans="1:18" s="4" customFormat="1" ht="85" hidden="1" customHeight="1" x14ac:dyDescent="0.2">
      <c r="A58" s="12" t="s">
        <v>51</v>
      </c>
      <c r="B58" s="13" t="s">
        <v>165</v>
      </c>
      <c r="C58" s="13" t="s">
        <v>169</v>
      </c>
      <c r="D58" s="13" t="s">
        <v>170</v>
      </c>
      <c r="E58" s="13" t="s">
        <v>365</v>
      </c>
      <c r="F58" s="12" t="s">
        <v>366</v>
      </c>
      <c r="G58" s="12"/>
      <c r="H58" s="12"/>
      <c r="I58" s="12" t="s">
        <v>367</v>
      </c>
      <c r="J58" s="12" t="s">
        <v>368</v>
      </c>
      <c r="K58" s="19">
        <v>0.9</v>
      </c>
      <c r="L58" s="16">
        <v>10</v>
      </c>
      <c r="M58" s="17"/>
      <c r="N58" s="17">
        <v>1</v>
      </c>
      <c r="O58" s="10"/>
      <c r="P58" s="10">
        <f>K58*M58</f>
        <v>0</v>
      </c>
      <c r="Q58" s="11"/>
      <c r="R58" s="11"/>
    </row>
    <row r="59" spans="1:18" s="4" customFormat="1" ht="85" hidden="1"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c r="N59" s="17">
        <v>1</v>
      </c>
      <c r="O59" s="10"/>
      <c r="P59" s="10"/>
      <c r="Q59" s="11"/>
      <c r="R59" s="11"/>
    </row>
    <row r="60" spans="1:18" s="4" customFormat="1" ht="85" hidden="1"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c r="N60" s="17"/>
      <c r="O60" s="10"/>
      <c r="P60" s="10"/>
      <c r="Q60" s="11"/>
      <c r="R60" s="11"/>
    </row>
    <row r="61" spans="1:18" s="4" customFormat="1" ht="85" hidden="1"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c r="N61" s="17"/>
      <c r="O61" s="10"/>
      <c r="P61" s="10"/>
      <c r="Q61" s="11"/>
      <c r="R61" s="11"/>
    </row>
    <row r="62" spans="1:18" s="4" customFormat="1" ht="85" hidden="1" customHeight="1" x14ac:dyDescent="0.2">
      <c r="A62" s="12" t="s">
        <v>369</v>
      </c>
      <c r="B62" s="13" t="s">
        <v>182</v>
      </c>
      <c r="C62" s="67" t="s">
        <v>183</v>
      </c>
      <c r="D62" s="62" t="s">
        <v>184</v>
      </c>
      <c r="E62" s="13" t="s">
        <v>383</v>
      </c>
      <c r="F62" s="12" t="s">
        <v>384</v>
      </c>
      <c r="G62" s="12"/>
      <c r="H62" s="12"/>
      <c r="I62" s="12" t="s">
        <v>385</v>
      </c>
      <c r="J62" s="12" t="s">
        <v>386</v>
      </c>
      <c r="K62" s="19">
        <v>0.3</v>
      </c>
      <c r="L62" s="16">
        <v>10</v>
      </c>
      <c r="M62" s="17"/>
      <c r="N62" s="17">
        <v>1</v>
      </c>
      <c r="O62" s="10"/>
      <c r="P62" s="10">
        <f>K62*M62</f>
        <v>0</v>
      </c>
      <c r="Q62" s="11"/>
      <c r="R62" s="11"/>
    </row>
    <row r="63" spans="1:18" s="4" customFormat="1" ht="85" hidden="1" customHeight="1" x14ac:dyDescent="0.2">
      <c r="A63" s="12" t="s">
        <v>369</v>
      </c>
      <c r="B63" s="13" t="s">
        <v>182</v>
      </c>
      <c r="C63" s="67" t="s">
        <v>186</v>
      </c>
      <c r="D63" s="62" t="s">
        <v>187</v>
      </c>
      <c r="E63" s="13" t="s">
        <v>387</v>
      </c>
      <c r="F63" s="12" t="s">
        <v>388</v>
      </c>
      <c r="G63" s="12"/>
      <c r="H63" s="12"/>
      <c r="I63" s="12"/>
      <c r="J63" s="12"/>
      <c r="K63" s="15" t="s">
        <v>389</v>
      </c>
      <c r="L63" s="16">
        <v>10</v>
      </c>
      <c r="M63" s="17"/>
      <c r="N63" s="17">
        <v>1</v>
      </c>
      <c r="O63" s="10"/>
      <c r="P63" s="10"/>
      <c r="Q63" s="11"/>
      <c r="R63" s="11"/>
    </row>
    <row r="64" spans="1:18" s="4" customFormat="1" ht="85" hidden="1" customHeight="1" x14ac:dyDescent="0.2">
      <c r="A64" s="12" t="s">
        <v>369</v>
      </c>
      <c r="B64" s="13" t="s">
        <v>182</v>
      </c>
      <c r="C64" s="67" t="s">
        <v>189</v>
      </c>
      <c r="D64" s="64" t="s">
        <v>167</v>
      </c>
      <c r="E64" s="53" t="s">
        <v>390</v>
      </c>
      <c r="F64" s="22" t="s">
        <v>391</v>
      </c>
      <c r="G64" s="12"/>
      <c r="H64" s="12"/>
      <c r="I64" s="12" t="s">
        <v>392</v>
      </c>
      <c r="J64" s="12" t="s">
        <v>393</v>
      </c>
      <c r="K64" s="15">
        <v>0.85</v>
      </c>
      <c r="L64" s="16">
        <v>10</v>
      </c>
      <c r="M64" s="17"/>
      <c r="N64" s="17"/>
      <c r="O64" s="10"/>
      <c r="P64" s="10">
        <f t="shared" ref="P64:P69" si="7">K64*M64</f>
        <v>0</v>
      </c>
      <c r="Q64" s="11"/>
      <c r="R64" s="11"/>
    </row>
    <row r="65" spans="1:18" s="4" customFormat="1" ht="85" hidden="1" customHeight="1" x14ac:dyDescent="0.2">
      <c r="A65" s="12" t="s">
        <v>369</v>
      </c>
      <c r="B65" s="13" t="s">
        <v>182</v>
      </c>
      <c r="C65" s="67" t="s">
        <v>191</v>
      </c>
      <c r="D65" s="62" t="s">
        <v>192</v>
      </c>
      <c r="E65" s="13" t="s">
        <v>394</v>
      </c>
      <c r="F65" s="12" t="s">
        <v>395</v>
      </c>
      <c r="G65" s="12"/>
      <c r="H65" s="12"/>
      <c r="I65" s="12"/>
      <c r="J65" s="12"/>
      <c r="K65" s="15">
        <v>0.85</v>
      </c>
      <c r="L65" s="16">
        <v>10</v>
      </c>
      <c r="M65" s="17"/>
      <c r="N65" s="17"/>
      <c r="O65" s="10"/>
      <c r="P65" s="10">
        <f t="shared" si="7"/>
        <v>0</v>
      </c>
      <c r="Q65" s="11"/>
      <c r="R65" s="11"/>
    </row>
    <row r="66" spans="1:18" s="4" customFormat="1" ht="85" hidden="1" customHeight="1" x14ac:dyDescent="0.2">
      <c r="A66" s="12" t="s">
        <v>369</v>
      </c>
      <c r="B66" s="13" t="s">
        <v>182</v>
      </c>
      <c r="C66" s="67" t="s">
        <v>194</v>
      </c>
      <c r="D66" s="62" t="s">
        <v>195</v>
      </c>
      <c r="E66" s="13" t="s">
        <v>396</v>
      </c>
      <c r="F66" s="12" t="s">
        <v>397</v>
      </c>
      <c r="G66" s="12"/>
      <c r="H66" s="12"/>
      <c r="I66" s="12"/>
      <c r="J66" s="12"/>
      <c r="K66" s="15">
        <v>0.85</v>
      </c>
      <c r="L66" s="16">
        <v>10</v>
      </c>
      <c r="M66" s="17"/>
      <c r="N66" s="17"/>
      <c r="O66" s="10"/>
      <c r="P66" s="10">
        <f t="shared" si="7"/>
        <v>0</v>
      </c>
      <c r="Q66" s="11"/>
      <c r="R66" s="11"/>
    </row>
    <row r="67" spans="1:18" s="4" customFormat="1" ht="85" hidden="1" customHeight="1" x14ac:dyDescent="0.2">
      <c r="A67" s="40" t="s">
        <v>369</v>
      </c>
      <c r="B67" s="55" t="s">
        <v>182</v>
      </c>
      <c r="C67" s="69" t="s">
        <v>197</v>
      </c>
      <c r="D67" s="65" t="s">
        <v>198</v>
      </c>
      <c r="E67" s="55" t="s">
        <v>398</v>
      </c>
      <c r="F67" s="40" t="s">
        <v>399</v>
      </c>
      <c r="G67" s="40"/>
      <c r="H67" s="40"/>
      <c r="I67" s="40" t="s">
        <v>400</v>
      </c>
      <c r="J67" s="40" t="s">
        <v>401</v>
      </c>
      <c r="K67" s="41">
        <v>1</v>
      </c>
      <c r="L67" s="16">
        <v>10</v>
      </c>
      <c r="M67" s="17"/>
      <c r="N67" s="17"/>
      <c r="O67" s="10"/>
      <c r="P67" s="10">
        <f t="shared" si="7"/>
        <v>0</v>
      </c>
      <c r="Q67" s="11"/>
      <c r="R67" s="11"/>
    </row>
    <row r="68" spans="1:18" s="4" customFormat="1" ht="85" hidden="1" customHeight="1" x14ac:dyDescent="0.2">
      <c r="A68" s="42" t="s">
        <v>369</v>
      </c>
      <c r="B68" s="43" t="s">
        <v>182</v>
      </c>
      <c r="C68" s="70" t="s">
        <v>200</v>
      </c>
      <c r="D68" s="66" t="s">
        <v>201</v>
      </c>
      <c r="E68" s="43" t="s">
        <v>402</v>
      </c>
      <c r="F68" s="42" t="s">
        <v>403</v>
      </c>
      <c r="G68" s="42"/>
      <c r="H68" s="42"/>
      <c r="I68" s="42" t="s">
        <v>404</v>
      </c>
      <c r="J68" s="42" t="s">
        <v>405</v>
      </c>
      <c r="K68" s="44">
        <v>0.95</v>
      </c>
      <c r="L68" s="16">
        <v>10</v>
      </c>
      <c r="M68" s="17"/>
      <c r="N68" s="17"/>
      <c r="O68" s="10"/>
      <c r="P68" s="10">
        <f t="shared" si="7"/>
        <v>0</v>
      </c>
      <c r="Q68" s="11"/>
      <c r="R68" s="11"/>
    </row>
    <row r="69" spans="1:18" ht="18.75" hidden="1"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hidden="1"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filterColumn colId="1">
      <filters>
        <filter val="ENTC"/>
      </filters>
    </filterColumn>
  </autoFilter>
  <conditionalFormatting sqref="G24">
    <cfRule type="colorScale" priority="32">
      <colorScale>
        <cfvo type="min"/>
        <cfvo type="percentile" val="50"/>
        <cfvo type="max"/>
        <color rgb="FFF8696B"/>
        <color rgb="FFFFEB84"/>
        <color rgb="FF63BE7B"/>
      </colorScale>
    </cfRule>
  </conditionalFormatting>
  <conditionalFormatting sqref="G28">
    <cfRule type="colorScale" priority="34">
      <colorScale>
        <cfvo type="min"/>
        <cfvo type="percentile" val="50"/>
        <cfvo type="max"/>
        <color rgb="FFF8696B"/>
        <color rgb="FFFFEB84"/>
        <color rgb="FF63BE7B"/>
      </colorScale>
    </cfRule>
  </conditionalFormatting>
  <conditionalFormatting sqref="G39">
    <cfRule type="colorScale" priority="36">
      <colorScale>
        <cfvo type="min"/>
        <cfvo type="percentile" val="50"/>
        <cfvo type="max"/>
        <color rgb="FFF8696B"/>
        <color rgb="FFFFEB84"/>
        <color rgb="FF63BE7B"/>
      </colorScale>
    </cfRule>
  </conditionalFormatting>
  <conditionalFormatting sqref="G51">
    <cfRule type="colorScale" priority="38">
      <colorScale>
        <cfvo type="min"/>
        <cfvo type="percentile" val="50"/>
        <cfvo type="max"/>
        <color rgb="FFF8696B"/>
        <color rgb="FFFFEB84"/>
        <color rgb="FF63BE7B"/>
      </colorScale>
    </cfRule>
  </conditionalFormatting>
  <conditionalFormatting sqref="H24">
    <cfRule type="colorScale" priority="31">
      <colorScale>
        <cfvo type="min"/>
        <cfvo type="percentile" val="50"/>
        <cfvo type="max"/>
        <color rgb="FFF8696B"/>
        <color rgb="FFFFEB84"/>
        <color rgb="FF63BE7B"/>
      </colorScale>
    </cfRule>
  </conditionalFormatting>
  <conditionalFormatting sqref="H28">
    <cfRule type="colorScale" priority="33">
      <colorScale>
        <cfvo type="min"/>
        <cfvo type="percentile" val="50"/>
        <cfvo type="max"/>
        <color rgb="FFF8696B"/>
        <color rgb="FFFFEB84"/>
        <color rgb="FF63BE7B"/>
      </colorScale>
    </cfRule>
  </conditionalFormatting>
  <conditionalFormatting sqref="H39">
    <cfRule type="colorScale" priority="35">
      <colorScale>
        <cfvo type="min"/>
        <cfvo type="percentile" val="50"/>
        <cfvo type="max"/>
        <color rgb="FFF8696B"/>
        <color rgb="FFFFEB84"/>
        <color rgb="FF63BE7B"/>
      </colorScale>
    </cfRule>
  </conditionalFormatting>
  <conditionalFormatting sqref="H51">
    <cfRule type="colorScale" priority="37">
      <colorScale>
        <cfvo type="min"/>
        <cfvo type="percentile" val="50"/>
        <cfvo type="max"/>
        <color rgb="FFF8696B"/>
        <color rgb="FFFFEB84"/>
        <color rgb="FF63BE7B"/>
      </colorScale>
    </cfRule>
  </conditionalFormatting>
  <conditionalFormatting sqref="M1">
    <cfRule type="colorScale" priority="44">
      <colorScale>
        <cfvo type="min"/>
        <cfvo type="percentile" val="50"/>
        <cfvo type="max"/>
        <color rgb="FFF8696B"/>
        <color rgb="FFFFEB84"/>
        <color rgb="FF63BE7B"/>
      </colorScale>
    </cfRule>
  </conditionalFormatting>
  <conditionalFormatting sqref="M5:M6">
    <cfRule type="colorScale" priority="4">
      <colorScale>
        <cfvo type="min"/>
        <cfvo type="percentile" val="50"/>
        <cfvo type="max"/>
        <color rgb="FFF8696B"/>
        <color rgb="FFFFEB84"/>
        <color rgb="FF63BE7B"/>
      </colorScale>
    </cfRule>
  </conditionalFormatting>
  <conditionalFormatting sqref="M7">
    <cfRule type="colorScale" priority="6">
      <colorScale>
        <cfvo type="min"/>
        <cfvo type="percentile" val="50"/>
        <cfvo type="max"/>
        <color rgb="FFF8696B"/>
        <color rgb="FFFFEB84"/>
        <color rgb="FF63BE7B"/>
      </colorScale>
    </cfRule>
  </conditionalFormatting>
  <conditionalFormatting sqref="M23:M35">
    <cfRule type="colorScale" priority="5">
      <colorScale>
        <cfvo type="min"/>
        <cfvo type="percentile" val="50"/>
        <cfvo type="max"/>
        <color rgb="FFF8696B"/>
        <color rgb="FFFFEB84"/>
        <color rgb="FF63BE7B"/>
      </colorScale>
    </cfRule>
  </conditionalFormatting>
  <conditionalFormatting sqref="M47:M56">
    <cfRule type="colorScale" priority="2">
      <colorScale>
        <cfvo type="min"/>
        <cfvo type="percentile" val="50"/>
        <cfvo type="max"/>
        <color rgb="FFF8696B"/>
        <color rgb="FFFFEB84"/>
        <color rgb="FF63BE7B"/>
      </colorScale>
    </cfRule>
  </conditionalFormatting>
  <conditionalFormatting sqref="M57:M58">
    <cfRule type="colorScale" priority="3">
      <colorScale>
        <cfvo type="min"/>
        <cfvo type="percentile" val="50"/>
        <cfvo type="max"/>
        <color rgb="FFF8696B"/>
        <color rgb="FFFFEB84"/>
        <color rgb="FF63BE7B"/>
      </colorScale>
    </cfRule>
  </conditionalFormatting>
  <conditionalFormatting sqref="M2:N2">
    <cfRule type="colorScale" priority="27">
      <colorScale>
        <cfvo type="min"/>
        <cfvo type="percentile" val="50"/>
        <cfvo type="max"/>
        <color rgb="FFF8696B"/>
        <color rgb="FFFFEB84"/>
        <color rgb="FF63BE7B"/>
      </colorScale>
    </cfRule>
  </conditionalFormatting>
  <conditionalFormatting sqref="M3:N3">
    <cfRule type="colorScale" priority="26">
      <colorScale>
        <cfvo type="min"/>
        <cfvo type="percentile" val="50"/>
        <cfvo type="max"/>
        <color rgb="FFF8696B"/>
        <color rgb="FFFFEB84"/>
        <color rgb="FF63BE7B"/>
      </colorScale>
    </cfRule>
  </conditionalFormatting>
  <conditionalFormatting sqref="M4:N4">
    <cfRule type="colorScale" priority="23">
      <colorScale>
        <cfvo type="min"/>
        <cfvo type="percentile" val="50"/>
        <cfvo type="max"/>
        <color rgb="FFF8696B"/>
        <color rgb="FFFFEB84"/>
        <color rgb="FF63BE7B"/>
      </colorScale>
    </cfRule>
  </conditionalFormatting>
  <conditionalFormatting sqref="M37:N42 M45:N45 M12:N22 M9:N10">
    <cfRule type="colorScale" priority="43">
      <colorScale>
        <cfvo type="min"/>
        <cfvo type="percentile" val="50"/>
        <cfvo type="max"/>
        <color rgb="FFF8696B"/>
        <color rgb="FFFFEB84"/>
        <color rgb="FF63BE7B"/>
      </colorScale>
    </cfRule>
  </conditionalFormatting>
  <conditionalFormatting sqref="M11:N11">
    <cfRule type="colorScale" priority="42">
      <colorScale>
        <cfvo type="min"/>
        <cfvo type="percentile" val="50"/>
        <cfvo type="max"/>
        <color rgb="FFF8696B"/>
        <color rgb="FFFFEB84"/>
        <color rgb="FF63BE7B"/>
      </colorScale>
    </cfRule>
  </conditionalFormatting>
  <conditionalFormatting sqref="M36:N36">
    <cfRule type="colorScale" priority="24">
      <colorScale>
        <cfvo type="min"/>
        <cfvo type="percentile" val="50"/>
        <cfvo type="max"/>
        <color rgb="FFF8696B"/>
        <color rgb="FFFFEB84"/>
        <color rgb="FF63BE7B"/>
      </colorScale>
    </cfRule>
  </conditionalFormatting>
  <conditionalFormatting sqref="M43:N43">
    <cfRule type="colorScale" priority="21">
      <colorScale>
        <cfvo type="min"/>
        <cfvo type="percentile" val="50"/>
        <cfvo type="max"/>
        <color rgb="FFF8696B"/>
        <color rgb="FFFFEB84"/>
        <color rgb="FF63BE7B"/>
      </colorScale>
    </cfRule>
  </conditionalFormatting>
  <conditionalFormatting sqref="M44:N44">
    <cfRule type="colorScale" priority="20">
      <colorScale>
        <cfvo type="min"/>
        <cfvo type="percentile" val="50"/>
        <cfvo type="max"/>
        <color rgb="FFF8696B"/>
        <color rgb="FFFFEB84"/>
        <color rgb="FF63BE7B"/>
      </colorScale>
    </cfRule>
  </conditionalFormatting>
  <conditionalFormatting sqref="M46:N46">
    <cfRule type="colorScale" priority="7">
      <colorScale>
        <cfvo type="min"/>
        <cfvo type="percentile" val="50"/>
        <cfvo type="max"/>
        <color rgb="FFF8696B"/>
        <color rgb="FFFFEB84"/>
        <color rgb="FF63BE7B"/>
      </colorScale>
    </cfRule>
  </conditionalFormatting>
  <conditionalFormatting sqref="M59:N59">
    <cfRule type="colorScale" priority="19">
      <colorScale>
        <cfvo type="min"/>
        <cfvo type="percentile" val="50"/>
        <cfvo type="max"/>
        <color rgb="FFF8696B"/>
        <color rgb="FFFFEB84"/>
        <color rgb="FF63BE7B"/>
      </colorScale>
    </cfRule>
  </conditionalFormatting>
  <conditionalFormatting sqref="M60:N60">
    <cfRule type="colorScale" priority="18">
      <colorScale>
        <cfvo type="min"/>
        <cfvo type="percentile" val="50"/>
        <cfvo type="max"/>
        <color rgb="FFF8696B"/>
        <color rgb="FFFFEB84"/>
        <color rgb="FF63BE7B"/>
      </colorScale>
    </cfRule>
  </conditionalFormatting>
  <conditionalFormatting sqref="M61:N61">
    <cfRule type="colorScale" priority="17">
      <colorScale>
        <cfvo type="min"/>
        <cfvo type="percentile" val="50"/>
        <cfvo type="max"/>
        <color rgb="FFF8696B"/>
        <color rgb="FFFFEB84"/>
        <color rgb="FF63BE7B"/>
      </colorScale>
    </cfRule>
  </conditionalFormatting>
  <conditionalFormatting sqref="M62:N62">
    <cfRule type="colorScale" priority="16">
      <colorScale>
        <cfvo type="min"/>
        <cfvo type="percentile" val="50"/>
        <cfvo type="max"/>
        <color rgb="FFF8696B"/>
        <color rgb="FFFFEB84"/>
        <color rgb="FF63BE7B"/>
      </colorScale>
    </cfRule>
  </conditionalFormatting>
  <conditionalFormatting sqref="M63:N63">
    <cfRule type="colorScale" priority="15">
      <colorScale>
        <cfvo type="min"/>
        <cfvo type="percentile" val="50"/>
        <cfvo type="max"/>
        <color rgb="FFF8696B"/>
        <color rgb="FFFFEB84"/>
        <color rgb="FF63BE7B"/>
      </colorScale>
    </cfRule>
  </conditionalFormatting>
  <conditionalFormatting sqref="M64:N64">
    <cfRule type="colorScale" priority="14">
      <colorScale>
        <cfvo type="min"/>
        <cfvo type="percentile" val="50"/>
        <cfvo type="max"/>
        <color rgb="FFF8696B"/>
        <color rgb="FFFFEB84"/>
        <color rgb="FF63BE7B"/>
      </colorScale>
    </cfRule>
  </conditionalFormatting>
  <conditionalFormatting sqref="M65:N65">
    <cfRule type="colorScale" priority="13">
      <colorScale>
        <cfvo type="min"/>
        <cfvo type="percentile" val="50"/>
        <cfvo type="max"/>
        <color rgb="FFF8696B"/>
        <color rgb="FFFFEB84"/>
        <color rgb="FF63BE7B"/>
      </colorScale>
    </cfRule>
  </conditionalFormatting>
  <conditionalFormatting sqref="M66:N66">
    <cfRule type="colorScale" priority="12">
      <colorScale>
        <cfvo type="min"/>
        <cfvo type="percentile" val="50"/>
        <cfvo type="max"/>
        <color rgb="FFF8696B"/>
        <color rgb="FFFFEB84"/>
        <color rgb="FF63BE7B"/>
      </colorScale>
    </cfRule>
  </conditionalFormatting>
  <conditionalFormatting sqref="M67:N67">
    <cfRule type="colorScale" priority="11">
      <colorScale>
        <cfvo type="min"/>
        <cfvo type="percentile" val="50"/>
        <cfvo type="max"/>
        <color rgb="FFF8696B"/>
        <color rgb="FFFFEB84"/>
        <color rgb="FF63BE7B"/>
      </colorScale>
    </cfRule>
  </conditionalFormatting>
  <conditionalFormatting sqref="M68:N68">
    <cfRule type="colorScale" priority="10">
      <colorScale>
        <cfvo type="min"/>
        <cfvo type="percentile" val="50"/>
        <cfvo type="max"/>
        <color rgb="FFF8696B"/>
        <color rgb="FFFFEB84"/>
        <color rgb="FF63BE7B"/>
      </colorScale>
    </cfRule>
  </conditionalFormatting>
  <conditionalFormatting sqref="M69:N1048576">
    <cfRule type="colorScale" priority="47">
      <colorScale>
        <cfvo type="min"/>
        <cfvo type="percentile" val="50"/>
        <cfvo type="max"/>
        <color rgb="FFF8696B"/>
        <color rgb="FFFFEB84"/>
        <color rgb="FF63BE7B"/>
      </colorScale>
    </cfRule>
  </conditionalFormatting>
  <conditionalFormatting sqref="N1">
    <cfRule type="colorScale" priority="45">
      <colorScale>
        <cfvo type="min"/>
        <cfvo type="percentile" val="50"/>
        <cfvo type="max"/>
        <color rgb="FFF8696B"/>
        <color rgb="FFFFEB84"/>
        <color rgb="FF63BE7B"/>
      </colorScale>
    </cfRule>
  </conditionalFormatting>
  <conditionalFormatting sqref="N5:N6">
    <cfRule type="colorScale" priority="25">
      <colorScale>
        <cfvo type="min"/>
        <cfvo type="percentile" val="50"/>
        <cfvo type="max"/>
        <color rgb="FFF8696B"/>
        <color rgb="FFFFEB84"/>
        <color rgb="FF63BE7B"/>
      </colorScale>
    </cfRule>
  </conditionalFormatting>
  <conditionalFormatting sqref="N7:N8">
    <cfRule type="colorScale" priority="30">
      <colorScale>
        <cfvo type="min"/>
        <cfvo type="percentile" val="50"/>
        <cfvo type="max"/>
        <color rgb="FFF8696B"/>
        <color rgb="FFFFEB84"/>
        <color rgb="FF63BE7B"/>
      </colorScale>
    </cfRule>
  </conditionalFormatting>
  <conditionalFormatting sqref="N23:N35">
    <cfRule type="colorScale" priority="28">
      <colorScale>
        <cfvo type="min"/>
        <cfvo type="percentile" val="50"/>
        <cfvo type="max"/>
        <color rgb="FFF8696B"/>
        <color rgb="FFFFEB84"/>
        <color rgb="FF63BE7B"/>
      </colorScale>
    </cfRule>
  </conditionalFormatting>
  <conditionalFormatting sqref="N47:N56">
    <cfRule type="colorScale" priority="8">
      <colorScale>
        <cfvo type="min"/>
        <cfvo type="percentile" val="50"/>
        <cfvo type="max"/>
        <color rgb="FFF8696B"/>
        <color rgb="FFFFEB84"/>
        <color rgb="FF63BE7B"/>
      </colorScale>
    </cfRule>
  </conditionalFormatting>
  <conditionalFormatting sqref="N57:N58">
    <cfRule type="colorScale" priority="9">
      <colorScale>
        <cfvo type="min"/>
        <cfvo type="percentile" val="50"/>
        <cfvo type="max"/>
        <color rgb="FFF8696B"/>
        <color rgb="FFFFEB84"/>
        <color rgb="FF63BE7B"/>
      </colorScale>
    </cfRule>
  </conditionalFormatting>
  <conditionalFormatting sqref="M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427</v>
      </c>
      <c r="C24" s="2" t="s">
        <v>428</v>
      </c>
      <c r="D24" s="2" t="s">
        <v>429</v>
      </c>
    </row>
    <row r="25" spans="1:4" ht="18.75" customHeight="1" x14ac:dyDescent="0.2">
      <c r="A25" s="2" t="s">
        <v>70</v>
      </c>
      <c r="B25" s="2" t="s">
        <v>74</v>
      </c>
      <c r="C25" s="2" t="s">
        <v>75</v>
      </c>
      <c r="D25" s="2" t="s">
        <v>76</v>
      </c>
    </row>
    <row r="26" spans="1:4" ht="18.75" customHeight="1" x14ac:dyDescent="0.2">
      <c r="A26" s="2" t="s">
        <v>70</v>
      </c>
      <c r="B26" s="2" t="s">
        <v>424</v>
      </c>
      <c r="C26" s="2" t="s">
        <v>425</v>
      </c>
      <c r="D26" s="2" t="s">
        <v>426</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421</v>
      </c>
      <c r="C29" s="2" t="s">
        <v>422</v>
      </c>
      <c r="D29" s="2" t="s">
        <v>423</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418</v>
      </c>
      <c r="C40" s="2" t="s">
        <v>419</v>
      </c>
      <c r="D40" s="2" t="s">
        <v>420</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415</v>
      </c>
      <c r="C51" s="2" t="s">
        <v>416</v>
      </c>
      <c r="D51" s="2" t="s">
        <v>417</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2026-06-01T16:13:17Z</dcterms:modified>
</cp:coreProperties>
</file>