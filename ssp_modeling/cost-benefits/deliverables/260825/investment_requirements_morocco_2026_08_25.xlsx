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A9F61A9E-7A6F-F046-809C-161C757E3A9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otal" sheetId="1" r:id="rId1"/>
    <sheet name="SAM" sheetId="2" r:id="rId2"/>
    <sheet name="Government" sheetId="3" r:id="rId3"/>
    <sheet name="Firms" sheetId="4" r:id="rId4"/>
    <sheet name="Househo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E99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D31" i="1"/>
  <c r="E17" i="1"/>
  <c r="F17" i="1"/>
  <c r="G17" i="1"/>
  <c r="G29" i="1" s="1"/>
  <c r="H17" i="1"/>
  <c r="I17" i="1"/>
  <c r="I25" i="1" s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V25" i="1" s="1"/>
  <c r="W17" i="1"/>
  <c r="W25" i="1" s="1"/>
  <c r="X17" i="1"/>
  <c r="X25" i="1" s="1"/>
  <c r="Y17" i="1"/>
  <c r="Y25" i="1" s="1"/>
  <c r="Z17" i="1"/>
  <c r="Z25" i="1" s="1"/>
  <c r="AA17" i="1"/>
  <c r="AA25" i="1" s="1"/>
  <c r="AB17" i="1"/>
  <c r="AB25" i="1" s="1"/>
  <c r="AC17" i="1"/>
  <c r="AC25" i="1" s="1"/>
  <c r="AD17" i="1"/>
  <c r="AD25" i="1" s="1"/>
  <c r="AE17" i="1"/>
  <c r="AE25" i="1" s="1"/>
  <c r="S22" i="1"/>
  <c r="R22" i="1"/>
  <c r="Q22" i="1"/>
  <c r="P22" i="1"/>
  <c r="O22" i="1"/>
  <c r="N22" i="1"/>
  <c r="M22" i="1"/>
  <c r="L22" i="1"/>
  <c r="J22" i="1"/>
  <c r="H22" i="1"/>
  <c r="G22" i="1"/>
  <c r="AC22" i="1"/>
  <c r="AB22" i="1"/>
  <c r="AA22" i="1"/>
  <c r="S27" i="1"/>
  <c r="R27" i="1"/>
  <c r="Q27" i="1"/>
  <c r="P27" i="1"/>
  <c r="O27" i="1"/>
  <c r="N27" i="1"/>
  <c r="M27" i="1"/>
  <c r="J28" i="1"/>
  <c r="I28" i="1"/>
  <c r="U23" i="1"/>
  <c r="T23" i="1"/>
  <c r="S23" i="1"/>
  <c r="R23" i="1"/>
  <c r="Q23" i="1"/>
  <c r="P23" i="1"/>
  <c r="O23" i="1"/>
  <c r="N23" i="1"/>
  <c r="M23" i="1"/>
  <c r="L23" i="1"/>
  <c r="J23" i="1"/>
  <c r="I23" i="1"/>
  <c r="G23" i="1"/>
  <c r="F24" i="1"/>
  <c r="E24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E21" i="1"/>
  <c r="F21" i="1"/>
  <c r="G21" i="1"/>
  <c r="H21" i="1"/>
  <c r="E25" i="1"/>
  <c r="F25" i="1"/>
  <c r="G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E27" i="1"/>
  <c r="F27" i="1"/>
  <c r="G27" i="1"/>
  <c r="H27" i="1"/>
  <c r="I27" i="1"/>
  <c r="J27" i="1"/>
  <c r="L27" i="1"/>
  <c r="AA27" i="1"/>
  <c r="AB27" i="1"/>
  <c r="AC27" i="1"/>
  <c r="AD27" i="1"/>
  <c r="D17" i="1"/>
  <c r="AE41" i="2"/>
  <c r="AE37" i="2"/>
  <c r="AE30" i="2"/>
  <c r="AE29" i="2"/>
  <c r="AE17" i="2"/>
  <c r="AE11" i="2"/>
  <c r="AA11" i="2"/>
  <c r="C266" i="3" s="1"/>
  <c r="C335" i="5"/>
  <c r="C334" i="5"/>
  <c r="C333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22" i="4"/>
  <c r="C321" i="4"/>
  <c r="C320" i="4"/>
  <c r="C319" i="4"/>
  <c r="C318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E322" i="4" s="1"/>
  <c r="D10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L42" i="2"/>
  <c r="AH42" i="2"/>
  <c r="AD42" i="2"/>
  <c r="Z42" i="2"/>
  <c r="V42" i="2"/>
  <c r="R42" i="2"/>
  <c r="N42" i="2"/>
  <c r="J42" i="2"/>
  <c r="F42" i="2"/>
  <c r="B42" i="2"/>
  <c r="AM41" i="2"/>
  <c r="AI41" i="2"/>
  <c r="AA41" i="2"/>
  <c r="W41" i="2"/>
  <c r="C256" i="3" s="1"/>
  <c r="S41" i="2"/>
  <c r="O41" i="2"/>
  <c r="C176" i="3" s="1"/>
  <c r="K41" i="2"/>
  <c r="G41" i="2"/>
  <c r="C96" i="3" s="1"/>
  <c r="C41" i="2"/>
  <c r="AM40" i="2"/>
  <c r="AI40" i="2"/>
  <c r="C335" i="4"/>
  <c r="C335" i="3"/>
  <c r="AA40" i="2"/>
  <c r="W40" i="2"/>
  <c r="C255" i="3" s="1"/>
  <c r="S40" i="2"/>
  <c r="O40" i="2"/>
  <c r="C175" i="3" s="1"/>
  <c r="K40" i="2"/>
  <c r="C135" i="3" s="1"/>
  <c r="G40" i="2"/>
  <c r="C95" i="3" s="1"/>
  <c r="C40" i="2"/>
  <c r="C55" i="3" s="1"/>
  <c r="AM39" i="2"/>
  <c r="C414" i="3" s="1"/>
  <c r="AI39" i="2"/>
  <c r="C374" i="3" s="1"/>
  <c r="C334" i="4"/>
  <c r="C334" i="3"/>
  <c r="AA39" i="2"/>
  <c r="C294" i="3" s="1"/>
  <c r="W39" i="2"/>
  <c r="C254" i="3" s="1"/>
  <c r="S39" i="2"/>
  <c r="C214" i="3" s="1"/>
  <c r="O39" i="2"/>
  <c r="C174" i="3" s="1"/>
  <c r="K39" i="2"/>
  <c r="C134" i="3" s="1"/>
  <c r="G39" i="2"/>
  <c r="C94" i="3" s="1"/>
  <c r="C39" i="2"/>
  <c r="C54" i="3" s="1"/>
  <c r="AM38" i="2"/>
  <c r="C413" i="3" s="1"/>
  <c r="AI38" i="2"/>
  <c r="C373" i="3" s="1"/>
  <c r="C333" i="4"/>
  <c r="C333" i="3"/>
  <c r="AA38" i="2"/>
  <c r="C293" i="3" s="1"/>
  <c r="W38" i="2"/>
  <c r="C253" i="3" s="1"/>
  <c r="S38" i="2"/>
  <c r="C213" i="3" s="1"/>
  <c r="O38" i="2"/>
  <c r="C173" i="3" s="1"/>
  <c r="K38" i="2"/>
  <c r="C133" i="3" s="1"/>
  <c r="G38" i="2"/>
  <c r="C93" i="3" s="1"/>
  <c r="C38" i="2"/>
  <c r="C53" i="3" s="1"/>
  <c r="AM37" i="2"/>
  <c r="C412" i="3" s="1"/>
  <c r="AI37" i="2"/>
  <c r="C372" i="3" s="1"/>
  <c r="AA37" i="2"/>
  <c r="C292" i="3" s="1"/>
  <c r="W37" i="2"/>
  <c r="C252" i="3" s="1"/>
  <c r="S37" i="2"/>
  <c r="C212" i="3" s="1"/>
  <c r="O37" i="2"/>
  <c r="C172" i="3" s="1"/>
  <c r="K37" i="2"/>
  <c r="C132" i="3" s="1"/>
  <c r="G37" i="2"/>
  <c r="C92" i="3" s="1"/>
  <c r="C37" i="2"/>
  <c r="C52" i="3" s="1"/>
  <c r="AM36" i="2"/>
  <c r="C411" i="3" s="1"/>
  <c r="AI36" i="2"/>
  <c r="C371" i="3" s="1"/>
  <c r="C331" i="5"/>
  <c r="C331" i="4"/>
  <c r="C331" i="3"/>
  <c r="AA36" i="2"/>
  <c r="C291" i="3" s="1"/>
  <c r="W36" i="2"/>
  <c r="C251" i="3" s="1"/>
  <c r="S36" i="2"/>
  <c r="C211" i="3" s="1"/>
  <c r="O36" i="2"/>
  <c r="C171" i="3" s="1"/>
  <c r="K36" i="2"/>
  <c r="C131" i="3" s="1"/>
  <c r="G36" i="2"/>
  <c r="C91" i="3" s="1"/>
  <c r="C36" i="2"/>
  <c r="C51" i="3" s="1"/>
  <c r="AM35" i="2"/>
  <c r="C410" i="3" s="1"/>
  <c r="AI35" i="2"/>
  <c r="C370" i="3" s="1"/>
  <c r="C330" i="5"/>
  <c r="C330" i="4"/>
  <c r="C330" i="3"/>
  <c r="AA35" i="2"/>
  <c r="C290" i="3" s="1"/>
  <c r="W35" i="2"/>
  <c r="C250" i="3" s="1"/>
  <c r="S35" i="2"/>
  <c r="C210" i="3" s="1"/>
  <c r="O35" i="2"/>
  <c r="C170" i="3" s="1"/>
  <c r="K35" i="2"/>
  <c r="G35" i="2"/>
  <c r="C90" i="3" s="1"/>
  <c r="C35" i="2"/>
  <c r="AM34" i="2"/>
  <c r="C409" i="3" s="1"/>
  <c r="AI34" i="2"/>
  <c r="C369" i="3" s="1"/>
  <c r="C329" i="5"/>
  <c r="C329" i="4"/>
  <c r="C329" i="3"/>
  <c r="AA34" i="2"/>
  <c r="C289" i="3" s="1"/>
  <c r="W34" i="2"/>
  <c r="C249" i="3" s="1"/>
  <c r="S34" i="2"/>
  <c r="O34" i="2"/>
  <c r="C169" i="3" s="1"/>
  <c r="K34" i="2"/>
  <c r="G34" i="2"/>
  <c r="C89" i="3" s="1"/>
  <c r="C34" i="2"/>
  <c r="AM33" i="2"/>
  <c r="C408" i="3" s="1"/>
  <c r="AI33" i="2"/>
  <c r="C368" i="3" s="1"/>
  <c r="C328" i="5"/>
  <c r="C328" i="4"/>
  <c r="C328" i="3"/>
  <c r="AA33" i="2"/>
  <c r="C288" i="3" s="1"/>
  <c r="W33" i="2"/>
  <c r="C248" i="3" s="1"/>
  <c r="S33" i="2"/>
  <c r="O33" i="2"/>
  <c r="C168" i="3" s="1"/>
  <c r="K33" i="2"/>
  <c r="G33" i="2"/>
  <c r="C88" i="3" s="1"/>
  <c r="C33" i="2"/>
  <c r="AM32" i="2"/>
  <c r="C407" i="3" s="1"/>
  <c r="AI32" i="2"/>
  <c r="C367" i="3" s="1"/>
  <c r="C327" i="5"/>
  <c r="C327" i="4"/>
  <c r="C327" i="3"/>
  <c r="AA32" i="2"/>
  <c r="C287" i="3" s="1"/>
  <c r="W32" i="2"/>
  <c r="C247" i="3" s="1"/>
  <c r="S32" i="2"/>
  <c r="O32" i="2"/>
  <c r="C167" i="3" s="1"/>
  <c r="K32" i="2"/>
  <c r="G32" i="2"/>
  <c r="C87" i="3" s="1"/>
  <c r="C32" i="2"/>
  <c r="AM31" i="2"/>
  <c r="C406" i="3" s="1"/>
  <c r="AI31" i="2"/>
  <c r="C366" i="3" s="1"/>
  <c r="C326" i="5"/>
  <c r="C326" i="4"/>
  <c r="AA31" i="2"/>
  <c r="C286" i="3" s="1"/>
  <c r="W31" i="2"/>
  <c r="C246" i="3" s="1"/>
  <c r="S31" i="2"/>
  <c r="O31" i="2"/>
  <c r="C166" i="3" s="1"/>
  <c r="K31" i="2"/>
  <c r="C126" i="3" s="1"/>
  <c r="G31" i="2"/>
  <c r="C86" i="3" s="1"/>
  <c r="C31" i="2"/>
  <c r="C46" i="3" s="1"/>
  <c r="AM30" i="2"/>
  <c r="C405" i="3" s="1"/>
  <c r="AI30" i="2"/>
  <c r="C365" i="3" s="1"/>
  <c r="AA30" i="2"/>
  <c r="C285" i="3" s="1"/>
  <c r="W30" i="2"/>
  <c r="C245" i="3" s="1"/>
  <c r="S30" i="2"/>
  <c r="O30" i="2"/>
  <c r="C165" i="3" s="1"/>
  <c r="K30" i="2"/>
  <c r="C125" i="3" s="1"/>
  <c r="G30" i="2"/>
  <c r="C85" i="3" s="1"/>
  <c r="C30" i="2"/>
  <c r="C45" i="3" s="1"/>
  <c r="AM29" i="2"/>
  <c r="C404" i="3" s="1"/>
  <c r="AI29" i="2"/>
  <c r="C364" i="3" s="1"/>
  <c r="AA29" i="2"/>
  <c r="C284" i="3" s="1"/>
  <c r="W29" i="2"/>
  <c r="C244" i="3" s="1"/>
  <c r="S29" i="2"/>
  <c r="C204" i="3" s="1"/>
  <c r="O29" i="2"/>
  <c r="C164" i="3" s="1"/>
  <c r="K29" i="2"/>
  <c r="C124" i="3" s="1"/>
  <c r="G29" i="2"/>
  <c r="C84" i="3" s="1"/>
  <c r="C29" i="2"/>
  <c r="C44" i="3" s="1"/>
  <c r="AM28" i="2"/>
  <c r="C403" i="3" s="1"/>
  <c r="AI28" i="2"/>
  <c r="C363" i="3" s="1"/>
  <c r="C323" i="5"/>
  <c r="C323" i="4"/>
  <c r="AA28" i="2"/>
  <c r="C283" i="3" s="1"/>
  <c r="W28" i="2"/>
  <c r="C243" i="3" s="1"/>
  <c r="S28" i="2"/>
  <c r="C203" i="3" s="1"/>
  <c r="O28" i="2"/>
  <c r="C163" i="3" s="1"/>
  <c r="K28" i="2"/>
  <c r="C123" i="3" s="1"/>
  <c r="G28" i="2"/>
  <c r="C83" i="3" s="1"/>
  <c r="C28" i="2"/>
  <c r="C43" i="3" s="1"/>
  <c r="AM27" i="2"/>
  <c r="C402" i="3" s="1"/>
  <c r="AI27" i="2"/>
  <c r="C362" i="3" s="1"/>
  <c r="C322" i="5"/>
  <c r="AA27" i="2"/>
  <c r="C282" i="3" s="1"/>
  <c r="W27" i="2"/>
  <c r="C242" i="3" s="1"/>
  <c r="S27" i="2"/>
  <c r="C202" i="3" s="1"/>
  <c r="O27" i="2"/>
  <c r="C162" i="3" s="1"/>
  <c r="K27" i="2"/>
  <c r="C122" i="3" s="1"/>
  <c r="G27" i="2"/>
  <c r="C82" i="3" s="1"/>
  <c r="C27" i="2"/>
  <c r="C42" i="3" s="1"/>
  <c r="AM26" i="2"/>
  <c r="C401" i="3" s="1"/>
  <c r="AI26" i="2"/>
  <c r="C361" i="3" s="1"/>
  <c r="C321" i="5"/>
  <c r="AA26" i="2"/>
  <c r="C281" i="3" s="1"/>
  <c r="W26" i="2"/>
  <c r="C241" i="3" s="1"/>
  <c r="S26" i="2"/>
  <c r="C201" i="3" s="1"/>
  <c r="O26" i="2"/>
  <c r="C161" i="3" s="1"/>
  <c r="K26" i="2"/>
  <c r="C121" i="3" s="1"/>
  <c r="G26" i="2"/>
  <c r="C81" i="3" s="1"/>
  <c r="C26" i="2"/>
  <c r="C41" i="3" s="1"/>
  <c r="AM25" i="2"/>
  <c r="C400" i="3" s="1"/>
  <c r="AI25" i="2"/>
  <c r="C360" i="3" s="1"/>
  <c r="C320" i="5"/>
  <c r="AA25" i="2"/>
  <c r="C280" i="3" s="1"/>
  <c r="W25" i="2"/>
  <c r="C240" i="3" s="1"/>
  <c r="S25" i="2"/>
  <c r="C200" i="3" s="1"/>
  <c r="O25" i="2"/>
  <c r="C160" i="3" s="1"/>
  <c r="K25" i="2"/>
  <c r="C120" i="3" s="1"/>
  <c r="G25" i="2"/>
  <c r="C80" i="3" s="1"/>
  <c r="C25" i="2"/>
  <c r="C40" i="3" s="1"/>
  <c r="AM24" i="2"/>
  <c r="C399" i="3" s="1"/>
  <c r="AI24" i="2"/>
  <c r="C359" i="3" s="1"/>
  <c r="C319" i="5"/>
  <c r="AA24" i="2"/>
  <c r="C279" i="3" s="1"/>
  <c r="W24" i="2"/>
  <c r="C239" i="3" s="1"/>
  <c r="S24" i="2"/>
  <c r="C199" i="3" s="1"/>
  <c r="O24" i="2"/>
  <c r="C159" i="3" s="1"/>
  <c r="K24" i="2"/>
  <c r="C119" i="3" s="1"/>
  <c r="G24" i="2"/>
  <c r="C79" i="3" s="1"/>
  <c r="C24" i="2"/>
  <c r="C39" i="3" s="1"/>
  <c r="AM23" i="2"/>
  <c r="C398" i="3" s="1"/>
  <c r="AI23" i="2"/>
  <c r="C358" i="3" s="1"/>
  <c r="C318" i="5"/>
  <c r="AA23" i="2"/>
  <c r="C278" i="3" s="1"/>
  <c r="W23" i="2"/>
  <c r="C238" i="3" s="1"/>
  <c r="S23" i="2"/>
  <c r="C198" i="3" s="1"/>
  <c r="O23" i="2"/>
  <c r="C158" i="3" s="1"/>
  <c r="K23" i="2"/>
  <c r="C118" i="3" s="1"/>
  <c r="G23" i="2"/>
  <c r="C78" i="3" s="1"/>
  <c r="C23" i="2"/>
  <c r="C38" i="3" s="1"/>
  <c r="AM22" i="2"/>
  <c r="C397" i="3" s="1"/>
  <c r="AI22" i="2"/>
  <c r="C357" i="3" s="1"/>
  <c r="C317" i="5"/>
  <c r="C317" i="4"/>
  <c r="AA22" i="2"/>
  <c r="C277" i="3" s="1"/>
  <c r="W22" i="2"/>
  <c r="C237" i="3" s="1"/>
  <c r="S22" i="2"/>
  <c r="C197" i="3" s="1"/>
  <c r="O22" i="2"/>
  <c r="C157" i="3" s="1"/>
  <c r="K22" i="2"/>
  <c r="C117" i="3" s="1"/>
  <c r="G22" i="2"/>
  <c r="C77" i="3" s="1"/>
  <c r="C22" i="2"/>
  <c r="C37" i="3" s="1"/>
  <c r="AM21" i="2"/>
  <c r="C396" i="3" s="1"/>
  <c r="AI21" i="2"/>
  <c r="C356" i="3" s="1"/>
  <c r="C316" i="5"/>
  <c r="C316" i="4"/>
  <c r="AA21" i="2"/>
  <c r="C276" i="3" s="1"/>
  <c r="W21" i="2"/>
  <c r="C236" i="3" s="1"/>
  <c r="S21" i="2"/>
  <c r="C196" i="3" s="1"/>
  <c r="O21" i="2"/>
  <c r="C156" i="3" s="1"/>
  <c r="K21" i="2"/>
  <c r="C116" i="3" s="1"/>
  <c r="G21" i="2"/>
  <c r="C76" i="3" s="1"/>
  <c r="C21" i="2"/>
  <c r="C36" i="3" s="1"/>
  <c r="AM20" i="2"/>
  <c r="C395" i="3" s="1"/>
  <c r="AI20" i="2"/>
  <c r="C355" i="3" s="1"/>
  <c r="C315" i="5"/>
  <c r="C315" i="4"/>
  <c r="AA20" i="2"/>
  <c r="C275" i="3" s="1"/>
  <c r="W20" i="2"/>
  <c r="C235" i="3" s="1"/>
  <c r="S20" i="2"/>
  <c r="C195" i="3" s="1"/>
  <c r="O20" i="2"/>
  <c r="C155" i="3" s="1"/>
  <c r="K20" i="2"/>
  <c r="C115" i="3" s="1"/>
  <c r="G20" i="2"/>
  <c r="C75" i="3" s="1"/>
  <c r="C20" i="2"/>
  <c r="C35" i="3" s="1"/>
  <c r="AM19" i="2"/>
  <c r="C394" i="3" s="1"/>
  <c r="AI19" i="2"/>
  <c r="C354" i="3" s="1"/>
  <c r="C314" i="5"/>
  <c r="C314" i="4"/>
  <c r="AA19" i="2"/>
  <c r="C274" i="3" s="1"/>
  <c r="W19" i="2"/>
  <c r="C234" i="3" s="1"/>
  <c r="S19" i="2"/>
  <c r="C194" i="3" s="1"/>
  <c r="O19" i="2"/>
  <c r="C154" i="3" s="1"/>
  <c r="K19" i="2"/>
  <c r="C114" i="3" s="1"/>
  <c r="G19" i="2"/>
  <c r="C74" i="3" s="1"/>
  <c r="C19" i="2"/>
  <c r="C34" i="3" s="1"/>
  <c r="AM18" i="2"/>
  <c r="C393" i="3" s="1"/>
  <c r="AI18" i="2"/>
  <c r="C353" i="3" s="1"/>
  <c r="C313" i="5"/>
  <c r="C313" i="4"/>
  <c r="AA18" i="2"/>
  <c r="C273" i="3" s="1"/>
  <c r="W18" i="2"/>
  <c r="C233" i="3" s="1"/>
  <c r="S18" i="2"/>
  <c r="C193" i="3" s="1"/>
  <c r="O18" i="2"/>
  <c r="C153" i="3" s="1"/>
  <c r="K18" i="2"/>
  <c r="C113" i="3" s="1"/>
  <c r="G18" i="2"/>
  <c r="C73" i="3" s="1"/>
  <c r="C18" i="2"/>
  <c r="C33" i="3" s="1"/>
  <c r="AM17" i="2"/>
  <c r="C392" i="3" s="1"/>
  <c r="AI17" i="2"/>
  <c r="C352" i="3" s="1"/>
  <c r="AA17" i="2"/>
  <c r="C272" i="3" s="1"/>
  <c r="W17" i="2"/>
  <c r="C232" i="3" s="1"/>
  <c r="S17" i="2"/>
  <c r="C192" i="3" s="1"/>
  <c r="O17" i="2"/>
  <c r="C152" i="3" s="1"/>
  <c r="K17" i="2"/>
  <c r="C112" i="3" s="1"/>
  <c r="G17" i="2"/>
  <c r="C72" i="3" s="1"/>
  <c r="C17" i="2"/>
  <c r="C32" i="3" s="1"/>
  <c r="AM16" i="2"/>
  <c r="C391" i="3" s="1"/>
  <c r="AI16" i="2"/>
  <c r="C351" i="3" s="1"/>
  <c r="C311" i="5"/>
  <c r="C311" i="4"/>
  <c r="C311" i="3"/>
  <c r="AA16" i="2"/>
  <c r="C271" i="3" s="1"/>
  <c r="W16" i="2"/>
  <c r="C231" i="3" s="1"/>
  <c r="S16" i="2"/>
  <c r="C191" i="3" s="1"/>
  <c r="O16" i="2"/>
  <c r="C151" i="3" s="1"/>
  <c r="K16" i="2"/>
  <c r="C111" i="3" s="1"/>
  <c r="G16" i="2"/>
  <c r="C71" i="3" s="1"/>
  <c r="C16" i="2"/>
  <c r="C31" i="3" s="1"/>
  <c r="AM15" i="2"/>
  <c r="C390" i="3" s="1"/>
  <c r="AI15" i="2"/>
  <c r="C350" i="3" s="1"/>
  <c r="C310" i="5"/>
  <c r="C310" i="4"/>
  <c r="C310" i="3"/>
  <c r="AA15" i="2"/>
  <c r="C270" i="3" s="1"/>
  <c r="W15" i="2"/>
  <c r="C230" i="3" s="1"/>
  <c r="S15" i="2"/>
  <c r="C190" i="3" s="1"/>
  <c r="O15" i="2"/>
  <c r="C150" i="3" s="1"/>
  <c r="K15" i="2"/>
  <c r="C110" i="3" s="1"/>
  <c r="G15" i="2"/>
  <c r="C70" i="3" s="1"/>
  <c r="C15" i="2"/>
  <c r="C30" i="3" s="1"/>
  <c r="AM14" i="2"/>
  <c r="C389" i="3" s="1"/>
  <c r="AI14" i="2"/>
  <c r="C309" i="5"/>
  <c r="C309" i="4"/>
  <c r="AA14" i="2"/>
  <c r="W14" i="2"/>
  <c r="S14" i="2"/>
  <c r="O14" i="2"/>
  <c r="K14" i="2"/>
  <c r="G14" i="2"/>
  <c r="C14" i="2"/>
  <c r="AM13" i="2"/>
  <c r="C388" i="3" s="1"/>
  <c r="AI13" i="2"/>
  <c r="C348" i="3" s="1"/>
  <c r="C308" i="5"/>
  <c r="C308" i="4"/>
  <c r="AA13" i="2"/>
  <c r="C268" i="3" s="1"/>
  <c r="W13" i="2"/>
  <c r="C228" i="3" s="1"/>
  <c r="S13" i="2"/>
  <c r="C188" i="3" s="1"/>
  <c r="O13" i="2"/>
  <c r="C148" i="3" s="1"/>
  <c r="K13" i="2"/>
  <c r="C108" i="3" s="1"/>
  <c r="G13" i="2"/>
  <c r="C68" i="3" s="1"/>
  <c r="C13" i="2"/>
  <c r="C28" i="3" s="1"/>
  <c r="AM12" i="2"/>
  <c r="C387" i="3" s="1"/>
  <c r="AI12" i="2"/>
  <c r="C347" i="3" s="1"/>
  <c r="C307" i="5"/>
  <c r="C307" i="4"/>
  <c r="AA12" i="2"/>
  <c r="C267" i="3" s="1"/>
  <c r="W12" i="2"/>
  <c r="C227" i="3" s="1"/>
  <c r="S12" i="2"/>
  <c r="C187" i="3" s="1"/>
  <c r="O12" i="2"/>
  <c r="C147" i="3" s="1"/>
  <c r="K12" i="2"/>
  <c r="C107" i="3" s="1"/>
  <c r="G12" i="2"/>
  <c r="C67" i="3" s="1"/>
  <c r="C12" i="2"/>
  <c r="C27" i="3" s="1"/>
  <c r="AM11" i="2"/>
  <c r="C386" i="3" s="1"/>
  <c r="AI11" i="2"/>
  <c r="C346" i="3" s="1"/>
  <c r="W11" i="2"/>
  <c r="C226" i="3" s="1"/>
  <c r="S11" i="2"/>
  <c r="C186" i="3" s="1"/>
  <c r="O11" i="2"/>
  <c r="C146" i="3" s="1"/>
  <c r="K11" i="2"/>
  <c r="C106" i="3" s="1"/>
  <c r="G11" i="2"/>
  <c r="C66" i="3" s="1"/>
  <c r="C11" i="2"/>
  <c r="C26" i="3" s="1"/>
  <c r="AM10" i="2"/>
  <c r="C385" i="3" s="1"/>
  <c r="AI10" i="2"/>
  <c r="C345" i="3" s="1"/>
  <c r="C305" i="5"/>
  <c r="C305" i="4"/>
  <c r="AA10" i="2"/>
  <c r="C265" i="3" s="1"/>
  <c r="W10" i="2"/>
  <c r="C225" i="3" s="1"/>
  <c r="S10" i="2"/>
  <c r="C185" i="3" s="1"/>
  <c r="O10" i="2"/>
  <c r="C145" i="3" s="1"/>
  <c r="K10" i="2"/>
  <c r="C105" i="3" s="1"/>
  <c r="G10" i="2"/>
  <c r="C65" i="3" s="1"/>
  <c r="C10" i="2"/>
  <c r="C25" i="3" s="1"/>
  <c r="AM9" i="2"/>
  <c r="C384" i="3" s="1"/>
  <c r="AI9" i="2"/>
  <c r="C344" i="3" s="1"/>
  <c r="C304" i="5"/>
  <c r="C304" i="4"/>
  <c r="AA9" i="2"/>
  <c r="C264" i="3" s="1"/>
  <c r="W9" i="2"/>
  <c r="C224" i="3" s="1"/>
  <c r="S9" i="2"/>
  <c r="C184" i="3" s="1"/>
  <c r="O9" i="2"/>
  <c r="C144" i="3" s="1"/>
  <c r="K9" i="2"/>
  <c r="C104" i="3" s="1"/>
  <c r="G9" i="2"/>
  <c r="C64" i="3" s="1"/>
  <c r="C9" i="2"/>
  <c r="C24" i="3" s="1"/>
  <c r="AM8" i="2"/>
  <c r="C383" i="3" s="1"/>
  <c r="AI8" i="2"/>
  <c r="C343" i="3" s="1"/>
  <c r="C303" i="5"/>
  <c r="C303" i="4"/>
  <c r="AA8" i="2"/>
  <c r="C263" i="3" s="1"/>
  <c r="W8" i="2"/>
  <c r="C223" i="3" s="1"/>
  <c r="S8" i="2"/>
  <c r="C183" i="3" s="1"/>
  <c r="O8" i="2"/>
  <c r="C143" i="3" s="1"/>
  <c r="K8" i="2"/>
  <c r="C103" i="3" s="1"/>
  <c r="G8" i="2"/>
  <c r="C63" i="3" s="1"/>
  <c r="C8" i="2"/>
  <c r="C23" i="3" s="1"/>
  <c r="AM7" i="2"/>
  <c r="C382" i="3" s="1"/>
  <c r="AI7" i="2"/>
  <c r="C342" i="3" s="1"/>
  <c r="C302" i="5"/>
  <c r="C302" i="4"/>
  <c r="AA7" i="2"/>
  <c r="C262" i="3" s="1"/>
  <c r="W7" i="2"/>
  <c r="C222" i="3" s="1"/>
  <c r="S7" i="2"/>
  <c r="C182" i="3" s="1"/>
  <c r="O7" i="2"/>
  <c r="C142" i="3" s="1"/>
  <c r="K7" i="2"/>
  <c r="C102" i="3" s="1"/>
  <c r="G7" i="2"/>
  <c r="C62" i="3" s="1"/>
  <c r="C7" i="2"/>
  <c r="C22" i="3" s="1"/>
  <c r="AM6" i="2"/>
  <c r="C381" i="3" s="1"/>
  <c r="AI6" i="2"/>
  <c r="C341" i="3" s="1"/>
  <c r="C301" i="5"/>
  <c r="C301" i="4"/>
  <c r="AA6" i="2"/>
  <c r="C261" i="3" s="1"/>
  <c r="W6" i="2"/>
  <c r="C221" i="3" s="1"/>
  <c r="S6" i="2"/>
  <c r="C181" i="3" s="1"/>
  <c r="O6" i="2"/>
  <c r="C141" i="3" s="1"/>
  <c r="K6" i="2"/>
  <c r="C101" i="3" s="1"/>
  <c r="G6" i="2"/>
  <c r="C61" i="3" s="1"/>
  <c r="C6" i="2"/>
  <c r="C21" i="3" s="1"/>
  <c r="AM5" i="2"/>
  <c r="C380" i="3" s="1"/>
  <c r="AI5" i="2"/>
  <c r="C340" i="3" s="1"/>
  <c r="C300" i="5"/>
  <c r="C300" i="4"/>
  <c r="AA5" i="2"/>
  <c r="C260" i="3" s="1"/>
  <c r="W5" i="2"/>
  <c r="C220" i="3" s="1"/>
  <c r="S5" i="2"/>
  <c r="C180" i="3" s="1"/>
  <c r="O5" i="2"/>
  <c r="C140" i="3" s="1"/>
  <c r="K5" i="2"/>
  <c r="C100" i="3" s="1"/>
  <c r="G5" i="2"/>
  <c r="C60" i="3" s="1"/>
  <c r="C5" i="2"/>
  <c r="C20" i="3" s="1"/>
  <c r="AM4" i="2"/>
  <c r="C379" i="3" s="1"/>
  <c r="AI4" i="2"/>
  <c r="C339" i="3" s="1"/>
  <c r="C299" i="5"/>
  <c r="C299" i="4"/>
  <c r="AA4" i="2"/>
  <c r="C259" i="3" s="1"/>
  <c r="W4" i="2"/>
  <c r="C219" i="3" s="1"/>
  <c r="S4" i="2"/>
  <c r="C179" i="3" s="1"/>
  <c r="O4" i="2"/>
  <c r="C139" i="3" s="1"/>
  <c r="K4" i="2"/>
  <c r="C99" i="3" s="1"/>
  <c r="G4" i="2"/>
  <c r="C59" i="3" s="1"/>
  <c r="C4" i="2"/>
  <c r="C19" i="3" s="1"/>
  <c r="AM3" i="2"/>
  <c r="C378" i="3" s="1"/>
  <c r="AI3" i="2"/>
  <c r="C338" i="3" s="1"/>
  <c r="C298" i="5"/>
  <c r="C298" i="4"/>
  <c r="AA3" i="2"/>
  <c r="C258" i="3" s="1"/>
  <c r="W3" i="2"/>
  <c r="C218" i="3" s="1"/>
  <c r="S3" i="2"/>
  <c r="C178" i="3" s="1"/>
  <c r="O3" i="2"/>
  <c r="C138" i="3" s="1"/>
  <c r="K3" i="2"/>
  <c r="C98" i="3" s="1"/>
  <c r="G3" i="2"/>
  <c r="C58" i="3" s="1"/>
  <c r="C3" i="2"/>
  <c r="C18" i="3" s="1"/>
  <c r="AM2" i="2"/>
  <c r="AI2" i="2"/>
  <c r="C297" i="5"/>
  <c r="C297" i="4"/>
  <c r="AA2" i="2"/>
  <c r="C257" i="3" s="1"/>
  <c r="W2" i="2"/>
  <c r="C217" i="3" s="1"/>
  <c r="S2" i="2"/>
  <c r="O2" i="2"/>
  <c r="C137" i="3" s="1"/>
  <c r="K2" i="2"/>
  <c r="C97" i="3" s="1"/>
  <c r="G2" i="2"/>
  <c r="C57" i="3" s="1"/>
  <c r="C2" i="2"/>
  <c r="C17" i="3" s="1"/>
  <c r="C61" i="1"/>
  <c r="C58" i="1"/>
  <c r="C55" i="1"/>
  <c r="C52" i="1"/>
  <c r="C49" i="1"/>
  <c r="C46" i="1"/>
  <c r="C43" i="1"/>
  <c r="C40" i="1"/>
  <c r="C37" i="1"/>
  <c r="C34" i="1"/>
  <c r="D34" i="1" s="1"/>
  <c r="D68" i="1" s="1"/>
  <c r="C416" i="3"/>
  <c r="C415" i="3"/>
  <c r="C377" i="3"/>
  <c r="C376" i="3"/>
  <c r="C375" i="3"/>
  <c r="C337" i="3"/>
  <c r="C326" i="3"/>
  <c r="C323" i="3"/>
  <c r="C322" i="3"/>
  <c r="C321" i="3"/>
  <c r="C320" i="3"/>
  <c r="C319" i="3"/>
  <c r="C318" i="3"/>
  <c r="C317" i="3"/>
  <c r="C316" i="3"/>
  <c r="C315" i="3"/>
  <c r="C314" i="3"/>
  <c r="C313" i="3"/>
  <c r="C308" i="3"/>
  <c r="C307" i="3"/>
  <c r="C305" i="3"/>
  <c r="C304" i="3"/>
  <c r="C303" i="3"/>
  <c r="C302" i="3"/>
  <c r="C301" i="3"/>
  <c r="C300" i="3"/>
  <c r="C299" i="3"/>
  <c r="C298" i="3"/>
  <c r="C297" i="3"/>
  <c r="C296" i="3"/>
  <c r="C295" i="3"/>
  <c r="C216" i="3"/>
  <c r="C215" i="3"/>
  <c r="C209" i="3"/>
  <c r="C208" i="3"/>
  <c r="C207" i="3"/>
  <c r="C206" i="3"/>
  <c r="C205" i="3"/>
  <c r="C177" i="3"/>
  <c r="C136" i="3"/>
  <c r="C130" i="3"/>
  <c r="C129" i="3"/>
  <c r="C128" i="3"/>
  <c r="C127" i="3"/>
  <c r="C56" i="3"/>
  <c r="C50" i="3"/>
  <c r="C49" i="3"/>
  <c r="C48" i="3"/>
  <c r="C47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D21" i="1" l="1"/>
  <c r="D26" i="1"/>
  <c r="D27" i="1"/>
  <c r="E22" i="1"/>
  <c r="E29" i="1"/>
  <c r="F22" i="1"/>
  <c r="F29" i="1"/>
  <c r="I29" i="1"/>
  <c r="I21" i="1"/>
  <c r="J25" i="1"/>
  <c r="J29" i="1"/>
  <c r="J21" i="1"/>
  <c r="J24" i="1"/>
  <c r="K29" i="1"/>
  <c r="K21" i="1"/>
  <c r="K24" i="1"/>
  <c r="K25" i="1"/>
  <c r="L28" i="1"/>
  <c r="L29" i="1"/>
  <c r="L21" i="1"/>
  <c r="L24" i="1"/>
  <c r="L25" i="1"/>
  <c r="M28" i="1"/>
  <c r="M29" i="1"/>
  <c r="M21" i="1"/>
  <c r="M25" i="1"/>
  <c r="M24" i="1"/>
  <c r="N28" i="1"/>
  <c r="N29" i="1"/>
  <c r="N21" i="1"/>
  <c r="N25" i="1"/>
  <c r="N24" i="1"/>
  <c r="O28" i="1"/>
  <c r="O25" i="1"/>
  <c r="O21" i="1"/>
  <c r="O29" i="1"/>
  <c r="O24" i="1"/>
  <c r="P28" i="1"/>
  <c r="P25" i="1"/>
  <c r="P29" i="1"/>
  <c r="P21" i="1"/>
  <c r="P24" i="1"/>
  <c r="Q28" i="1"/>
  <c r="Q24" i="1"/>
  <c r="Q25" i="1"/>
  <c r="Q29" i="1"/>
  <c r="Q21" i="1"/>
  <c r="R28" i="1"/>
  <c r="R21" i="1"/>
  <c r="R24" i="1"/>
  <c r="R29" i="1"/>
  <c r="R25" i="1"/>
  <c r="S28" i="1"/>
  <c r="S25" i="1"/>
  <c r="S29" i="1"/>
  <c r="S21" i="1"/>
  <c r="S24" i="1"/>
  <c r="T29" i="1"/>
  <c r="T28" i="1"/>
  <c r="T21" i="1"/>
  <c r="T24" i="1"/>
  <c r="T25" i="1"/>
  <c r="U21" i="1"/>
  <c r="U29" i="1"/>
  <c r="U25" i="1"/>
  <c r="U28" i="1"/>
  <c r="U24" i="1"/>
  <c r="V23" i="1"/>
  <c r="V29" i="1"/>
  <c r="V28" i="1"/>
  <c r="V24" i="1"/>
  <c r="V21" i="1"/>
  <c r="W23" i="1"/>
  <c r="W29" i="1"/>
  <c r="W28" i="1"/>
  <c r="W24" i="1"/>
  <c r="W21" i="1"/>
  <c r="X28" i="1"/>
  <c r="X29" i="1"/>
  <c r="X24" i="1"/>
  <c r="Y28" i="1"/>
  <c r="Y29" i="1"/>
  <c r="Y24" i="1"/>
  <c r="Z28" i="1"/>
  <c r="Z29" i="1"/>
  <c r="Z24" i="1"/>
  <c r="AA28" i="1"/>
  <c r="AA29" i="1"/>
  <c r="AA24" i="1"/>
  <c r="AB28" i="1"/>
  <c r="AB29" i="1"/>
  <c r="AB24" i="1"/>
  <c r="AC28" i="1"/>
  <c r="AC29" i="1"/>
  <c r="AC24" i="1"/>
  <c r="AD28" i="1"/>
  <c r="AD29" i="1"/>
  <c r="AD24" i="1"/>
  <c r="AE28" i="1"/>
  <c r="AE29" i="1"/>
  <c r="AE24" i="1"/>
  <c r="D29" i="1"/>
  <c r="D25" i="1"/>
  <c r="D24" i="1"/>
  <c r="D23" i="1"/>
  <c r="D22" i="1"/>
  <c r="D28" i="1"/>
  <c r="X21" i="1"/>
  <c r="X23" i="1"/>
  <c r="Y23" i="1"/>
  <c r="Y21" i="1"/>
  <c r="Z21" i="1"/>
  <c r="Z23" i="1"/>
  <c r="AA23" i="1"/>
  <c r="AA21" i="1"/>
  <c r="AB23" i="1"/>
  <c r="AB21" i="1"/>
  <c r="AC23" i="1"/>
  <c r="AC21" i="1"/>
  <c r="AD22" i="1"/>
  <c r="AD23" i="1"/>
  <c r="AD21" i="1"/>
  <c r="AE22" i="1"/>
  <c r="AE23" i="1"/>
  <c r="AE27" i="1"/>
  <c r="AE21" i="1"/>
  <c r="K22" i="1"/>
  <c r="K28" i="1"/>
  <c r="I22" i="1"/>
  <c r="I24" i="1"/>
  <c r="Z27" i="1"/>
  <c r="Z22" i="1"/>
  <c r="Y27" i="1"/>
  <c r="Y22" i="1"/>
  <c r="X27" i="1"/>
  <c r="X22" i="1"/>
  <c r="W27" i="1"/>
  <c r="W22" i="1"/>
  <c r="V22" i="1"/>
  <c r="V27" i="1"/>
  <c r="U22" i="1"/>
  <c r="U27" i="1"/>
  <c r="T22" i="1"/>
  <c r="T27" i="1"/>
  <c r="H23" i="1"/>
  <c r="H25" i="1"/>
  <c r="H24" i="1"/>
  <c r="H28" i="1"/>
  <c r="H29" i="1"/>
  <c r="G24" i="1"/>
  <c r="G28" i="1"/>
  <c r="F28" i="1"/>
  <c r="F23" i="1"/>
  <c r="E28" i="1"/>
  <c r="E23" i="1"/>
  <c r="K23" i="1"/>
  <c r="K27" i="1"/>
  <c r="C306" i="3"/>
  <c r="C324" i="3"/>
  <c r="C336" i="3"/>
  <c r="C332" i="3"/>
  <c r="C325" i="3"/>
  <c r="C312" i="3"/>
  <c r="S335" i="5"/>
  <c r="J335" i="5"/>
  <c r="AE335" i="5"/>
  <c r="AC335" i="5"/>
  <c r="V335" i="5"/>
  <c r="AD335" i="5"/>
  <c r="AB335" i="5"/>
  <c r="Z335" i="5"/>
  <c r="W335" i="5"/>
  <c r="U335" i="5"/>
  <c r="AA335" i="5"/>
  <c r="Y335" i="5"/>
  <c r="H335" i="5"/>
  <c r="F335" i="5"/>
  <c r="E335" i="5"/>
  <c r="R335" i="5"/>
  <c r="T335" i="5"/>
  <c r="O335" i="5"/>
  <c r="M335" i="5"/>
  <c r="P335" i="5"/>
  <c r="G335" i="5"/>
  <c r="K335" i="5"/>
  <c r="I335" i="5"/>
  <c r="N335" i="5"/>
  <c r="L335" i="5"/>
  <c r="D335" i="5"/>
  <c r="X335" i="5"/>
  <c r="Q335" i="5"/>
  <c r="G334" i="5"/>
  <c r="I334" i="5"/>
  <c r="K334" i="5"/>
  <c r="E334" i="5"/>
  <c r="H334" i="5"/>
  <c r="Q334" i="5"/>
  <c r="T334" i="5"/>
  <c r="X334" i="5"/>
  <c r="J334" i="5"/>
  <c r="M334" i="5"/>
  <c r="F334" i="5"/>
  <c r="AE334" i="5"/>
  <c r="AD334" i="5"/>
  <c r="S334" i="5"/>
  <c r="W334" i="5"/>
  <c r="Y334" i="5"/>
  <c r="U334" i="5"/>
  <c r="R334" i="5"/>
  <c r="P334" i="5"/>
  <c r="L334" i="5"/>
  <c r="O334" i="5"/>
  <c r="AC334" i="5"/>
  <c r="AA334" i="5"/>
  <c r="AB334" i="5"/>
  <c r="Z334" i="5"/>
  <c r="V334" i="5"/>
  <c r="D334" i="5"/>
  <c r="N334" i="5"/>
  <c r="X333" i="5"/>
  <c r="AA333" i="5"/>
  <c r="Z333" i="5"/>
  <c r="V333" i="5"/>
  <c r="T333" i="5"/>
  <c r="N333" i="5"/>
  <c r="K333" i="5"/>
  <c r="I333" i="5"/>
  <c r="G333" i="5"/>
  <c r="D333" i="5"/>
  <c r="H333" i="5"/>
  <c r="L333" i="5"/>
  <c r="M333" i="5"/>
  <c r="P333" i="5"/>
  <c r="F333" i="5"/>
  <c r="AE333" i="5"/>
  <c r="AC333" i="5"/>
  <c r="Y333" i="5"/>
  <c r="E333" i="5"/>
  <c r="U333" i="5"/>
  <c r="R333" i="5"/>
  <c r="O333" i="5"/>
  <c r="J333" i="5"/>
  <c r="S333" i="5"/>
  <c r="W333" i="5"/>
  <c r="AD333" i="5"/>
  <c r="Q333" i="5"/>
  <c r="AB333" i="5"/>
  <c r="J322" i="4"/>
  <c r="AB322" i="4"/>
  <c r="Z322" i="4"/>
  <c r="M322" i="4"/>
  <c r="H322" i="4"/>
  <c r="AD322" i="4"/>
  <c r="I322" i="4"/>
  <c r="O322" i="4"/>
  <c r="R322" i="4"/>
  <c r="AA322" i="4"/>
  <c r="U322" i="4"/>
  <c r="N322" i="4"/>
  <c r="K322" i="4"/>
  <c r="Y322" i="4"/>
  <c r="T322" i="4"/>
  <c r="Q322" i="4"/>
  <c r="X322" i="4"/>
  <c r="W322" i="4"/>
  <c r="AC322" i="4"/>
  <c r="V322" i="4"/>
  <c r="S322" i="4"/>
  <c r="L322" i="4"/>
  <c r="G322" i="4"/>
  <c r="D322" i="4"/>
  <c r="F322" i="4"/>
  <c r="AE322" i="4"/>
  <c r="P322" i="4"/>
  <c r="G321" i="4"/>
  <c r="P321" i="4"/>
  <c r="D321" i="4"/>
  <c r="AE321" i="4"/>
  <c r="X321" i="4"/>
  <c r="R321" i="4"/>
  <c r="O321" i="4"/>
  <c r="N321" i="4"/>
  <c r="E321" i="4"/>
  <c r="H321" i="4"/>
  <c r="I321" i="4"/>
  <c r="T321" i="4"/>
  <c r="V321" i="4"/>
  <c r="AA321" i="4"/>
  <c r="AD321" i="4"/>
  <c r="K321" i="4"/>
  <c r="Y321" i="4"/>
  <c r="AC321" i="4"/>
  <c r="Z321" i="4"/>
  <c r="U321" i="4"/>
  <c r="Q321" i="4"/>
  <c r="L321" i="4"/>
  <c r="F321" i="4"/>
  <c r="J321" i="4"/>
  <c r="AB321" i="4"/>
  <c r="W321" i="4"/>
  <c r="S321" i="4"/>
  <c r="M321" i="4"/>
  <c r="Q320" i="4"/>
  <c r="O320" i="4"/>
  <c r="S320" i="4"/>
  <c r="Z320" i="4"/>
  <c r="K320" i="4"/>
  <c r="G320" i="4"/>
  <c r="AE320" i="4"/>
  <c r="Y320" i="4"/>
  <c r="D320" i="4"/>
  <c r="U320" i="4"/>
  <c r="V320" i="4"/>
  <c r="T320" i="4"/>
  <c r="H320" i="4"/>
  <c r="P320" i="4"/>
  <c r="E320" i="4"/>
  <c r="X320" i="4"/>
  <c r="AC320" i="4"/>
  <c r="AB320" i="4"/>
  <c r="R320" i="4"/>
  <c r="J320" i="4"/>
  <c r="W320" i="4"/>
  <c r="AD320" i="4"/>
  <c r="M320" i="4"/>
  <c r="L320" i="4"/>
  <c r="AA320" i="4"/>
  <c r="F320" i="4"/>
  <c r="I320" i="4"/>
  <c r="N320" i="4"/>
  <c r="R319" i="4"/>
  <c r="E319" i="4"/>
  <c r="H319" i="4"/>
  <c r="S319" i="4"/>
  <c r="Q319" i="4"/>
  <c r="D319" i="4"/>
  <c r="F319" i="4"/>
  <c r="Z319" i="4"/>
  <c r="L319" i="4"/>
  <c r="V319" i="4"/>
  <c r="N319" i="4"/>
  <c r="K319" i="4"/>
  <c r="U319" i="4"/>
  <c r="O319" i="4"/>
  <c r="W319" i="4"/>
  <c r="AA319" i="4"/>
  <c r="G319" i="4"/>
  <c r="J319" i="4"/>
  <c r="M319" i="4"/>
  <c r="X319" i="4"/>
  <c r="AC319" i="4"/>
  <c r="AD319" i="4"/>
  <c r="AB319" i="4"/>
  <c r="AE319" i="4"/>
  <c r="Y319" i="4"/>
  <c r="P319" i="4"/>
  <c r="T319" i="4"/>
  <c r="I319" i="4"/>
  <c r="J318" i="4"/>
  <c r="AB318" i="4"/>
  <c r="K318" i="4"/>
  <c r="F318" i="4"/>
  <c r="M318" i="4"/>
  <c r="P318" i="4"/>
  <c r="S318" i="4"/>
  <c r="R318" i="4"/>
  <c r="Y318" i="4"/>
  <c r="Q318" i="4"/>
  <c r="N318" i="4"/>
  <c r="U318" i="4"/>
  <c r="AE318" i="4"/>
  <c r="I318" i="4"/>
  <c r="AC318" i="4"/>
  <c r="L318" i="4"/>
  <c r="O318" i="4"/>
  <c r="T318" i="4"/>
  <c r="X318" i="4"/>
  <c r="AA318" i="4"/>
  <c r="V318" i="4"/>
  <c r="G318" i="4"/>
  <c r="E318" i="4"/>
  <c r="AD318" i="4"/>
  <c r="D318" i="4"/>
  <c r="W318" i="4"/>
  <c r="Z318" i="4"/>
  <c r="H318" i="4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AA256" i="3"/>
  <c r="AB256" i="3"/>
  <c r="AC256" i="3"/>
  <c r="AD256" i="3"/>
  <c r="AE25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AA254" i="3"/>
  <c r="AB254" i="3"/>
  <c r="AC254" i="3"/>
  <c r="AD254" i="3"/>
  <c r="AE25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AA253" i="3"/>
  <c r="AB253" i="3"/>
  <c r="AC253" i="3"/>
  <c r="AD253" i="3"/>
  <c r="AE25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AA252" i="3"/>
  <c r="AB252" i="3"/>
  <c r="AC252" i="3"/>
  <c r="AD252" i="3"/>
  <c r="AE25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AA251" i="3"/>
  <c r="AB251" i="3"/>
  <c r="AC251" i="3"/>
  <c r="AD251" i="3"/>
  <c r="AE25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J330" i="4"/>
  <c r="K330" i="4"/>
  <c r="L330" i="4"/>
  <c r="O330" i="4"/>
  <c r="U330" i="4"/>
  <c r="Z330" i="4"/>
  <c r="AB330" i="4"/>
  <c r="D330" i="4"/>
  <c r="G330" i="4"/>
  <c r="AD330" i="4"/>
  <c r="AE330" i="4"/>
  <c r="E330" i="4"/>
  <c r="N330" i="4"/>
  <c r="S330" i="4"/>
  <c r="X330" i="4"/>
  <c r="AA330" i="4"/>
  <c r="F330" i="4"/>
  <c r="I330" i="4"/>
  <c r="P330" i="4"/>
  <c r="R330" i="4"/>
  <c r="T330" i="4"/>
  <c r="W330" i="4"/>
  <c r="Y330" i="4"/>
  <c r="H330" i="4"/>
  <c r="M330" i="4"/>
  <c r="Q330" i="4"/>
  <c r="V330" i="4"/>
  <c r="AC330" i="4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K329" i="4"/>
  <c r="L329" i="4"/>
  <c r="M329" i="4"/>
  <c r="N329" i="4"/>
  <c r="Z329" i="4"/>
  <c r="AA329" i="4"/>
  <c r="G329" i="4"/>
  <c r="H329" i="4"/>
  <c r="I329" i="4"/>
  <c r="O329" i="4"/>
  <c r="S329" i="4"/>
  <c r="U329" i="4"/>
  <c r="Y329" i="4"/>
  <c r="AE329" i="4"/>
  <c r="D329" i="4"/>
  <c r="F329" i="4"/>
  <c r="P329" i="4"/>
  <c r="X329" i="4"/>
  <c r="AD329" i="4"/>
  <c r="E329" i="4"/>
  <c r="R329" i="4"/>
  <c r="V329" i="4"/>
  <c r="AC329" i="4"/>
  <c r="J329" i="4"/>
  <c r="Q329" i="4"/>
  <c r="T329" i="4"/>
  <c r="W329" i="4"/>
  <c r="AB329" i="4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Z289" i="3"/>
  <c r="Y289" i="3"/>
  <c r="AC289" i="3"/>
  <c r="X289" i="3"/>
  <c r="AA289" i="3"/>
  <c r="AB289" i="3"/>
  <c r="T289" i="3"/>
  <c r="U289" i="3"/>
  <c r="W289" i="3"/>
  <c r="S289" i="3"/>
  <c r="V289" i="3"/>
  <c r="AD289" i="3"/>
  <c r="AE28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AA408" i="3"/>
  <c r="AB408" i="3"/>
  <c r="AC408" i="3"/>
  <c r="AD408" i="3"/>
  <c r="AE40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G328" i="4"/>
  <c r="J328" i="4"/>
  <c r="P328" i="4"/>
  <c r="Y328" i="4"/>
  <c r="Z328" i="4"/>
  <c r="AC328" i="4"/>
  <c r="F328" i="4"/>
  <c r="K328" i="4"/>
  <c r="O328" i="4"/>
  <c r="X328" i="4"/>
  <c r="AA328" i="4"/>
  <c r="AE328" i="4"/>
  <c r="I328" i="4"/>
  <c r="L328" i="4"/>
  <c r="R328" i="4"/>
  <c r="T328" i="4"/>
  <c r="W328" i="4"/>
  <c r="AB328" i="4"/>
  <c r="AD328" i="4"/>
  <c r="E328" i="4"/>
  <c r="N328" i="4"/>
  <c r="Q328" i="4"/>
  <c r="S328" i="4"/>
  <c r="U328" i="4"/>
  <c r="D328" i="4"/>
  <c r="H328" i="4"/>
  <c r="M328" i="4"/>
  <c r="V328" i="4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AA407" i="3"/>
  <c r="AB407" i="3"/>
  <c r="AC407" i="3"/>
  <c r="AD407" i="3"/>
  <c r="AE40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H327" i="4"/>
  <c r="I327" i="4"/>
  <c r="Q327" i="4"/>
  <c r="R327" i="4"/>
  <c r="T327" i="4"/>
  <c r="Y327" i="4"/>
  <c r="AB327" i="4"/>
  <c r="D327" i="4"/>
  <c r="G327" i="4"/>
  <c r="K327" i="4"/>
  <c r="N327" i="4"/>
  <c r="O327" i="4"/>
  <c r="V327" i="4"/>
  <c r="Z327" i="4"/>
  <c r="F327" i="4"/>
  <c r="M327" i="4"/>
  <c r="S327" i="4"/>
  <c r="W327" i="4"/>
  <c r="AA327" i="4"/>
  <c r="AD327" i="4"/>
  <c r="L327" i="4"/>
  <c r="P327" i="4"/>
  <c r="X327" i="4"/>
  <c r="AE327" i="4"/>
  <c r="E327" i="4"/>
  <c r="J327" i="4"/>
  <c r="U327" i="4"/>
  <c r="AC327" i="4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AA406" i="3"/>
  <c r="AB406" i="3"/>
  <c r="AC406" i="3"/>
  <c r="AD406" i="3"/>
  <c r="AE40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H326" i="4"/>
  <c r="N326" i="4"/>
  <c r="O326" i="4"/>
  <c r="R326" i="4"/>
  <c r="V326" i="4"/>
  <c r="AD326" i="4"/>
  <c r="D326" i="4"/>
  <c r="G326" i="4"/>
  <c r="I326" i="4"/>
  <c r="P326" i="4"/>
  <c r="Y326" i="4"/>
  <c r="AA326" i="4"/>
  <c r="AE326" i="4"/>
  <c r="F326" i="4"/>
  <c r="J326" i="4"/>
  <c r="M326" i="4"/>
  <c r="T326" i="4"/>
  <c r="W326" i="4"/>
  <c r="AC326" i="4"/>
  <c r="K326" i="4"/>
  <c r="Q326" i="4"/>
  <c r="U326" i="4"/>
  <c r="X326" i="4"/>
  <c r="E326" i="4"/>
  <c r="L326" i="4"/>
  <c r="S326" i="4"/>
  <c r="Z326" i="4"/>
  <c r="AB326" i="4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AA405" i="3"/>
  <c r="AB405" i="3"/>
  <c r="AC405" i="3"/>
  <c r="AD405" i="3"/>
  <c r="AE40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AA404" i="3"/>
  <c r="AB404" i="3"/>
  <c r="AC404" i="3"/>
  <c r="AD404" i="3"/>
  <c r="AE40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AA403" i="3"/>
  <c r="AB403" i="3"/>
  <c r="AC403" i="3"/>
  <c r="AD403" i="3"/>
  <c r="AE40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S323" i="4"/>
  <c r="W323" i="4"/>
  <c r="AC323" i="4"/>
  <c r="R323" i="4"/>
  <c r="Y323" i="4"/>
  <c r="E323" i="4"/>
  <c r="N323" i="4"/>
  <c r="O323" i="4"/>
  <c r="Q323" i="4"/>
  <c r="U323" i="4"/>
  <c r="Z323" i="4"/>
  <c r="D323" i="4"/>
  <c r="L323" i="4"/>
  <c r="P323" i="4"/>
  <c r="X323" i="4"/>
  <c r="AA323" i="4"/>
  <c r="G323" i="4"/>
  <c r="F323" i="4"/>
  <c r="H323" i="4"/>
  <c r="J323" i="4"/>
  <c r="M323" i="4"/>
  <c r="V323" i="4"/>
  <c r="AD323" i="4"/>
  <c r="I323" i="4"/>
  <c r="K323" i="4"/>
  <c r="T323" i="4"/>
  <c r="AB323" i="4"/>
  <c r="AE323" i="4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AA402" i="3"/>
  <c r="AB402" i="3"/>
  <c r="AC402" i="3"/>
  <c r="AD402" i="3"/>
  <c r="AE40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AA401" i="3"/>
  <c r="AB401" i="3"/>
  <c r="AC401" i="3"/>
  <c r="AD401" i="3"/>
  <c r="AE40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AA400" i="3"/>
  <c r="AB400" i="3"/>
  <c r="AC400" i="3"/>
  <c r="AD400" i="3"/>
  <c r="AE40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AA399" i="3"/>
  <c r="AB399" i="3"/>
  <c r="AC399" i="3"/>
  <c r="AD399" i="3"/>
  <c r="AE39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AA398" i="3"/>
  <c r="AB398" i="3"/>
  <c r="AC398" i="3"/>
  <c r="AD398" i="3"/>
  <c r="AE39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AA397" i="3"/>
  <c r="AB397" i="3"/>
  <c r="AC397" i="3"/>
  <c r="AD397" i="3"/>
  <c r="AE39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D317" i="4"/>
  <c r="E317" i="4"/>
  <c r="F317" i="4"/>
  <c r="G317" i="4"/>
  <c r="H317" i="4"/>
  <c r="I317" i="4"/>
  <c r="T317" i="4"/>
  <c r="U317" i="4"/>
  <c r="AA317" i="4"/>
  <c r="Z317" i="4"/>
  <c r="AD317" i="4"/>
  <c r="W317" i="4"/>
  <c r="AE317" i="4"/>
  <c r="R317" i="4"/>
  <c r="S317" i="4"/>
  <c r="X317" i="4"/>
  <c r="V317" i="4"/>
  <c r="Y317" i="4"/>
  <c r="AB317" i="4"/>
  <c r="AC317" i="4"/>
  <c r="J317" i="4"/>
  <c r="L317" i="4"/>
  <c r="O317" i="4"/>
  <c r="K317" i="4"/>
  <c r="N317" i="4"/>
  <c r="M317" i="4"/>
  <c r="P317" i="4"/>
  <c r="Q317" i="4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AA396" i="3"/>
  <c r="AB396" i="3"/>
  <c r="AC396" i="3"/>
  <c r="AD396" i="3"/>
  <c r="AE39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AA395" i="3"/>
  <c r="AB395" i="3"/>
  <c r="AC395" i="3"/>
  <c r="AD395" i="3"/>
  <c r="AE39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E35" i="3"/>
  <c r="F35" i="3"/>
  <c r="G35" i="3"/>
  <c r="H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D35" i="3"/>
  <c r="I35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AA394" i="3"/>
  <c r="AB394" i="3"/>
  <c r="AC394" i="3"/>
  <c r="AD394" i="3"/>
  <c r="AE39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C34" i="3"/>
  <c r="AA34" i="3"/>
  <c r="AB34" i="3"/>
  <c r="AD34" i="3"/>
  <c r="AE34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F311" i="3"/>
  <c r="G311" i="3"/>
  <c r="I311" i="3"/>
  <c r="K311" i="3"/>
  <c r="M311" i="3"/>
  <c r="O311" i="3"/>
  <c r="Q311" i="3"/>
  <c r="S311" i="3"/>
  <c r="U311" i="3"/>
  <c r="W311" i="3"/>
  <c r="Y311" i="3"/>
  <c r="AC311" i="3"/>
  <c r="D311" i="3"/>
  <c r="E311" i="3"/>
  <c r="H311" i="3"/>
  <c r="J311" i="3"/>
  <c r="L311" i="3"/>
  <c r="N311" i="3"/>
  <c r="P311" i="3"/>
  <c r="R311" i="3"/>
  <c r="T311" i="3"/>
  <c r="V311" i="3"/>
  <c r="X311" i="3"/>
  <c r="Z311" i="3"/>
  <c r="AA311" i="3"/>
  <c r="AB311" i="3"/>
  <c r="AD311" i="3"/>
  <c r="AE31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E310" i="3"/>
  <c r="G310" i="3"/>
  <c r="I310" i="3"/>
  <c r="J310" i="3"/>
  <c r="L310" i="3"/>
  <c r="N310" i="3"/>
  <c r="P310" i="3"/>
  <c r="Q310" i="3"/>
  <c r="S310" i="3"/>
  <c r="U310" i="3"/>
  <c r="W310" i="3"/>
  <c r="Y310" i="3"/>
  <c r="AA310" i="3"/>
  <c r="AC310" i="3"/>
  <c r="AD310" i="3"/>
  <c r="AE310" i="3"/>
  <c r="D310" i="3"/>
  <c r="F310" i="3"/>
  <c r="H310" i="3"/>
  <c r="K310" i="3"/>
  <c r="M310" i="3"/>
  <c r="O310" i="3"/>
  <c r="R310" i="3"/>
  <c r="T310" i="3"/>
  <c r="V310" i="3"/>
  <c r="X310" i="3"/>
  <c r="Z310" i="3"/>
  <c r="AB31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C349" i="3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C309" i="3"/>
  <c r="C269" i="3"/>
  <c r="C229" i="3"/>
  <c r="C189" i="3"/>
  <c r="C149" i="3"/>
  <c r="C109" i="3"/>
  <c r="C69" i="3"/>
  <c r="C29" i="3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A61" i="1"/>
  <c r="AA95" i="1" s="1"/>
  <c r="AE61" i="1"/>
  <c r="AE95" i="1" s="1"/>
  <c r="AD61" i="1"/>
  <c r="AD95" i="1" s="1"/>
  <c r="AC61" i="1"/>
  <c r="AC95" i="1" s="1"/>
  <c r="AB61" i="1"/>
  <c r="AB95" i="1" s="1"/>
  <c r="Z61" i="1"/>
  <c r="Z95" i="1" s="1"/>
  <c r="X61" i="1"/>
  <c r="X95" i="1" s="1"/>
  <c r="W61" i="1"/>
  <c r="W95" i="1" s="1"/>
  <c r="V61" i="1"/>
  <c r="V95" i="1" s="1"/>
  <c r="U61" i="1"/>
  <c r="U95" i="1" s="1"/>
  <c r="Y61" i="1"/>
  <c r="Y95" i="1" s="1"/>
  <c r="D61" i="1"/>
  <c r="D95" i="1" s="1"/>
  <c r="T61" i="1"/>
  <c r="T95" i="1" s="1"/>
  <c r="S61" i="1"/>
  <c r="S95" i="1" s="1"/>
  <c r="R61" i="1"/>
  <c r="R95" i="1" s="1"/>
  <c r="Q61" i="1"/>
  <c r="Q95" i="1" s="1"/>
  <c r="P61" i="1"/>
  <c r="P95" i="1" s="1"/>
  <c r="O61" i="1"/>
  <c r="O95" i="1" s="1"/>
  <c r="N61" i="1"/>
  <c r="N95" i="1" s="1"/>
  <c r="M61" i="1"/>
  <c r="M95" i="1" s="1"/>
  <c r="L61" i="1"/>
  <c r="L95" i="1" s="1"/>
  <c r="K61" i="1"/>
  <c r="K95" i="1" s="1"/>
  <c r="J61" i="1"/>
  <c r="J95" i="1" s="1"/>
  <c r="I61" i="1"/>
  <c r="I95" i="1" s="1"/>
  <c r="H61" i="1"/>
  <c r="H95" i="1" s="1"/>
  <c r="G61" i="1"/>
  <c r="G95" i="1" s="1"/>
  <c r="F61" i="1"/>
  <c r="F95" i="1" s="1"/>
  <c r="E61" i="1"/>
  <c r="E95" i="1" s="1"/>
  <c r="M58" i="1"/>
  <c r="M92" i="1" s="1"/>
  <c r="W58" i="1"/>
  <c r="W92" i="1" s="1"/>
  <c r="N58" i="1"/>
  <c r="N92" i="1" s="1"/>
  <c r="H58" i="1"/>
  <c r="H92" i="1" s="1"/>
  <c r="L58" i="1"/>
  <c r="L92" i="1" s="1"/>
  <c r="I58" i="1"/>
  <c r="I92" i="1" s="1"/>
  <c r="J58" i="1"/>
  <c r="J92" i="1" s="1"/>
  <c r="K58" i="1"/>
  <c r="K92" i="1" s="1"/>
  <c r="G58" i="1"/>
  <c r="G92" i="1" s="1"/>
  <c r="O58" i="1"/>
  <c r="O92" i="1" s="1"/>
  <c r="P58" i="1"/>
  <c r="P92" i="1" s="1"/>
  <c r="Q58" i="1"/>
  <c r="Q92" i="1" s="1"/>
  <c r="R58" i="1"/>
  <c r="R92" i="1" s="1"/>
  <c r="F58" i="1"/>
  <c r="F92" i="1" s="1"/>
  <c r="S58" i="1"/>
  <c r="S92" i="1" s="1"/>
  <c r="T58" i="1"/>
  <c r="T92" i="1" s="1"/>
  <c r="U58" i="1"/>
  <c r="U92" i="1" s="1"/>
  <c r="D58" i="1"/>
  <c r="D92" i="1" s="1"/>
  <c r="E58" i="1"/>
  <c r="E92" i="1" s="1"/>
  <c r="AE58" i="1"/>
  <c r="AE92" i="1" s="1"/>
  <c r="AD58" i="1"/>
  <c r="AD92" i="1" s="1"/>
  <c r="AC58" i="1"/>
  <c r="AC92" i="1" s="1"/>
  <c r="AB58" i="1"/>
  <c r="AB92" i="1" s="1"/>
  <c r="AA58" i="1"/>
  <c r="AA92" i="1" s="1"/>
  <c r="Z58" i="1"/>
  <c r="Z92" i="1" s="1"/>
  <c r="Y58" i="1"/>
  <c r="Y92" i="1" s="1"/>
  <c r="X58" i="1"/>
  <c r="X92" i="1" s="1"/>
  <c r="V58" i="1"/>
  <c r="V92" i="1" s="1"/>
  <c r="E55" i="1"/>
  <c r="E89" i="1" s="1"/>
  <c r="V55" i="1"/>
  <c r="V89" i="1" s="1"/>
  <c r="Q55" i="1"/>
  <c r="Q89" i="1" s="1"/>
  <c r="R55" i="1"/>
  <c r="R89" i="1" s="1"/>
  <c r="O55" i="1"/>
  <c r="O89" i="1" s="1"/>
  <c r="N55" i="1"/>
  <c r="N89" i="1" s="1"/>
  <c r="M55" i="1"/>
  <c r="M89" i="1" s="1"/>
  <c r="L55" i="1"/>
  <c r="L89" i="1" s="1"/>
  <c r="K55" i="1"/>
  <c r="K89" i="1" s="1"/>
  <c r="J55" i="1"/>
  <c r="J89" i="1" s="1"/>
  <c r="I55" i="1"/>
  <c r="I89" i="1" s="1"/>
  <c r="H55" i="1"/>
  <c r="H89" i="1" s="1"/>
  <c r="G55" i="1"/>
  <c r="G89" i="1" s="1"/>
  <c r="S55" i="1"/>
  <c r="S89" i="1" s="1"/>
  <c r="T55" i="1"/>
  <c r="T89" i="1" s="1"/>
  <c r="U55" i="1"/>
  <c r="U89" i="1" s="1"/>
  <c r="AE55" i="1"/>
  <c r="AE89" i="1" s="1"/>
  <c r="AD55" i="1"/>
  <c r="AD89" i="1" s="1"/>
  <c r="AC55" i="1"/>
  <c r="AC89" i="1" s="1"/>
  <c r="AB55" i="1"/>
  <c r="AB89" i="1" s="1"/>
  <c r="AA55" i="1"/>
  <c r="AA89" i="1" s="1"/>
  <c r="Z55" i="1"/>
  <c r="Z89" i="1" s="1"/>
  <c r="Y55" i="1"/>
  <c r="Y89" i="1" s="1"/>
  <c r="X55" i="1"/>
  <c r="X89" i="1" s="1"/>
  <c r="W55" i="1"/>
  <c r="W89" i="1" s="1"/>
  <c r="P55" i="1"/>
  <c r="P89" i="1" s="1"/>
  <c r="D55" i="1"/>
  <c r="D89" i="1" s="1"/>
  <c r="F55" i="1"/>
  <c r="F89" i="1" s="1"/>
  <c r="V52" i="1"/>
  <c r="V86" i="1" s="1"/>
  <c r="T52" i="1"/>
  <c r="T86" i="1" s="1"/>
  <c r="S52" i="1"/>
  <c r="S86" i="1" s="1"/>
  <c r="R52" i="1"/>
  <c r="R86" i="1" s="1"/>
  <c r="Q52" i="1"/>
  <c r="Q86" i="1" s="1"/>
  <c r="P52" i="1"/>
  <c r="P86" i="1" s="1"/>
  <c r="O52" i="1"/>
  <c r="O86" i="1" s="1"/>
  <c r="N52" i="1"/>
  <c r="N86" i="1" s="1"/>
  <c r="M52" i="1"/>
  <c r="M86" i="1" s="1"/>
  <c r="L52" i="1"/>
  <c r="L86" i="1" s="1"/>
  <c r="K52" i="1"/>
  <c r="K86" i="1" s="1"/>
  <c r="J52" i="1"/>
  <c r="J86" i="1" s="1"/>
  <c r="I52" i="1"/>
  <c r="I86" i="1" s="1"/>
  <c r="H52" i="1"/>
  <c r="H86" i="1" s="1"/>
  <c r="G52" i="1"/>
  <c r="G86" i="1" s="1"/>
  <c r="F52" i="1"/>
  <c r="F86" i="1" s="1"/>
  <c r="W52" i="1"/>
  <c r="W86" i="1" s="1"/>
  <c r="X52" i="1"/>
  <c r="X86" i="1" s="1"/>
  <c r="Y52" i="1"/>
  <c r="Y86" i="1" s="1"/>
  <c r="Z52" i="1"/>
  <c r="Z86" i="1" s="1"/>
  <c r="AA52" i="1"/>
  <c r="AA86" i="1" s="1"/>
  <c r="AB52" i="1"/>
  <c r="AB86" i="1" s="1"/>
  <c r="AC52" i="1"/>
  <c r="AC86" i="1" s="1"/>
  <c r="E52" i="1"/>
  <c r="E86" i="1" s="1"/>
  <c r="D52" i="1"/>
  <c r="D86" i="1" s="1"/>
  <c r="AD52" i="1"/>
  <c r="AD86" i="1" s="1"/>
  <c r="AE52" i="1"/>
  <c r="AE86" i="1" s="1"/>
  <c r="U52" i="1"/>
  <c r="U86" i="1" s="1"/>
  <c r="P49" i="1"/>
  <c r="P83" i="1" s="1"/>
  <c r="AC49" i="1"/>
  <c r="AC83" i="1" s="1"/>
  <c r="AB49" i="1"/>
  <c r="AB83" i="1" s="1"/>
  <c r="AA49" i="1"/>
  <c r="AA83" i="1" s="1"/>
  <c r="Z49" i="1"/>
  <c r="Z83" i="1" s="1"/>
  <c r="Y49" i="1"/>
  <c r="Y83" i="1" s="1"/>
  <c r="X49" i="1"/>
  <c r="X83" i="1" s="1"/>
  <c r="W49" i="1"/>
  <c r="W83" i="1" s="1"/>
  <c r="V49" i="1"/>
  <c r="V83" i="1" s="1"/>
  <c r="U49" i="1"/>
  <c r="U83" i="1" s="1"/>
  <c r="T49" i="1"/>
  <c r="T83" i="1" s="1"/>
  <c r="S49" i="1"/>
  <c r="S83" i="1" s="1"/>
  <c r="R49" i="1"/>
  <c r="R83" i="1" s="1"/>
  <c r="Q49" i="1"/>
  <c r="Q83" i="1" s="1"/>
  <c r="AE49" i="1"/>
  <c r="AE83" i="1" s="1"/>
  <c r="O49" i="1"/>
  <c r="O83" i="1" s="1"/>
  <c r="N49" i="1"/>
  <c r="N83" i="1" s="1"/>
  <c r="M49" i="1"/>
  <c r="M83" i="1" s="1"/>
  <c r="L49" i="1"/>
  <c r="L83" i="1" s="1"/>
  <c r="K49" i="1"/>
  <c r="K83" i="1" s="1"/>
  <c r="J49" i="1"/>
  <c r="J83" i="1" s="1"/>
  <c r="I49" i="1"/>
  <c r="I83" i="1" s="1"/>
  <c r="H49" i="1"/>
  <c r="H83" i="1" s="1"/>
  <c r="G49" i="1"/>
  <c r="G83" i="1" s="1"/>
  <c r="F49" i="1"/>
  <c r="F83" i="1" s="1"/>
  <c r="E49" i="1"/>
  <c r="E83" i="1" s="1"/>
  <c r="D49" i="1"/>
  <c r="D83" i="1" s="1"/>
  <c r="AD49" i="1"/>
  <c r="AD83" i="1" s="1"/>
  <c r="AE46" i="1"/>
  <c r="AE80" i="1" s="1"/>
  <c r="AC46" i="1"/>
  <c r="AC80" i="1" s="1"/>
  <c r="AB46" i="1"/>
  <c r="AB80" i="1" s="1"/>
  <c r="AA46" i="1"/>
  <c r="AA80" i="1" s="1"/>
  <c r="Z46" i="1"/>
  <c r="Z80" i="1" s="1"/>
  <c r="Y46" i="1"/>
  <c r="Y80" i="1" s="1"/>
  <c r="X46" i="1"/>
  <c r="X80" i="1" s="1"/>
  <c r="W46" i="1"/>
  <c r="W80" i="1" s="1"/>
  <c r="V46" i="1"/>
  <c r="V80" i="1" s="1"/>
  <c r="U46" i="1"/>
  <c r="U80" i="1" s="1"/>
  <c r="T46" i="1"/>
  <c r="T80" i="1" s="1"/>
  <c r="S46" i="1"/>
  <c r="S80" i="1" s="1"/>
  <c r="R46" i="1"/>
  <c r="R80" i="1" s="1"/>
  <c r="Q46" i="1"/>
  <c r="Q80" i="1" s="1"/>
  <c r="P46" i="1"/>
  <c r="P80" i="1" s="1"/>
  <c r="O46" i="1"/>
  <c r="O80" i="1" s="1"/>
  <c r="N46" i="1"/>
  <c r="N80" i="1" s="1"/>
  <c r="M46" i="1"/>
  <c r="M80" i="1" s="1"/>
  <c r="L46" i="1"/>
  <c r="L80" i="1" s="1"/>
  <c r="K46" i="1"/>
  <c r="K80" i="1" s="1"/>
  <c r="J46" i="1"/>
  <c r="J80" i="1" s="1"/>
  <c r="I46" i="1"/>
  <c r="I80" i="1" s="1"/>
  <c r="H46" i="1"/>
  <c r="H80" i="1" s="1"/>
  <c r="G46" i="1"/>
  <c r="G80" i="1" s="1"/>
  <c r="F46" i="1"/>
  <c r="F80" i="1" s="1"/>
  <c r="E46" i="1"/>
  <c r="E80" i="1" s="1"/>
  <c r="D46" i="1"/>
  <c r="D80" i="1" s="1"/>
  <c r="AD46" i="1"/>
  <c r="AD80" i="1" s="1"/>
  <c r="E43" i="1"/>
  <c r="E77" i="1" s="1"/>
  <c r="AD43" i="1"/>
  <c r="AD77" i="1" s="1"/>
  <c r="F43" i="1"/>
  <c r="F77" i="1" s="1"/>
  <c r="G43" i="1"/>
  <c r="G77" i="1" s="1"/>
  <c r="H43" i="1"/>
  <c r="H77" i="1" s="1"/>
  <c r="I43" i="1"/>
  <c r="I77" i="1" s="1"/>
  <c r="J43" i="1"/>
  <c r="J77" i="1" s="1"/>
  <c r="K43" i="1"/>
  <c r="K77" i="1" s="1"/>
  <c r="L43" i="1"/>
  <c r="L77" i="1" s="1"/>
  <c r="M43" i="1"/>
  <c r="M77" i="1" s="1"/>
  <c r="N43" i="1"/>
  <c r="N77" i="1" s="1"/>
  <c r="O43" i="1"/>
  <c r="O77" i="1" s="1"/>
  <c r="P43" i="1"/>
  <c r="P77" i="1" s="1"/>
  <c r="D43" i="1"/>
  <c r="D77" i="1" s="1"/>
  <c r="R43" i="1"/>
  <c r="R77" i="1" s="1"/>
  <c r="T43" i="1"/>
  <c r="T77" i="1" s="1"/>
  <c r="U43" i="1"/>
  <c r="U77" i="1" s="1"/>
  <c r="V43" i="1"/>
  <c r="V77" i="1" s="1"/>
  <c r="W43" i="1"/>
  <c r="W77" i="1" s="1"/>
  <c r="X43" i="1"/>
  <c r="X77" i="1" s="1"/>
  <c r="Y43" i="1"/>
  <c r="Y77" i="1" s="1"/>
  <c r="Z43" i="1"/>
  <c r="Z77" i="1" s="1"/>
  <c r="AA43" i="1"/>
  <c r="AA77" i="1" s="1"/>
  <c r="AE43" i="1"/>
  <c r="AE77" i="1" s="1"/>
  <c r="Q43" i="1"/>
  <c r="Q77" i="1" s="1"/>
  <c r="AB43" i="1"/>
  <c r="AB77" i="1" s="1"/>
  <c r="AC43" i="1"/>
  <c r="AC77" i="1" s="1"/>
  <c r="S43" i="1"/>
  <c r="S77" i="1" s="1"/>
  <c r="AE40" i="1"/>
  <c r="AE74" i="1" s="1"/>
  <c r="AD40" i="1"/>
  <c r="AD74" i="1" s="1"/>
  <c r="AC40" i="1"/>
  <c r="AC74" i="1" s="1"/>
  <c r="AB40" i="1"/>
  <c r="AB74" i="1" s="1"/>
  <c r="AA40" i="1"/>
  <c r="AA74" i="1" s="1"/>
  <c r="Z40" i="1"/>
  <c r="Z74" i="1" s="1"/>
  <c r="Y40" i="1"/>
  <c r="Y74" i="1" s="1"/>
  <c r="X40" i="1"/>
  <c r="X74" i="1" s="1"/>
  <c r="W40" i="1"/>
  <c r="W74" i="1" s="1"/>
  <c r="V40" i="1"/>
  <c r="V74" i="1" s="1"/>
  <c r="U40" i="1"/>
  <c r="U74" i="1" s="1"/>
  <c r="T40" i="1"/>
  <c r="T74" i="1" s="1"/>
  <c r="S40" i="1"/>
  <c r="S74" i="1" s="1"/>
  <c r="R40" i="1"/>
  <c r="R74" i="1" s="1"/>
  <c r="Q40" i="1"/>
  <c r="Q74" i="1" s="1"/>
  <c r="P40" i="1"/>
  <c r="P74" i="1" s="1"/>
  <c r="O40" i="1"/>
  <c r="O74" i="1" s="1"/>
  <c r="N40" i="1"/>
  <c r="N74" i="1" s="1"/>
  <c r="M40" i="1"/>
  <c r="M74" i="1" s="1"/>
  <c r="L40" i="1"/>
  <c r="L74" i="1" s="1"/>
  <c r="K40" i="1"/>
  <c r="K74" i="1" s="1"/>
  <c r="J40" i="1"/>
  <c r="J74" i="1" s="1"/>
  <c r="I40" i="1"/>
  <c r="I74" i="1" s="1"/>
  <c r="H40" i="1"/>
  <c r="H74" i="1" s="1"/>
  <c r="G40" i="1"/>
  <c r="G74" i="1" s="1"/>
  <c r="F40" i="1"/>
  <c r="F74" i="1" s="1"/>
  <c r="E40" i="1"/>
  <c r="E74" i="1" s="1"/>
  <c r="D40" i="1"/>
  <c r="D74" i="1" s="1"/>
  <c r="E37" i="1"/>
  <c r="E71" i="1" s="1"/>
  <c r="D37" i="1"/>
  <c r="D71" i="1" s="1"/>
  <c r="AC37" i="1"/>
  <c r="AC71" i="1" s="1"/>
  <c r="AB37" i="1"/>
  <c r="AB71" i="1" s="1"/>
  <c r="AA37" i="1"/>
  <c r="AA71" i="1" s="1"/>
  <c r="Z37" i="1"/>
  <c r="Z71" i="1" s="1"/>
  <c r="Y37" i="1"/>
  <c r="Y71" i="1" s="1"/>
  <c r="X37" i="1"/>
  <c r="X71" i="1" s="1"/>
  <c r="W37" i="1"/>
  <c r="W71" i="1" s="1"/>
  <c r="V37" i="1"/>
  <c r="V71" i="1" s="1"/>
  <c r="U37" i="1"/>
  <c r="U71" i="1" s="1"/>
  <c r="T37" i="1"/>
  <c r="T71" i="1" s="1"/>
  <c r="S37" i="1"/>
  <c r="S71" i="1" s="1"/>
  <c r="R37" i="1"/>
  <c r="R71" i="1" s="1"/>
  <c r="Q37" i="1"/>
  <c r="Q71" i="1" s="1"/>
  <c r="P37" i="1"/>
  <c r="P71" i="1" s="1"/>
  <c r="O37" i="1"/>
  <c r="O71" i="1" s="1"/>
  <c r="N37" i="1"/>
  <c r="N71" i="1" s="1"/>
  <c r="M37" i="1"/>
  <c r="M71" i="1" s="1"/>
  <c r="L37" i="1"/>
  <c r="L71" i="1" s="1"/>
  <c r="K37" i="1"/>
  <c r="K71" i="1" s="1"/>
  <c r="J37" i="1"/>
  <c r="J71" i="1" s="1"/>
  <c r="I37" i="1"/>
  <c r="I71" i="1" s="1"/>
  <c r="H37" i="1"/>
  <c r="H71" i="1" s="1"/>
  <c r="G37" i="1"/>
  <c r="G71" i="1" s="1"/>
  <c r="F37" i="1"/>
  <c r="F71" i="1" s="1"/>
  <c r="AE37" i="1"/>
  <c r="AE71" i="1" s="1"/>
  <c r="AD37" i="1"/>
  <c r="AD71" i="1" s="1"/>
  <c r="R34" i="1"/>
  <c r="R68" i="1" s="1"/>
  <c r="E34" i="1"/>
  <c r="E68" i="1" s="1"/>
  <c r="AD34" i="1"/>
  <c r="AD68" i="1" s="1"/>
  <c r="AC34" i="1"/>
  <c r="AC68" i="1" s="1"/>
  <c r="AB34" i="1"/>
  <c r="AB68" i="1" s="1"/>
  <c r="AA34" i="1"/>
  <c r="AA68" i="1" s="1"/>
  <c r="Z34" i="1"/>
  <c r="Z68" i="1" s="1"/>
  <c r="Y34" i="1"/>
  <c r="Y68" i="1" s="1"/>
  <c r="X34" i="1"/>
  <c r="X68" i="1" s="1"/>
  <c r="W34" i="1"/>
  <c r="W68" i="1" s="1"/>
  <c r="V34" i="1"/>
  <c r="V68" i="1" s="1"/>
  <c r="U34" i="1"/>
  <c r="U68" i="1" s="1"/>
  <c r="T34" i="1"/>
  <c r="T68" i="1" s="1"/>
  <c r="S34" i="1"/>
  <c r="S68" i="1" s="1"/>
  <c r="Q34" i="1"/>
  <c r="Q68" i="1" s="1"/>
  <c r="P34" i="1"/>
  <c r="P68" i="1" s="1"/>
  <c r="O34" i="1"/>
  <c r="O68" i="1" s="1"/>
  <c r="N34" i="1"/>
  <c r="N68" i="1" s="1"/>
  <c r="M34" i="1"/>
  <c r="M68" i="1" s="1"/>
  <c r="L34" i="1"/>
  <c r="L68" i="1" s="1"/>
  <c r="K34" i="1"/>
  <c r="K68" i="1" s="1"/>
  <c r="J34" i="1"/>
  <c r="J68" i="1" s="1"/>
  <c r="I34" i="1"/>
  <c r="I68" i="1" s="1"/>
  <c r="H34" i="1"/>
  <c r="H68" i="1" s="1"/>
  <c r="G34" i="1"/>
  <c r="G68" i="1" s="1"/>
  <c r="F34" i="1"/>
  <c r="F68" i="1" s="1"/>
  <c r="AE34" i="1"/>
  <c r="AE68" i="1" s="1"/>
  <c r="E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D416" i="3"/>
  <c r="E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D415" i="3"/>
  <c r="AE414" i="3"/>
  <c r="D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E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D413" i="3"/>
  <c r="AE388" i="3"/>
  <c r="D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E387" i="3"/>
  <c r="AE387" i="3"/>
  <c r="AD387" i="3"/>
  <c r="AC387" i="3"/>
  <c r="AB387" i="3"/>
  <c r="AA387" i="3"/>
  <c r="D387" i="3"/>
  <c r="F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AE386" i="3"/>
  <c r="D385" i="3"/>
  <c r="F385" i="3"/>
  <c r="Q385" i="3"/>
  <c r="S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R385" i="3"/>
  <c r="P385" i="3"/>
  <c r="O385" i="3"/>
  <c r="N385" i="3"/>
  <c r="M385" i="3"/>
  <c r="L385" i="3"/>
  <c r="K385" i="3"/>
  <c r="J385" i="3"/>
  <c r="I385" i="3"/>
  <c r="H385" i="3"/>
  <c r="G385" i="3"/>
  <c r="E385" i="3"/>
  <c r="E384" i="3"/>
  <c r="H384" i="3"/>
  <c r="AE384" i="3"/>
  <c r="AD384" i="3"/>
  <c r="AC384" i="3"/>
  <c r="AB384" i="3"/>
  <c r="AA384" i="3"/>
  <c r="Z384" i="3"/>
  <c r="Y384" i="3"/>
  <c r="X384" i="3"/>
  <c r="W384" i="3"/>
  <c r="V384" i="3"/>
  <c r="U384" i="3"/>
  <c r="F384" i="3"/>
  <c r="T384" i="3"/>
  <c r="G384" i="3"/>
  <c r="S384" i="3"/>
  <c r="R384" i="3"/>
  <c r="Q384" i="3"/>
  <c r="P384" i="3"/>
  <c r="O384" i="3"/>
  <c r="N384" i="3"/>
  <c r="M384" i="3"/>
  <c r="L384" i="3"/>
  <c r="K384" i="3"/>
  <c r="J384" i="3"/>
  <c r="I384" i="3"/>
  <c r="D384" i="3"/>
  <c r="AD383" i="3"/>
  <c r="E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AE383" i="3"/>
  <c r="D383" i="3"/>
  <c r="AC383" i="3"/>
  <c r="J382" i="3"/>
  <c r="D382" i="3"/>
  <c r="K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H382" i="3"/>
  <c r="G382" i="3"/>
  <c r="F382" i="3"/>
  <c r="E382" i="3"/>
  <c r="I382" i="3"/>
  <c r="Q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AE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Q379" i="3"/>
  <c r="A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AE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D379" i="3"/>
  <c r="AD378" i="3"/>
  <c r="AE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AC378" i="3"/>
  <c r="D377" i="3"/>
  <c r="AC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D377" i="3"/>
  <c r="AE377" i="3"/>
  <c r="AB376" i="3"/>
  <c r="AE376" i="3"/>
  <c r="A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D376" i="3"/>
  <c r="E375" i="3"/>
  <c r="AE375" i="3"/>
  <c r="D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F375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AC348" i="3"/>
  <c r="AD348" i="3"/>
  <c r="AE348" i="3"/>
  <c r="Z347" i="3"/>
  <c r="P347" i="3"/>
  <c r="N347" i="3"/>
  <c r="M347" i="3"/>
  <c r="AE347" i="3"/>
  <c r="L347" i="3"/>
  <c r="K347" i="3"/>
  <c r="J347" i="3"/>
  <c r="I347" i="3"/>
  <c r="H347" i="3"/>
  <c r="G347" i="3"/>
  <c r="AD347" i="3"/>
  <c r="AC347" i="3"/>
  <c r="AB347" i="3"/>
  <c r="AA347" i="3"/>
  <c r="Y347" i="3"/>
  <c r="X347" i="3"/>
  <c r="W347" i="3"/>
  <c r="V347" i="3"/>
  <c r="U347" i="3"/>
  <c r="T347" i="3"/>
  <c r="S347" i="3"/>
  <c r="F347" i="3"/>
  <c r="E347" i="3"/>
  <c r="D347" i="3"/>
  <c r="Q347" i="3"/>
  <c r="R347" i="3"/>
  <c r="O347" i="3"/>
  <c r="D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P345" i="3"/>
  <c r="AA345" i="3"/>
  <c r="AC345" i="3"/>
  <c r="AE345" i="3"/>
  <c r="N345" i="3"/>
  <c r="M345" i="3"/>
  <c r="L345" i="3"/>
  <c r="K345" i="3"/>
  <c r="D345" i="3"/>
  <c r="E345" i="3"/>
  <c r="F345" i="3"/>
  <c r="G345" i="3"/>
  <c r="H345" i="3"/>
  <c r="J345" i="3"/>
  <c r="AD345" i="3"/>
  <c r="I345" i="3"/>
  <c r="O345" i="3"/>
  <c r="Q345" i="3"/>
  <c r="R345" i="3"/>
  <c r="S345" i="3"/>
  <c r="T345" i="3"/>
  <c r="U345" i="3"/>
  <c r="V345" i="3"/>
  <c r="W345" i="3"/>
  <c r="X345" i="3"/>
  <c r="Y345" i="3"/>
  <c r="Z345" i="3"/>
  <c r="AB345" i="3"/>
  <c r="Y344" i="3"/>
  <c r="X344" i="3"/>
  <c r="J344" i="3"/>
  <c r="I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F344" i="3"/>
  <c r="E344" i="3"/>
  <c r="D344" i="3"/>
  <c r="G344" i="3"/>
  <c r="H344" i="3"/>
  <c r="AE344" i="3"/>
  <c r="AD344" i="3"/>
  <c r="AC344" i="3"/>
  <c r="AB344" i="3"/>
  <c r="AA344" i="3"/>
  <c r="Z344" i="3"/>
  <c r="K344" i="3"/>
  <c r="D343" i="3"/>
  <c r="E343" i="3"/>
  <c r="R343" i="3"/>
  <c r="AE343" i="3"/>
  <c r="AD343" i="3"/>
  <c r="AC343" i="3"/>
  <c r="AB343" i="3"/>
  <c r="AA343" i="3"/>
  <c r="Z343" i="3"/>
  <c r="Y343" i="3"/>
  <c r="X343" i="3"/>
  <c r="W343" i="3"/>
  <c r="V343" i="3"/>
  <c r="U343" i="3"/>
  <c r="P343" i="3"/>
  <c r="O343" i="3"/>
  <c r="N343" i="3"/>
  <c r="T343" i="3"/>
  <c r="S343" i="3"/>
  <c r="M343" i="3"/>
  <c r="L343" i="3"/>
  <c r="K343" i="3"/>
  <c r="J343" i="3"/>
  <c r="I343" i="3"/>
  <c r="H343" i="3"/>
  <c r="G343" i="3"/>
  <c r="F343" i="3"/>
  <c r="Q343" i="3"/>
  <c r="AD342" i="3"/>
  <c r="AB342" i="3"/>
  <c r="D342" i="3"/>
  <c r="AC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E342" i="3"/>
  <c r="Z341" i="3"/>
  <c r="W341" i="3"/>
  <c r="AA341" i="3"/>
  <c r="AB341" i="3"/>
  <c r="AC341" i="3"/>
  <c r="AD341" i="3"/>
  <c r="AE341" i="3"/>
  <c r="Y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X341" i="3"/>
  <c r="O340" i="3"/>
  <c r="AB340" i="3"/>
  <c r="P340" i="3"/>
  <c r="D340" i="3"/>
  <c r="E340" i="3"/>
  <c r="F340" i="3"/>
  <c r="G340" i="3"/>
  <c r="H340" i="3"/>
  <c r="I340" i="3"/>
  <c r="J340" i="3"/>
  <c r="K340" i="3"/>
  <c r="L340" i="3"/>
  <c r="M340" i="3"/>
  <c r="AE340" i="3"/>
  <c r="AD340" i="3"/>
  <c r="N340" i="3"/>
  <c r="Q340" i="3"/>
  <c r="R340" i="3"/>
  <c r="S340" i="3"/>
  <c r="T340" i="3"/>
  <c r="U340" i="3"/>
  <c r="V340" i="3"/>
  <c r="W340" i="3"/>
  <c r="X340" i="3"/>
  <c r="Y340" i="3"/>
  <c r="Z340" i="3"/>
  <c r="AA340" i="3"/>
  <c r="AC340" i="3"/>
  <c r="AD339" i="3"/>
  <c r="G339" i="3"/>
  <c r="AC339" i="3"/>
  <c r="AA339" i="3"/>
  <c r="Z339" i="3"/>
  <c r="Y339" i="3"/>
  <c r="X339" i="3"/>
  <c r="L339" i="3"/>
  <c r="W339" i="3"/>
  <c r="V339" i="3"/>
  <c r="AE339" i="3"/>
  <c r="U339" i="3"/>
  <c r="T339" i="3"/>
  <c r="S339" i="3"/>
  <c r="R339" i="3"/>
  <c r="Q339" i="3"/>
  <c r="P339" i="3"/>
  <c r="O339" i="3"/>
  <c r="N339" i="3"/>
  <c r="M339" i="3"/>
  <c r="D339" i="3"/>
  <c r="E339" i="3"/>
  <c r="F339" i="3"/>
  <c r="K339" i="3"/>
  <c r="J339" i="3"/>
  <c r="I339" i="3"/>
  <c r="H339" i="3"/>
  <c r="AB339" i="3"/>
  <c r="K338" i="3"/>
  <c r="L338" i="3"/>
  <c r="M338" i="3"/>
  <c r="AE338" i="3"/>
  <c r="AD338" i="3"/>
  <c r="AC338" i="3"/>
  <c r="AB338" i="3"/>
  <c r="AA338" i="3"/>
  <c r="Z338" i="3"/>
  <c r="Y338" i="3"/>
  <c r="X338" i="3"/>
  <c r="W338" i="3"/>
  <c r="V338" i="3"/>
  <c r="P338" i="3"/>
  <c r="Q338" i="3"/>
  <c r="R338" i="3"/>
  <c r="S338" i="3"/>
  <c r="T338" i="3"/>
  <c r="U338" i="3"/>
  <c r="J338" i="3"/>
  <c r="I338" i="3"/>
  <c r="H338" i="3"/>
  <c r="G338" i="3"/>
  <c r="F338" i="3"/>
  <c r="E338" i="3"/>
  <c r="O338" i="3"/>
  <c r="N338" i="3"/>
  <c r="D338" i="3"/>
  <c r="AC337" i="3"/>
  <c r="V337" i="3"/>
  <c r="P337" i="3"/>
  <c r="Q337" i="3"/>
  <c r="AB337" i="3"/>
  <c r="AA337" i="3"/>
  <c r="Z337" i="3"/>
  <c r="Y337" i="3"/>
  <c r="X337" i="3"/>
  <c r="W337" i="3"/>
  <c r="O337" i="3"/>
  <c r="N337" i="3"/>
  <c r="M337" i="3"/>
  <c r="AD337" i="3"/>
  <c r="L337" i="3"/>
  <c r="K337" i="3"/>
  <c r="J337" i="3"/>
  <c r="I337" i="3"/>
  <c r="H337" i="3"/>
  <c r="G337" i="3"/>
  <c r="F337" i="3"/>
  <c r="E337" i="3"/>
  <c r="D337" i="3"/>
  <c r="AE337" i="3"/>
  <c r="S337" i="3"/>
  <c r="T337" i="3"/>
  <c r="U337" i="3"/>
  <c r="R337" i="3"/>
  <c r="Q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E323" i="3"/>
  <c r="H323" i="3"/>
  <c r="G323" i="3"/>
  <c r="I323" i="3"/>
  <c r="AD323" i="3"/>
  <c r="AB323" i="3"/>
  <c r="Z323" i="3"/>
  <c r="X323" i="3"/>
  <c r="W323" i="3"/>
  <c r="T323" i="3"/>
  <c r="AE323" i="3"/>
  <c r="AC323" i="3"/>
  <c r="AA323" i="3"/>
  <c r="Y323" i="3"/>
  <c r="R323" i="3"/>
  <c r="V323" i="3"/>
  <c r="K323" i="3"/>
  <c r="L323" i="3"/>
  <c r="N323" i="3"/>
  <c r="P323" i="3"/>
  <c r="U323" i="3"/>
  <c r="S323" i="3"/>
  <c r="Q323" i="3"/>
  <c r="O323" i="3"/>
  <c r="M323" i="3"/>
  <c r="D323" i="3"/>
  <c r="F323" i="3"/>
  <c r="J323" i="3"/>
  <c r="H322" i="3"/>
  <c r="U322" i="3"/>
  <c r="AD322" i="3"/>
  <c r="AC322" i="3"/>
  <c r="AB322" i="3"/>
  <c r="AA322" i="3"/>
  <c r="Z322" i="3"/>
  <c r="Y322" i="3"/>
  <c r="X322" i="3"/>
  <c r="W322" i="3"/>
  <c r="V322" i="3"/>
  <c r="T322" i="3"/>
  <c r="S322" i="3"/>
  <c r="R322" i="3"/>
  <c r="Q322" i="3"/>
  <c r="P322" i="3"/>
  <c r="G322" i="3"/>
  <c r="F322" i="3"/>
  <c r="E322" i="3"/>
  <c r="D322" i="3"/>
  <c r="O322" i="3"/>
  <c r="N322" i="3"/>
  <c r="M322" i="3"/>
  <c r="L322" i="3"/>
  <c r="K322" i="3"/>
  <c r="J322" i="3"/>
  <c r="I322" i="3"/>
  <c r="AE322" i="3"/>
  <c r="I321" i="3"/>
  <c r="D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H321" i="3"/>
  <c r="G321" i="3"/>
  <c r="F321" i="3"/>
  <c r="E321" i="3"/>
  <c r="AE321" i="3"/>
  <c r="W320" i="3"/>
  <c r="Y320" i="3"/>
  <c r="X320" i="3"/>
  <c r="U320" i="3"/>
  <c r="S320" i="3"/>
  <c r="Q320" i="3"/>
  <c r="N320" i="3"/>
  <c r="K320" i="3"/>
  <c r="I320" i="3"/>
  <c r="F320" i="3"/>
  <c r="D320" i="3"/>
  <c r="AB320" i="3"/>
  <c r="E320" i="3"/>
  <c r="G320" i="3"/>
  <c r="H320" i="3"/>
  <c r="J320" i="3"/>
  <c r="L320" i="3"/>
  <c r="M320" i="3"/>
  <c r="O320" i="3"/>
  <c r="P320" i="3"/>
  <c r="R320" i="3"/>
  <c r="T320" i="3"/>
  <c r="V320" i="3"/>
  <c r="AD320" i="3"/>
  <c r="AE320" i="3"/>
  <c r="AC320" i="3"/>
  <c r="AA320" i="3"/>
  <c r="Z320" i="3"/>
  <c r="D319" i="3"/>
  <c r="E319" i="3"/>
  <c r="H319" i="3"/>
  <c r="J319" i="3"/>
  <c r="M319" i="3"/>
  <c r="O319" i="3"/>
  <c r="Q319" i="3"/>
  <c r="T319" i="3"/>
  <c r="V319" i="3"/>
  <c r="Y319" i="3"/>
  <c r="AA319" i="3"/>
  <c r="AC319" i="3"/>
  <c r="AD319" i="3"/>
  <c r="AB319" i="3"/>
  <c r="AE319" i="3"/>
  <c r="Z319" i="3"/>
  <c r="X319" i="3"/>
  <c r="W319" i="3"/>
  <c r="U319" i="3"/>
  <c r="S319" i="3"/>
  <c r="R319" i="3"/>
  <c r="P319" i="3"/>
  <c r="N319" i="3"/>
  <c r="L319" i="3"/>
  <c r="K319" i="3"/>
  <c r="I319" i="3"/>
  <c r="G319" i="3"/>
  <c r="F319" i="3"/>
  <c r="F318" i="3"/>
  <c r="H318" i="3"/>
  <c r="AB318" i="3"/>
  <c r="Y318" i="3"/>
  <c r="W318" i="3"/>
  <c r="U318" i="3"/>
  <c r="S318" i="3"/>
  <c r="J318" i="3"/>
  <c r="L318" i="3"/>
  <c r="N318" i="3"/>
  <c r="P318" i="3"/>
  <c r="R318" i="3"/>
  <c r="T318" i="3"/>
  <c r="V318" i="3"/>
  <c r="X318" i="3"/>
  <c r="Z318" i="3"/>
  <c r="AA318" i="3"/>
  <c r="AC318" i="3"/>
  <c r="AD318" i="3"/>
  <c r="AE318" i="3"/>
  <c r="Q318" i="3"/>
  <c r="O318" i="3"/>
  <c r="M318" i="3"/>
  <c r="K318" i="3"/>
  <c r="I318" i="3"/>
  <c r="G318" i="3"/>
  <c r="E318" i="3"/>
  <c r="D318" i="3"/>
  <c r="W317" i="3"/>
  <c r="M317" i="3"/>
  <c r="E317" i="3"/>
  <c r="G317" i="3"/>
  <c r="I317" i="3"/>
  <c r="F317" i="3"/>
  <c r="H317" i="3"/>
  <c r="R317" i="3"/>
  <c r="T317" i="3"/>
  <c r="V317" i="3"/>
  <c r="X317" i="3"/>
  <c r="Z317" i="3"/>
  <c r="AB317" i="3"/>
  <c r="J317" i="3"/>
  <c r="L317" i="3"/>
  <c r="N317" i="3"/>
  <c r="O317" i="3"/>
  <c r="Q317" i="3"/>
  <c r="S317" i="3"/>
  <c r="U317" i="3"/>
  <c r="AE317" i="3"/>
  <c r="AD317" i="3"/>
  <c r="AC317" i="3"/>
  <c r="AA317" i="3"/>
  <c r="Y317" i="3"/>
  <c r="K317" i="3"/>
  <c r="P317" i="3"/>
  <c r="D317" i="3"/>
  <c r="K316" i="3"/>
  <c r="F316" i="3"/>
  <c r="O316" i="3"/>
  <c r="Q316" i="3"/>
  <c r="G316" i="3"/>
  <c r="E316" i="3"/>
  <c r="S316" i="3"/>
  <c r="U316" i="3"/>
  <c r="V316" i="3"/>
  <c r="X316" i="3"/>
  <c r="M316" i="3"/>
  <c r="I316" i="3"/>
  <c r="P316" i="3"/>
  <c r="Z316" i="3"/>
  <c r="AB316" i="3"/>
  <c r="AE316" i="3"/>
  <c r="AD316" i="3"/>
  <c r="AC316" i="3"/>
  <c r="AA316" i="3"/>
  <c r="Y316" i="3"/>
  <c r="W316" i="3"/>
  <c r="T316" i="3"/>
  <c r="R316" i="3"/>
  <c r="N316" i="3"/>
  <c r="L316" i="3"/>
  <c r="J316" i="3"/>
  <c r="H316" i="3"/>
  <c r="D316" i="3"/>
  <c r="H315" i="3"/>
  <c r="D315" i="3"/>
  <c r="F315" i="3"/>
  <c r="G315" i="3"/>
  <c r="I315" i="3"/>
  <c r="K315" i="3"/>
  <c r="U315" i="3"/>
  <c r="L315" i="3"/>
  <c r="N315" i="3"/>
  <c r="P315" i="3"/>
  <c r="R315" i="3"/>
  <c r="T315" i="3"/>
  <c r="S315" i="3"/>
  <c r="V315" i="3"/>
  <c r="Z315" i="3"/>
  <c r="AD315" i="3"/>
  <c r="AE315" i="3"/>
  <c r="AB315" i="3"/>
  <c r="X315" i="3"/>
  <c r="AC315" i="3"/>
  <c r="AA315" i="3"/>
  <c r="Q315" i="3"/>
  <c r="Y315" i="3"/>
  <c r="W315" i="3"/>
  <c r="O315" i="3"/>
  <c r="M315" i="3"/>
  <c r="J315" i="3"/>
  <c r="E315" i="3"/>
  <c r="N314" i="3"/>
  <c r="L314" i="3"/>
  <c r="AC314" i="3"/>
  <c r="AB314" i="3"/>
  <c r="Z314" i="3"/>
  <c r="Y314" i="3"/>
  <c r="W314" i="3"/>
  <c r="U314" i="3"/>
  <c r="S314" i="3"/>
  <c r="R314" i="3"/>
  <c r="T314" i="3"/>
  <c r="V314" i="3"/>
  <c r="Q314" i="3"/>
  <c r="O314" i="3"/>
  <c r="M314" i="3"/>
  <c r="I314" i="3"/>
  <c r="G314" i="3"/>
  <c r="E314" i="3"/>
  <c r="X314" i="3"/>
  <c r="D314" i="3"/>
  <c r="AD314" i="3"/>
  <c r="AE314" i="3"/>
  <c r="K314" i="3"/>
  <c r="J314" i="3"/>
  <c r="H314" i="3"/>
  <c r="F314" i="3"/>
  <c r="AA314" i="3"/>
  <c r="P314" i="3"/>
  <c r="I313" i="3"/>
  <c r="W313" i="3"/>
  <c r="G313" i="3"/>
  <c r="E313" i="3"/>
  <c r="D313" i="3"/>
  <c r="F313" i="3"/>
  <c r="H313" i="3"/>
  <c r="J313" i="3"/>
  <c r="L313" i="3"/>
  <c r="M313" i="3"/>
  <c r="N313" i="3"/>
  <c r="Q313" i="3"/>
  <c r="R313" i="3"/>
  <c r="K313" i="3"/>
  <c r="U313" i="3"/>
  <c r="V313" i="3"/>
  <c r="X313" i="3"/>
  <c r="Z313" i="3"/>
  <c r="AB313" i="3"/>
  <c r="AC313" i="3"/>
  <c r="AD313" i="3"/>
  <c r="AA313" i="3"/>
  <c r="AE313" i="3"/>
  <c r="O313" i="3"/>
  <c r="P313" i="3"/>
  <c r="S313" i="3"/>
  <c r="T313" i="3"/>
  <c r="Y313" i="3"/>
  <c r="T308" i="3"/>
  <c r="G308" i="3"/>
  <c r="R308" i="3"/>
  <c r="P308" i="3"/>
  <c r="N308" i="3"/>
  <c r="L308" i="3"/>
  <c r="AC308" i="3"/>
  <c r="AB308" i="3"/>
  <c r="AA308" i="3"/>
  <c r="Y308" i="3"/>
  <c r="W308" i="3"/>
  <c r="U308" i="3"/>
  <c r="S308" i="3"/>
  <c r="Q308" i="3"/>
  <c r="D308" i="3"/>
  <c r="F308" i="3"/>
  <c r="O308" i="3"/>
  <c r="M308" i="3"/>
  <c r="H308" i="3"/>
  <c r="AE308" i="3"/>
  <c r="AD308" i="3"/>
  <c r="Z308" i="3"/>
  <c r="X308" i="3"/>
  <c r="V308" i="3"/>
  <c r="J308" i="3"/>
  <c r="K308" i="3"/>
  <c r="I308" i="3"/>
  <c r="E308" i="3"/>
  <c r="T307" i="3"/>
  <c r="E307" i="3"/>
  <c r="M307" i="3"/>
  <c r="O307" i="3"/>
  <c r="Q307" i="3"/>
  <c r="S307" i="3"/>
  <c r="W307" i="3"/>
  <c r="AA307" i="3"/>
  <c r="AE307" i="3"/>
  <c r="J307" i="3"/>
  <c r="H307" i="3"/>
  <c r="F307" i="3"/>
  <c r="D307" i="3"/>
  <c r="G307" i="3"/>
  <c r="I307" i="3"/>
  <c r="AD307" i="3"/>
  <c r="AC307" i="3"/>
  <c r="AB307" i="3"/>
  <c r="Z307" i="3"/>
  <c r="Y307" i="3"/>
  <c r="K307" i="3"/>
  <c r="N307" i="3"/>
  <c r="P307" i="3"/>
  <c r="R307" i="3"/>
  <c r="X307" i="3"/>
  <c r="V307" i="3"/>
  <c r="U307" i="3"/>
  <c r="L307" i="3"/>
  <c r="AD305" i="3"/>
  <c r="D305" i="3"/>
  <c r="AC305" i="3"/>
  <c r="AE305" i="3"/>
  <c r="AB305" i="3"/>
  <c r="AA305" i="3"/>
  <c r="Y305" i="3"/>
  <c r="W305" i="3"/>
  <c r="U305" i="3"/>
  <c r="S305" i="3"/>
  <c r="R305" i="3"/>
  <c r="O305" i="3"/>
  <c r="N305" i="3"/>
  <c r="L305" i="3"/>
  <c r="G305" i="3"/>
  <c r="J305" i="3"/>
  <c r="Z305" i="3"/>
  <c r="X305" i="3"/>
  <c r="V305" i="3"/>
  <c r="T305" i="3"/>
  <c r="Q305" i="3"/>
  <c r="P305" i="3"/>
  <c r="M305" i="3"/>
  <c r="K305" i="3"/>
  <c r="I305" i="3"/>
  <c r="H305" i="3"/>
  <c r="F305" i="3"/>
  <c r="E305" i="3"/>
  <c r="AD304" i="3"/>
  <c r="D304" i="3"/>
  <c r="AB304" i="3"/>
  <c r="AA304" i="3"/>
  <c r="Y304" i="3"/>
  <c r="W304" i="3"/>
  <c r="U304" i="3"/>
  <c r="R304" i="3"/>
  <c r="Q304" i="3"/>
  <c r="O304" i="3"/>
  <c r="N304" i="3"/>
  <c r="L304" i="3"/>
  <c r="J304" i="3"/>
  <c r="H304" i="3"/>
  <c r="E304" i="3"/>
  <c r="F304" i="3"/>
  <c r="G304" i="3"/>
  <c r="I304" i="3"/>
  <c r="K304" i="3"/>
  <c r="M304" i="3"/>
  <c r="P304" i="3"/>
  <c r="S304" i="3"/>
  <c r="T304" i="3"/>
  <c r="V304" i="3"/>
  <c r="X304" i="3"/>
  <c r="Z304" i="3"/>
  <c r="AC304" i="3"/>
  <c r="AE304" i="3"/>
  <c r="K303" i="3"/>
  <c r="AB303" i="3"/>
  <c r="I303" i="3"/>
  <c r="M303" i="3"/>
  <c r="G303" i="3"/>
  <c r="E303" i="3"/>
  <c r="D303" i="3"/>
  <c r="F303" i="3"/>
  <c r="H303" i="3"/>
  <c r="J303" i="3"/>
  <c r="L303" i="3"/>
  <c r="N303" i="3"/>
  <c r="P303" i="3"/>
  <c r="R303" i="3"/>
  <c r="T303" i="3"/>
  <c r="W303" i="3"/>
  <c r="X303" i="3"/>
  <c r="AA303" i="3"/>
  <c r="AC303" i="3"/>
  <c r="AD303" i="3"/>
  <c r="AE303" i="3"/>
  <c r="Q303" i="3"/>
  <c r="S303" i="3"/>
  <c r="U303" i="3"/>
  <c r="V303" i="3"/>
  <c r="Y303" i="3"/>
  <c r="Z303" i="3"/>
  <c r="O303" i="3"/>
  <c r="M302" i="3"/>
  <c r="AB302" i="3"/>
  <c r="Q302" i="3"/>
  <c r="S302" i="3"/>
  <c r="U302" i="3"/>
  <c r="W302" i="3"/>
  <c r="Y302" i="3"/>
  <c r="AA302" i="3"/>
  <c r="D302" i="3"/>
  <c r="K302" i="3"/>
  <c r="H302" i="3"/>
  <c r="E302" i="3"/>
  <c r="G302" i="3"/>
  <c r="I302" i="3"/>
  <c r="J302" i="3"/>
  <c r="L302" i="3"/>
  <c r="N302" i="3"/>
  <c r="P302" i="3"/>
  <c r="R302" i="3"/>
  <c r="T302" i="3"/>
  <c r="V302" i="3"/>
  <c r="X302" i="3"/>
  <c r="Z302" i="3"/>
  <c r="F302" i="3"/>
  <c r="AE302" i="3"/>
  <c r="AD302" i="3"/>
  <c r="AC302" i="3"/>
  <c r="O302" i="3"/>
  <c r="AE301" i="3"/>
  <c r="AC301" i="3"/>
  <c r="AB301" i="3"/>
  <c r="Z301" i="3"/>
  <c r="Y301" i="3"/>
  <c r="W301" i="3"/>
  <c r="U301" i="3"/>
  <c r="S301" i="3"/>
  <c r="Q301" i="3"/>
  <c r="O301" i="3"/>
  <c r="M301" i="3"/>
  <c r="K301" i="3"/>
  <c r="AD301" i="3"/>
  <c r="AA301" i="3"/>
  <c r="X301" i="3"/>
  <c r="V301" i="3"/>
  <c r="T301" i="3"/>
  <c r="R301" i="3"/>
  <c r="P301" i="3"/>
  <c r="N301" i="3"/>
  <c r="L301" i="3"/>
  <c r="J301" i="3"/>
  <c r="H301" i="3"/>
  <c r="F301" i="3"/>
  <c r="D301" i="3"/>
  <c r="I301" i="3"/>
  <c r="G301" i="3"/>
  <c r="E301" i="3"/>
  <c r="J300" i="3"/>
  <c r="AA300" i="3"/>
  <c r="H300" i="3"/>
  <c r="E300" i="3"/>
  <c r="G300" i="3"/>
  <c r="I300" i="3"/>
  <c r="K300" i="3"/>
  <c r="M300" i="3"/>
  <c r="O300" i="3"/>
  <c r="Q300" i="3"/>
  <c r="R300" i="3"/>
  <c r="U300" i="3"/>
  <c r="X300" i="3"/>
  <c r="Z300" i="3"/>
  <c r="AB300" i="3"/>
  <c r="D300" i="3"/>
  <c r="F300" i="3"/>
  <c r="L300" i="3"/>
  <c r="AE300" i="3"/>
  <c r="AD300" i="3"/>
  <c r="N300" i="3"/>
  <c r="P300" i="3"/>
  <c r="S300" i="3"/>
  <c r="T300" i="3"/>
  <c r="V300" i="3"/>
  <c r="W300" i="3"/>
  <c r="Y300" i="3"/>
  <c r="AC300" i="3"/>
  <c r="I299" i="3"/>
  <c r="G299" i="3"/>
  <c r="AE299" i="3"/>
  <c r="AA299" i="3"/>
  <c r="Z299" i="3"/>
  <c r="X299" i="3"/>
  <c r="V299" i="3"/>
  <c r="T299" i="3"/>
  <c r="R299" i="3"/>
  <c r="P299" i="3"/>
  <c r="N299" i="3"/>
  <c r="L299" i="3"/>
  <c r="J299" i="3"/>
  <c r="H299" i="3"/>
  <c r="F299" i="3"/>
  <c r="AD299" i="3"/>
  <c r="AC299" i="3"/>
  <c r="AB299" i="3"/>
  <c r="Y299" i="3"/>
  <c r="W299" i="3"/>
  <c r="U299" i="3"/>
  <c r="S299" i="3"/>
  <c r="Q299" i="3"/>
  <c r="O299" i="3"/>
  <c r="M299" i="3"/>
  <c r="K299" i="3"/>
  <c r="E299" i="3"/>
  <c r="D299" i="3"/>
  <c r="F298" i="3"/>
  <c r="AE298" i="3"/>
  <c r="AA298" i="3"/>
  <c r="Y298" i="3"/>
  <c r="W298" i="3"/>
  <c r="U298" i="3"/>
  <c r="S298" i="3"/>
  <c r="P298" i="3"/>
  <c r="N298" i="3"/>
  <c r="L298" i="3"/>
  <c r="J298" i="3"/>
  <c r="H298" i="3"/>
  <c r="D298" i="3"/>
  <c r="E298" i="3"/>
  <c r="G298" i="3"/>
  <c r="I298" i="3"/>
  <c r="K298" i="3"/>
  <c r="M298" i="3"/>
  <c r="O298" i="3"/>
  <c r="Q298" i="3"/>
  <c r="R298" i="3"/>
  <c r="T298" i="3"/>
  <c r="V298" i="3"/>
  <c r="X298" i="3"/>
  <c r="Z298" i="3"/>
  <c r="AB298" i="3"/>
  <c r="AD298" i="3"/>
  <c r="AC298" i="3"/>
  <c r="K297" i="3"/>
  <c r="D297" i="3"/>
  <c r="T297" i="3"/>
  <c r="U297" i="3"/>
  <c r="Y297" i="3"/>
  <c r="Z297" i="3"/>
  <c r="AB297" i="3"/>
  <c r="AD297" i="3"/>
  <c r="AE297" i="3"/>
  <c r="AC297" i="3"/>
  <c r="AA297" i="3"/>
  <c r="X297" i="3"/>
  <c r="W297" i="3"/>
  <c r="V297" i="3"/>
  <c r="S297" i="3"/>
  <c r="Q297" i="3"/>
  <c r="O297" i="3"/>
  <c r="M297" i="3"/>
  <c r="P297" i="3"/>
  <c r="J297" i="3"/>
  <c r="H297" i="3"/>
  <c r="F297" i="3"/>
  <c r="N297" i="3"/>
  <c r="L297" i="3"/>
  <c r="I297" i="3"/>
  <c r="G297" i="3"/>
  <c r="E297" i="3"/>
  <c r="R297" i="3"/>
  <c r="R296" i="3"/>
  <c r="AE296" i="3"/>
  <c r="L296" i="3"/>
  <c r="I296" i="3"/>
  <c r="J296" i="3"/>
  <c r="AB296" i="3"/>
  <c r="Y296" i="3"/>
  <c r="G296" i="3"/>
  <c r="X296" i="3"/>
  <c r="V296" i="3"/>
  <c r="T296" i="3"/>
  <c r="F296" i="3"/>
  <c r="H296" i="3"/>
  <c r="P296" i="3"/>
  <c r="M296" i="3"/>
  <c r="E296" i="3"/>
  <c r="K296" i="3"/>
  <c r="N296" i="3"/>
  <c r="O296" i="3"/>
  <c r="Q296" i="3"/>
  <c r="S296" i="3"/>
  <c r="U296" i="3"/>
  <c r="W296" i="3"/>
  <c r="Z296" i="3"/>
  <c r="AA296" i="3"/>
  <c r="AC296" i="3"/>
  <c r="AD296" i="3"/>
  <c r="D296" i="3"/>
  <c r="Q295" i="3"/>
  <c r="O295" i="3"/>
  <c r="M295" i="3"/>
  <c r="N295" i="3"/>
  <c r="AE295" i="3"/>
  <c r="AD295" i="3"/>
  <c r="I295" i="3"/>
  <c r="AA295" i="3"/>
  <c r="AC295" i="3"/>
  <c r="K295" i="3"/>
  <c r="D295" i="3"/>
  <c r="G295" i="3"/>
  <c r="J295" i="3"/>
  <c r="AB295" i="3"/>
  <c r="R295" i="3"/>
  <c r="V295" i="3"/>
  <c r="W295" i="3"/>
  <c r="H295" i="3"/>
  <c r="Y295" i="3"/>
  <c r="F295" i="3"/>
  <c r="S295" i="3"/>
  <c r="X295" i="3"/>
  <c r="U295" i="3"/>
  <c r="E295" i="3"/>
  <c r="Z295" i="3"/>
  <c r="P295" i="3"/>
  <c r="T295" i="3"/>
  <c r="L295" i="3"/>
  <c r="W294" i="3"/>
  <c r="O294" i="3"/>
  <c r="AC294" i="3"/>
  <c r="L294" i="3"/>
  <c r="G294" i="3"/>
  <c r="V294" i="3"/>
  <c r="D294" i="3"/>
  <c r="Y294" i="3"/>
  <c r="S294" i="3"/>
  <c r="U294" i="3"/>
  <c r="AE294" i="3"/>
  <c r="M294" i="3"/>
  <c r="J294" i="3"/>
  <c r="R294" i="3"/>
  <c r="I294" i="3"/>
  <c r="AA294" i="3"/>
  <c r="X294" i="3"/>
  <c r="P294" i="3"/>
  <c r="Z294" i="3"/>
  <c r="T294" i="3"/>
  <c r="Q294" i="3"/>
  <c r="N294" i="3"/>
  <c r="H294" i="3"/>
  <c r="F294" i="3"/>
  <c r="AD294" i="3"/>
  <c r="K294" i="3"/>
  <c r="E294" i="3"/>
  <c r="AB294" i="3"/>
  <c r="I293" i="3"/>
  <c r="Q293" i="3"/>
  <c r="G293" i="3"/>
  <c r="W293" i="3"/>
  <c r="Y293" i="3"/>
  <c r="E293" i="3"/>
  <c r="O293" i="3"/>
  <c r="H293" i="3"/>
  <c r="X293" i="3"/>
  <c r="V293" i="3"/>
  <c r="M293" i="3"/>
  <c r="R293" i="3"/>
  <c r="AE293" i="3"/>
  <c r="L293" i="3"/>
  <c r="F293" i="3"/>
  <c r="D293" i="3"/>
  <c r="N293" i="3"/>
  <c r="K293" i="3"/>
  <c r="AA293" i="3"/>
  <c r="J293" i="3"/>
  <c r="AD293" i="3"/>
  <c r="T293" i="3"/>
  <c r="AC293" i="3"/>
  <c r="Z293" i="3"/>
  <c r="U293" i="3"/>
  <c r="S293" i="3"/>
  <c r="P293" i="3"/>
  <c r="AB293" i="3"/>
  <c r="Q292" i="3"/>
  <c r="K292" i="3"/>
  <c r="S292" i="3"/>
  <c r="H292" i="3"/>
  <c r="I292" i="3"/>
  <c r="AE292" i="3"/>
  <c r="R292" i="3"/>
  <c r="AA292" i="3"/>
  <c r="AD292" i="3"/>
  <c r="Y292" i="3"/>
  <c r="X292" i="3"/>
  <c r="Z292" i="3"/>
  <c r="U292" i="3"/>
  <c r="N292" i="3"/>
  <c r="J292" i="3"/>
  <c r="W292" i="3"/>
  <c r="AC292" i="3"/>
  <c r="M292" i="3"/>
  <c r="O292" i="3"/>
  <c r="E292" i="3"/>
  <c r="P292" i="3"/>
  <c r="V292" i="3"/>
  <c r="T292" i="3"/>
  <c r="AB292" i="3"/>
  <c r="D292" i="3"/>
  <c r="G292" i="3"/>
  <c r="L292" i="3"/>
  <c r="F292" i="3"/>
  <c r="S291" i="3"/>
  <c r="V291" i="3"/>
  <c r="G291" i="3"/>
  <c r="K291" i="3"/>
  <c r="O291" i="3"/>
  <c r="T291" i="3"/>
  <c r="Y291" i="3"/>
  <c r="AA291" i="3"/>
  <c r="AD291" i="3"/>
  <c r="W291" i="3"/>
  <c r="J291" i="3"/>
  <c r="F291" i="3"/>
  <c r="Q291" i="3"/>
  <c r="AE291" i="3"/>
  <c r="R291" i="3"/>
  <c r="M291" i="3"/>
  <c r="Z291" i="3"/>
  <c r="H291" i="3"/>
  <c r="E291" i="3"/>
  <c r="U291" i="3"/>
  <c r="P291" i="3"/>
  <c r="X291" i="3"/>
  <c r="AC291" i="3"/>
  <c r="L291" i="3"/>
  <c r="I291" i="3"/>
  <c r="D291" i="3"/>
  <c r="N291" i="3"/>
  <c r="AB291" i="3"/>
  <c r="R290" i="3"/>
  <c r="Z290" i="3"/>
  <c r="E290" i="3"/>
  <c r="H290" i="3"/>
  <c r="T290" i="3"/>
  <c r="F290" i="3"/>
  <c r="P290" i="3"/>
  <c r="AA290" i="3"/>
  <c r="N290" i="3"/>
  <c r="I290" i="3"/>
  <c r="S290" i="3"/>
  <c r="U290" i="3"/>
  <c r="W290" i="3"/>
  <c r="Y290" i="3"/>
  <c r="D290" i="3"/>
  <c r="G290" i="3"/>
  <c r="J290" i="3"/>
  <c r="O290" i="3"/>
  <c r="M290" i="3"/>
  <c r="AB290" i="3"/>
  <c r="L290" i="3"/>
  <c r="AE290" i="3"/>
  <c r="AC290" i="3"/>
  <c r="K290" i="3"/>
  <c r="Q290" i="3"/>
  <c r="AD290" i="3"/>
  <c r="V290" i="3"/>
  <c r="X290" i="3"/>
  <c r="S268" i="3"/>
  <c r="R268" i="3"/>
  <c r="AE268" i="3"/>
  <c r="AD268" i="3"/>
  <c r="AC268" i="3"/>
  <c r="AB268" i="3"/>
  <c r="AA268" i="3"/>
  <c r="Z268" i="3"/>
  <c r="Y268" i="3"/>
  <c r="X268" i="3"/>
  <c r="W268" i="3"/>
  <c r="V268" i="3"/>
  <c r="U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T268" i="3"/>
  <c r="H267" i="3"/>
  <c r="I267" i="3"/>
  <c r="T267" i="3"/>
  <c r="S267" i="3"/>
  <c r="G267" i="3"/>
  <c r="F267" i="3"/>
  <c r="L267" i="3"/>
  <c r="M267" i="3"/>
  <c r="E267" i="3"/>
  <c r="D267" i="3"/>
  <c r="U267" i="3"/>
  <c r="V267" i="3"/>
  <c r="W267" i="3"/>
  <c r="X267" i="3"/>
  <c r="N267" i="3"/>
  <c r="Y267" i="3"/>
  <c r="Z267" i="3"/>
  <c r="AA267" i="3"/>
  <c r="K267" i="3"/>
  <c r="J267" i="3"/>
  <c r="AB267" i="3"/>
  <c r="O267" i="3"/>
  <c r="AC267" i="3"/>
  <c r="AD267" i="3"/>
  <c r="P267" i="3"/>
  <c r="Q267" i="3"/>
  <c r="AE267" i="3"/>
  <c r="R267" i="3"/>
  <c r="K266" i="3"/>
  <c r="AC266" i="3"/>
  <c r="V266" i="3"/>
  <c r="T266" i="3"/>
  <c r="W266" i="3"/>
  <c r="X266" i="3"/>
  <c r="S266" i="3"/>
  <c r="R266" i="3"/>
  <c r="Q266" i="3"/>
  <c r="P266" i="3"/>
  <c r="O266" i="3"/>
  <c r="N266" i="3"/>
  <c r="M266" i="3"/>
  <c r="L266" i="3"/>
  <c r="J266" i="3"/>
  <c r="I266" i="3"/>
  <c r="H266" i="3"/>
  <c r="G266" i="3"/>
  <c r="Y266" i="3"/>
  <c r="Z266" i="3"/>
  <c r="AA266" i="3"/>
  <c r="AB266" i="3"/>
  <c r="F266" i="3"/>
  <c r="E266" i="3"/>
  <c r="AE266" i="3"/>
  <c r="D266" i="3"/>
  <c r="AD266" i="3"/>
  <c r="U266" i="3"/>
  <c r="T265" i="3"/>
  <c r="U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AE265" i="3"/>
  <c r="V265" i="3"/>
  <c r="W265" i="3"/>
  <c r="X265" i="3"/>
  <c r="Y265" i="3"/>
  <c r="Z265" i="3"/>
  <c r="AA265" i="3"/>
  <c r="AB265" i="3"/>
  <c r="AD265" i="3"/>
  <c r="AC265" i="3"/>
  <c r="V264" i="3"/>
  <c r="U264" i="3"/>
  <c r="S264" i="3"/>
  <c r="R264" i="3"/>
  <c r="Q264" i="3"/>
  <c r="P264" i="3"/>
  <c r="O264" i="3"/>
  <c r="N264" i="3"/>
  <c r="M264" i="3"/>
  <c r="W264" i="3"/>
  <c r="X264" i="3"/>
  <c r="L264" i="3"/>
  <c r="K264" i="3"/>
  <c r="J264" i="3"/>
  <c r="I264" i="3"/>
  <c r="H264" i="3"/>
  <c r="G264" i="3"/>
  <c r="F264" i="3"/>
  <c r="E264" i="3"/>
  <c r="Y264" i="3"/>
  <c r="Z264" i="3"/>
  <c r="D264" i="3"/>
  <c r="AA264" i="3"/>
  <c r="AB264" i="3"/>
  <c r="AC264" i="3"/>
  <c r="AD264" i="3"/>
  <c r="AE264" i="3"/>
  <c r="T264" i="3"/>
  <c r="Z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AA263" i="3"/>
  <c r="AB263" i="3"/>
  <c r="AC263" i="3"/>
  <c r="AD263" i="3"/>
  <c r="AE263" i="3"/>
  <c r="Y263" i="3"/>
  <c r="L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Y262" i="3"/>
  <c r="Z262" i="3"/>
  <c r="J262" i="3"/>
  <c r="I262" i="3"/>
  <c r="H262" i="3"/>
  <c r="G262" i="3"/>
  <c r="F262" i="3"/>
  <c r="E262" i="3"/>
  <c r="D262" i="3"/>
  <c r="AE262" i="3"/>
  <c r="AD262" i="3"/>
  <c r="AC262" i="3"/>
  <c r="AB262" i="3"/>
  <c r="AA262" i="3"/>
  <c r="K262" i="3"/>
  <c r="K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Z261" i="3"/>
  <c r="J261" i="3"/>
  <c r="I261" i="3"/>
  <c r="H261" i="3"/>
  <c r="G261" i="3"/>
  <c r="F261" i="3"/>
  <c r="E261" i="3"/>
  <c r="D261" i="3"/>
  <c r="AA261" i="3"/>
  <c r="AB261" i="3"/>
  <c r="AC261" i="3"/>
  <c r="Y261" i="3"/>
  <c r="AD261" i="3"/>
  <c r="AE261" i="3"/>
  <c r="AE260" i="3"/>
  <c r="AD260" i="3"/>
  <c r="AC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AB260" i="3"/>
  <c r="U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H259" i="3"/>
  <c r="V259" i="3"/>
  <c r="G259" i="3"/>
  <c r="X259" i="3"/>
  <c r="Y259" i="3"/>
  <c r="Z259" i="3"/>
  <c r="AA259" i="3"/>
  <c r="AB259" i="3"/>
  <c r="AC259" i="3"/>
  <c r="AD259" i="3"/>
  <c r="AE259" i="3"/>
  <c r="F259" i="3"/>
  <c r="E259" i="3"/>
  <c r="D259" i="3"/>
  <c r="W259" i="3"/>
  <c r="V258" i="3"/>
  <c r="U258" i="3"/>
  <c r="AB258" i="3"/>
  <c r="AA258" i="3"/>
  <c r="Z258" i="3"/>
  <c r="Y258" i="3"/>
  <c r="X258" i="3"/>
  <c r="AD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W258" i="3"/>
  <c r="AC258" i="3"/>
  <c r="AE258" i="3"/>
  <c r="N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AC257" i="3"/>
  <c r="M257" i="3"/>
  <c r="L257" i="3"/>
  <c r="K257" i="3"/>
  <c r="J257" i="3"/>
  <c r="I257" i="3"/>
  <c r="H257" i="3"/>
  <c r="G257" i="3"/>
  <c r="F257" i="3"/>
  <c r="E257" i="3"/>
  <c r="D257" i="3"/>
  <c r="AB257" i="3"/>
  <c r="AD257" i="3"/>
  <c r="AE257" i="3"/>
  <c r="AE228" i="3"/>
  <c r="AD228" i="3"/>
  <c r="AC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AB228" i="3"/>
  <c r="N227" i="3"/>
  <c r="O227" i="3"/>
  <c r="Z227" i="3"/>
  <c r="Y227" i="3"/>
  <c r="X227" i="3"/>
  <c r="W227" i="3"/>
  <c r="V227" i="3"/>
  <c r="U227" i="3"/>
  <c r="T227" i="3"/>
  <c r="S227" i="3"/>
  <c r="R227" i="3"/>
  <c r="Q227" i="3"/>
  <c r="P227" i="3"/>
  <c r="AB227" i="3"/>
  <c r="AC227" i="3"/>
  <c r="AD227" i="3"/>
  <c r="L227" i="3"/>
  <c r="K227" i="3"/>
  <c r="J227" i="3"/>
  <c r="I227" i="3"/>
  <c r="H227" i="3"/>
  <c r="G227" i="3"/>
  <c r="F227" i="3"/>
  <c r="E227" i="3"/>
  <c r="D227" i="3"/>
  <c r="AA227" i="3"/>
  <c r="M227" i="3"/>
  <c r="AE227" i="3"/>
  <c r="AB226" i="3"/>
  <c r="AE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AD226" i="3"/>
  <c r="AA226" i="3"/>
  <c r="AC226" i="3"/>
  <c r="N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AB225" i="3"/>
  <c r="AC225" i="3"/>
  <c r="AD225" i="3"/>
  <c r="L225" i="3"/>
  <c r="K225" i="3"/>
  <c r="J225" i="3"/>
  <c r="I225" i="3"/>
  <c r="H225" i="3"/>
  <c r="G225" i="3"/>
  <c r="F225" i="3"/>
  <c r="E225" i="3"/>
  <c r="D225" i="3"/>
  <c r="O225" i="3"/>
  <c r="M225" i="3"/>
  <c r="AE225" i="3"/>
  <c r="N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AC224" i="3"/>
  <c r="M224" i="3"/>
  <c r="L224" i="3"/>
  <c r="K224" i="3"/>
  <c r="J224" i="3"/>
  <c r="I224" i="3"/>
  <c r="H224" i="3"/>
  <c r="G224" i="3"/>
  <c r="F224" i="3"/>
  <c r="E224" i="3"/>
  <c r="D224" i="3"/>
  <c r="AE224" i="3"/>
  <c r="AD224" i="3"/>
  <c r="AB224" i="3"/>
  <c r="AC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AD223" i="3"/>
  <c r="AE223" i="3"/>
  <c r="AB223" i="3"/>
  <c r="Q222" i="3"/>
  <c r="L222" i="3"/>
  <c r="R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P222" i="3"/>
  <c r="O222" i="3"/>
  <c r="N222" i="3"/>
  <c r="M222" i="3"/>
  <c r="D222" i="3"/>
  <c r="E222" i="3"/>
  <c r="F222" i="3"/>
  <c r="G222" i="3"/>
  <c r="H222" i="3"/>
  <c r="I222" i="3"/>
  <c r="J222" i="3"/>
  <c r="K222" i="3"/>
  <c r="S222" i="3"/>
  <c r="AE221" i="3"/>
  <c r="P221" i="3"/>
  <c r="Q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AC220" i="3"/>
  <c r="Q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AE220" i="3"/>
  <c r="AD220" i="3"/>
  <c r="AB220" i="3"/>
  <c r="AA220" i="3"/>
  <c r="Z220" i="3"/>
  <c r="Y220" i="3"/>
  <c r="X220" i="3"/>
  <c r="W220" i="3"/>
  <c r="V220" i="3"/>
  <c r="U220" i="3"/>
  <c r="T220" i="3"/>
  <c r="S220" i="3"/>
  <c r="R220" i="3"/>
  <c r="P220" i="3"/>
  <c r="U219" i="3"/>
  <c r="Y219" i="3"/>
  <c r="W219" i="3"/>
  <c r="T219" i="3"/>
  <c r="V219" i="3"/>
  <c r="D219" i="3"/>
  <c r="E219" i="3"/>
  <c r="F219" i="3"/>
  <c r="S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AE219" i="3"/>
  <c r="AD219" i="3"/>
  <c r="AC219" i="3"/>
  <c r="AB219" i="3"/>
  <c r="AA219" i="3"/>
  <c r="Z219" i="3"/>
  <c r="X219" i="3"/>
  <c r="T218" i="3"/>
  <c r="AE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U218" i="3"/>
  <c r="V218" i="3"/>
  <c r="W218" i="3"/>
  <c r="X218" i="3"/>
  <c r="Y218" i="3"/>
  <c r="Z218" i="3"/>
  <c r="AA218" i="3"/>
  <c r="AB218" i="3"/>
  <c r="AC218" i="3"/>
  <c r="AD218" i="3"/>
  <c r="S218" i="3"/>
  <c r="AE217" i="3"/>
  <c r="A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S217" i="3"/>
  <c r="Q217" i="3"/>
  <c r="R217" i="3"/>
  <c r="T217" i="3"/>
  <c r="U217" i="3"/>
  <c r="V217" i="3"/>
  <c r="W217" i="3"/>
  <c r="X217" i="3"/>
  <c r="Y217" i="3"/>
  <c r="Z217" i="3"/>
  <c r="AA217" i="3"/>
  <c r="AB217" i="3"/>
  <c r="AC217" i="3"/>
  <c r="D217" i="3"/>
  <c r="F216" i="3"/>
  <c r="T216" i="3"/>
  <c r="E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U216" i="3"/>
  <c r="V216" i="3"/>
  <c r="W216" i="3"/>
  <c r="X216" i="3"/>
  <c r="Y216" i="3"/>
  <c r="Z216" i="3"/>
  <c r="AA216" i="3"/>
  <c r="AB216" i="3"/>
  <c r="AC216" i="3"/>
  <c r="AD216" i="3"/>
  <c r="AE216" i="3"/>
  <c r="D216" i="3"/>
  <c r="F215" i="3"/>
  <c r="D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E215" i="3"/>
  <c r="H215" i="3"/>
  <c r="G215" i="3"/>
  <c r="T214" i="3"/>
  <c r="E214" i="3"/>
  <c r="U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V214" i="3"/>
  <c r="W214" i="3"/>
  <c r="X214" i="3"/>
  <c r="Y214" i="3"/>
  <c r="Z214" i="3"/>
  <c r="AA214" i="3"/>
  <c r="AB214" i="3"/>
  <c r="AC214" i="3"/>
  <c r="AD214" i="3"/>
  <c r="AE214" i="3"/>
  <c r="F214" i="3"/>
  <c r="D214" i="3"/>
  <c r="E213" i="3"/>
  <c r="Z213" i="3"/>
  <c r="Y213" i="3"/>
  <c r="D213" i="3"/>
  <c r="R213" i="3"/>
  <c r="Q213" i="3"/>
  <c r="P213" i="3"/>
  <c r="O213" i="3"/>
  <c r="N213" i="3"/>
  <c r="M213" i="3"/>
  <c r="L213" i="3"/>
  <c r="K213" i="3"/>
  <c r="J213" i="3"/>
  <c r="I213" i="3"/>
  <c r="S213" i="3"/>
  <c r="H213" i="3"/>
  <c r="G213" i="3"/>
  <c r="F213" i="3"/>
  <c r="T213" i="3"/>
  <c r="U213" i="3"/>
  <c r="V213" i="3"/>
  <c r="W213" i="3"/>
  <c r="AE213" i="3"/>
  <c r="AD213" i="3"/>
  <c r="AC213" i="3"/>
  <c r="AB213" i="3"/>
  <c r="AA213" i="3"/>
  <c r="X213" i="3"/>
  <c r="G212" i="3"/>
  <c r="U212" i="3"/>
  <c r="E212" i="3"/>
  <c r="D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V212" i="3"/>
  <c r="W212" i="3"/>
  <c r="X212" i="3"/>
  <c r="Y212" i="3"/>
  <c r="Z212" i="3"/>
  <c r="AA212" i="3"/>
  <c r="AB212" i="3"/>
  <c r="AC212" i="3"/>
  <c r="AD212" i="3"/>
  <c r="AE212" i="3"/>
  <c r="F212" i="3"/>
  <c r="F211" i="3"/>
  <c r="I211" i="3"/>
  <c r="E211" i="3"/>
  <c r="D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J211" i="3"/>
  <c r="G211" i="3"/>
  <c r="H211" i="3"/>
  <c r="K210" i="3"/>
  <c r="X210" i="3"/>
  <c r="E210" i="3"/>
  <c r="D210" i="3"/>
  <c r="G210" i="3"/>
  <c r="AE210" i="3"/>
  <c r="AD210" i="3"/>
  <c r="AC210" i="3"/>
  <c r="AB210" i="3"/>
  <c r="AA210" i="3"/>
  <c r="Z210" i="3"/>
  <c r="Y210" i="3"/>
  <c r="L210" i="3"/>
  <c r="M210" i="3"/>
  <c r="N210" i="3"/>
  <c r="O210" i="3"/>
  <c r="P210" i="3"/>
  <c r="Q210" i="3"/>
  <c r="R210" i="3"/>
  <c r="S210" i="3"/>
  <c r="T210" i="3"/>
  <c r="U210" i="3"/>
  <c r="V210" i="3"/>
  <c r="J210" i="3"/>
  <c r="I210" i="3"/>
  <c r="H210" i="3"/>
  <c r="W210" i="3"/>
  <c r="F210" i="3"/>
  <c r="O209" i="3"/>
  <c r="G209" i="3"/>
  <c r="M209" i="3"/>
  <c r="L209" i="3"/>
  <c r="K209" i="3"/>
  <c r="J209" i="3"/>
  <c r="I209" i="3"/>
  <c r="H209" i="3"/>
  <c r="F209" i="3"/>
  <c r="E209" i="3"/>
  <c r="D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N209" i="3"/>
  <c r="G208" i="3"/>
  <c r="F208" i="3"/>
  <c r="E208" i="3"/>
  <c r="D208" i="3"/>
  <c r="V208" i="3"/>
  <c r="T208" i="3"/>
  <c r="AE208" i="3"/>
  <c r="AD208" i="3"/>
  <c r="AC208" i="3"/>
  <c r="AB208" i="3"/>
  <c r="AA208" i="3"/>
  <c r="Z208" i="3"/>
  <c r="Y208" i="3"/>
  <c r="X208" i="3"/>
  <c r="W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U208" i="3"/>
  <c r="H207" i="3"/>
  <c r="F207" i="3"/>
  <c r="E207" i="3"/>
  <c r="D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G207" i="3"/>
  <c r="T206" i="3"/>
  <c r="F206" i="3"/>
  <c r="E206" i="3"/>
  <c r="D206" i="3"/>
  <c r="AC206" i="3"/>
  <c r="AB206" i="3"/>
  <c r="AA206" i="3"/>
  <c r="Z206" i="3"/>
  <c r="Y206" i="3"/>
  <c r="X206" i="3"/>
  <c r="W206" i="3"/>
  <c r="V206" i="3"/>
  <c r="U206" i="3"/>
  <c r="AE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AD206" i="3"/>
  <c r="H205" i="3"/>
  <c r="F205" i="3"/>
  <c r="E205" i="3"/>
  <c r="D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G205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P187" i="3"/>
  <c r="Q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AD186" i="3"/>
  <c r="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AE186" i="3"/>
  <c r="Q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AE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Q183" i="3"/>
  <c r="AB183" i="3"/>
  <c r="AA183" i="3"/>
  <c r="AD183" i="3"/>
  <c r="N183" i="3"/>
  <c r="M183" i="3"/>
  <c r="L183" i="3"/>
  <c r="K183" i="3"/>
  <c r="J183" i="3"/>
  <c r="I183" i="3"/>
  <c r="H183" i="3"/>
  <c r="G183" i="3"/>
  <c r="F183" i="3"/>
  <c r="E183" i="3"/>
  <c r="D183" i="3"/>
  <c r="Y183" i="3"/>
  <c r="X183" i="3"/>
  <c r="W183" i="3"/>
  <c r="V183" i="3"/>
  <c r="U183" i="3"/>
  <c r="T183" i="3"/>
  <c r="S183" i="3"/>
  <c r="O183" i="3"/>
  <c r="AE183" i="3"/>
  <c r="P183" i="3"/>
  <c r="R183" i="3"/>
  <c r="AC183" i="3"/>
  <c r="Z183" i="3"/>
  <c r="S182" i="3"/>
  <c r="X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T182" i="3"/>
  <c r="AE182" i="3"/>
  <c r="AD182" i="3"/>
  <c r="AC182" i="3"/>
  <c r="AB182" i="3"/>
  <c r="AA182" i="3"/>
  <c r="Z182" i="3"/>
  <c r="Y182" i="3"/>
  <c r="R182" i="3"/>
  <c r="U182" i="3"/>
  <c r="V182" i="3"/>
  <c r="W182" i="3"/>
  <c r="Q182" i="3"/>
  <c r="Z181" i="3"/>
  <c r="R181" i="3"/>
  <c r="X181" i="3"/>
  <c r="W181" i="3"/>
  <c r="V181" i="3"/>
  <c r="U181" i="3"/>
  <c r="T181" i="3"/>
  <c r="S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AA181" i="3"/>
  <c r="AB181" i="3"/>
  <c r="AC181" i="3"/>
  <c r="AD181" i="3"/>
  <c r="AE181" i="3"/>
  <c r="Y181" i="3"/>
  <c r="D180" i="3"/>
  <c r="U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T180" i="3"/>
  <c r="Q180" i="3"/>
  <c r="AE180" i="3"/>
  <c r="AD180" i="3"/>
  <c r="AC180" i="3"/>
  <c r="AB180" i="3"/>
  <c r="AA180" i="3"/>
  <c r="Z180" i="3"/>
  <c r="Y180" i="3"/>
  <c r="X180" i="3"/>
  <c r="W180" i="3"/>
  <c r="V180" i="3"/>
  <c r="S180" i="3"/>
  <c r="R180" i="3"/>
  <c r="D179" i="3"/>
  <c r="AB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T179" i="3"/>
  <c r="R179" i="3"/>
  <c r="U179" i="3"/>
  <c r="V179" i="3"/>
  <c r="W179" i="3"/>
  <c r="X179" i="3"/>
  <c r="Y179" i="3"/>
  <c r="Z179" i="3"/>
  <c r="AA179" i="3"/>
  <c r="S179" i="3"/>
  <c r="AE179" i="3"/>
  <c r="AD179" i="3"/>
  <c r="AC179" i="3"/>
  <c r="Q179" i="3"/>
  <c r="Z178" i="3"/>
  <c r="R178" i="3"/>
  <c r="X178" i="3"/>
  <c r="W178" i="3"/>
  <c r="V178" i="3"/>
  <c r="U178" i="3"/>
  <c r="T178" i="3"/>
  <c r="S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AA178" i="3"/>
  <c r="AB178" i="3"/>
  <c r="AC178" i="3"/>
  <c r="AD178" i="3"/>
  <c r="AE178" i="3"/>
  <c r="Y178" i="3"/>
  <c r="P177" i="3"/>
  <c r="T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R177" i="3"/>
  <c r="AE177" i="3"/>
  <c r="AD177" i="3"/>
  <c r="AC177" i="3"/>
  <c r="AB177" i="3"/>
  <c r="AA177" i="3"/>
  <c r="Z177" i="3"/>
  <c r="Y177" i="3"/>
  <c r="X177" i="3"/>
  <c r="W177" i="3"/>
  <c r="V177" i="3"/>
  <c r="U177" i="3"/>
  <c r="S177" i="3"/>
  <c r="Q177" i="3"/>
  <c r="AE148" i="3"/>
  <c r="D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AD148" i="3"/>
  <c r="AC148" i="3"/>
  <c r="Q147" i="3"/>
  <c r="R147" i="3"/>
  <c r="P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D141" i="3"/>
  <c r="A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E141" i="3"/>
  <c r="AE140" i="3"/>
  <c r="S140" i="3"/>
  <c r="U140" i="3"/>
  <c r="V140" i="3"/>
  <c r="W140" i="3"/>
  <c r="X140" i="3"/>
  <c r="Y140" i="3"/>
  <c r="Z140" i="3"/>
  <c r="AA140" i="3"/>
  <c r="AB140" i="3"/>
  <c r="AC140" i="3"/>
  <c r="AD140" i="3"/>
  <c r="D140" i="3"/>
  <c r="R140" i="3"/>
  <c r="Q140" i="3"/>
  <c r="F140" i="3"/>
  <c r="P140" i="3"/>
  <c r="O140" i="3"/>
  <c r="N140" i="3"/>
  <c r="M140" i="3"/>
  <c r="L140" i="3"/>
  <c r="K140" i="3"/>
  <c r="J140" i="3"/>
  <c r="I140" i="3"/>
  <c r="H140" i="3"/>
  <c r="G140" i="3"/>
  <c r="E140" i="3"/>
  <c r="T140" i="3"/>
  <c r="AC139" i="3"/>
  <c r="AE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AD139" i="3"/>
  <c r="T138" i="3"/>
  <c r="O138" i="3"/>
  <c r="S138" i="3"/>
  <c r="U138" i="3"/>
  <c r="V138" i="3"/>
  <c r="W138" i="3"/>
  <c r="X138" i="3"/>
  <c r="Y138" i="3"/>
  <c r="Z138" i="3"/>
  <c r="AA138" i="3"/>
  <c r="AB138" i="3"/>
  <c r="AC138" i="3"/>
  <c r="AD138" i="3"/>
  <c r="Q138" i="3"/>
  <c r="AE138" i="3"/>
  <c r="R138" i="3"/>
  <c r="D138" i="3"/>
  <c r="E138" i="3"/>
  <c r="F138" i="3"/>
  <c r="G138" i="3"/>
  <c r="H138" i="3"/>
  <c r="I138" i="3"/>
  <c r="J138" i="3"/>
  <c r="K138" i="3"/>
  <c r="L138" i="3"/>
  <c r="M138" i="3"/>
  <c r="N138" i="3"/>
  <c r="P138" i="3"/>
  <c r="AA137" i="3"/>
  <c r="AC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AE137" i="3"/>
  <c r="AD137" i="3"/>
  <c r="N137" i="3"/>
  <c r="M137" i="3"/>
  <c r="L137" i="3"/>
  <c r="K137" i="3"/>
  <c r="J137" i="3"/>
  <c r="I137" i="3"/>
  <c r="H137" i="3"/>
  <c r="G137" i="3"/>
  <c r="F137" i="3"/>
  <c r="E137" i="3"/>
  <c r="D137" i="3"/>
  <c r="AB137" i="3"/>
  <c r="S136" i="3"/>
  <c r="V136" i="3"/>
  <c r="U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W136" i="3"/>
  <c r="X136" i="3"/>
  <c r="Y136" i="3"/>
  <c r="Z136" i="3"/>
  <c r="AA136" i="3"/>
  <c r="AB136" i="3"/>
  <c r="AC136" i="3"/>
  <c r="AD136" i="3"/>
  <c r="AE136" i="3"/>
  <c r="T136" i="3"/>
  <c r="U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W135" i="3"/>
  <c r="X135" i="3"/>
  <c r="Y135" i="3"/>
  <c r="Z135" i="3"/>
  <c r="AA135" i="3"/>
  <c r="AB135" i="3"/>
  <c r="AC135" i="3"/>
  <c r="AD135" i="3"/>
  <c r="AE135" i="3"/>
  <c r="T135" i="3"/>
  <c r="V135" i="3"/>
  <c r="S135" i="3"/>
  <c r="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G134" i="3"/>
  <c r="E134" i="3"/>
  <c r="D134" i="3"/>
  <c r="H134" i="3"/>
  <c r="AC133" i="3"/>
  <c r="AE133" i="3"/>
  <c r="AB133" i="3"/>
  <c r="AA133" i="3"/>
  <c r="Z133" i="3"/>
  <c r="Y133" i="3"/>
  <c r="X133" i="3"/>
  <c r="W133" i="3"/>
  <c r="U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T133" i="3"/>
  <c r="V133" i="3"/>
  <c r="AD133" i="3"/>
  <c r="F132" i="3"/>
  <c r="U132" i="3"/>
  <c r="V132" i="3"/>
  <c r="T132" i="3"/>
  <c r="W132" i="3"/>
  <c r="X132" i="3"/>
  <c r="Y132" i="3"/>
  <c r="Z132" i="3"/>
  <c r="AA132" i="3"/>
  <c r="AB132" i="3"/>
  <c r="AC132" i="3"/>
  <c r="AD132" i="3"/>
  <c r="AE132" i="3"/>
  <c r="R132" i="3"/>
  <c r="Q132" i="3"/>
  <c r="P132" i="3"/>
  <c r="O132" i="3"/>
  <c r="N132" i="3"/>
  <c r="M132" i="3"/>
  <c r="L132" i="3"/>
  <c r="K132" i="3"/>
  <c r="J132" i="3"/>
  <c r="I132" i="3"/>
  <c r="G132" i="3"/>
  <c r="E132" i="3"/>
  <c r="D132" i="3"/>
  <c r="H132" i="3"/>
  <c r="S132" i="3"/>
  <c r="N131" i="3"/>
  <c r="AA131" i="3"/>
  <c r="E131" i="3"/>
  <c r="F131" i="3"/>
  <c r="G131" i="3"/>
  <c r="H131" i="3"/>
  <c r="I131" i="3"/>
  <c r="J131" i="3"/>
  <c r="K131" i="3"/>
  <c r="AE131" i="3"/>
  <c r="AD131" i="3"/>
  <c r="AC131" i="3"/>
  <c r="L131" i="3"/>
  <c r="M131" i="3"/>
  <c r="AB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D131" i="3"/>
  <c r="Z130" i="3"/>
  <c r="AA130" i="3"/>
  <c r="AE130" i="3"/>
  <c r="AD130" i="3"/>
  <c r="AC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AB130" i="3"/>
  <c r="V129" i="3"/>
  <c r="Q129" i="3"/>
  <c r="W129" i="3"/>
  <c r="Y129" i="3"/>
  <c r="Z129" i="3"/>
  <c r="AA129" i="3"/>
  <c r="AB129" i="3"/>
  <c r="AC129" i="3"/>
  <c r="AD129" i="3"/>
  <c r="AE129" i="3"/>
  <c r="D129" i="3"/>
  <c r="E129" i="3"/>
  <c r="F129" i="3"/>
  <c r="S129" i="3"/>
  <c r="G129" i="3"/>
  <c r="T129" i="3"/>
  <c r="H129" i="3"/>
  <c r="I129" i="3"/>
  <c r="J129" i="3"/>
  <c r="K129" i="3"/>
  <c r="L129" i="3"/>
  <c r="U129" i="3"/>
  <c r="M129" i="3"/>
  <c r="N129" i="3"/>
  <c r="O129" i="3"/>
  <c r="P129" i="3"/>
  <c r="X129" i="3"/>
  <c r="R129" i="3"/>
  <c r="J128" i="3"/>
  <c r="W128" i="3"/>
  <c r="AC128" i="3"/>
  <c r="AD128" i="3"/>
  <c r="AE128" i="3"/>
  <c r="AA128" i="3"/>
  <c r="Z128" i="3"/>
  <c r="D128" i="3"/>
  <c r="Y128" i="3"/>
  <c r="E128" i="3"/>
  <c r="F128" i="3"/>
  <c r="G128" i="3"/>
  <c r="H128" i="3"/>
  <c r="I128" i="3"/>
  <c r="X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AB128" i="3"/>
  <c r="X127" i="3"/>
  <c r="Y127" i="3"/>
  <c r="Z127" i="3"/>
  <c r="AE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AD127" i="3"/>
  <c r="J127" i="3"/>
  <c r="I127" i="3"/>
  <c r="H127" i="3"/>
  <c r="G127" i="3"/>
  <c r="F127" i="3"/>
  <c r="E127" i="3"/>
  <c r="D127" i="3"/>
  <c r="AC127" i="3"/>
  <c r="AB127" i="3"/>
  <c r="AA127" i="3"/>
  <c r="V126" i="3"/>
  <c r="R126" i="3"/>
  <c r="W126" i="3"/>
  <c r="T126" i="3"/>
  <c r="S126" i="3"/>
  <c r="Y126" i="3"/>
  <c r="Z126" i="3"/>
  <c r="AA126" i="3"/>
  <c r="AB126" i="3"/>
  <c r="AC126" i="3"/>
  <c r="AD126" i="3"/>
  <c r="AE126" i="3"/>
  <c r="D126" i="3"/>
  <c r="E126" i="3"/>
  <c r="F126" i="3"/>
  <c r="G126" i="3"/>
  <c r="H126" i="3"/>
  <c r="I126" i="3"/>
  <c r="J126" i="3"/>
  <c r="K126" i="3"/>
  <c r="L126" i="3"/>
  <c r="U126" i="3"/>
  <c r="M126" i="3"/>
  <c r="N126" i="3"/>
  <c r="O126" i="3"/>
  <c r="P126" i="3"/>
  <c r="Q126" i="3"/>
  <c r="X126" i="3"/>
  <c r="P125" i="3"/>
  <c r="W125" i="3"/>
  <c r="AD125" i="3"/>
  <c r="AC125" i="3"/>
  <c r="AB125" i="3"/>
  <c r="AA125" i="3"/>
  <c r="Z125" i="3"/>
  <c r="Y125" i="3"/>
  <c r="X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Q125" i="3"/>
  <c r="R125" i="3"/>
  <c r="S125" i="3"/>
  <c r="T125" i="3"/>
  <c r="U125" i="3"/>
  <c r="V125" i="3"/>
  <c r="AE125" i="3"/>
  <c r="K108" i="3"/>
  <c r="L108" i="3"/>
  <c r="M108" i="3"/>
  <c r="N108" i="3"/>
  <c r="O108" i="3"/>
  <c r="P108" i="3"/>
  <c r="AD108" i="3"/>
  <c r="AE108" i="3"/>
  <c r="Q108" i="3"/>
  <c r="R108" i="3"/>
  <c r="S108" i="3"/>
  <c r="T108" i="3"/>
  <c r="U108" i="3"/>
  <c r="V108" i="3"/>
  <c r="W108" i="3"/>
  <c r="X108" i="3"/>
  <c r="Y108" i="3"/>
  <c r="AC108" i="3"/>
  <c r="J108" i="3"/>
  <c r="I108" i="3"/>
  <c r="H108" i="3"/>
  <c r="G108" i="3"/>
  <c r="F108" i="3"/>
  <c r="E108" i="3"/>
  <c r="D108" i="3"/>
  <c r="AB108" i="3"/>
  <c r="AA108" i="3"/>
  <c r="Z108" i="3"/>
  <c r="V107" i="3"/>
  <c r="AE107" i="3"/>
  <c r="W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Y107" i="3"/>
  <c r="Z107" i="3"/>
  <c r="AA107" i="3"/>
  <c r="AB107" i="3"/>
  <c r="AC107" i="3"/>
  <c r="AD107" i="3"/>
  <c r="X107" i="3"/>
  <c r="R106" i="3"/>
  <c r="D106" i="3"/>
  <c r="V106" i="3"/>
  <c r="U106" i="3"/>
  <c r="T106" i="3"/>
  <c r="S106" i="3"/>
  <c r="Q106" i="3"/>
  <c r="P106" i="3"/>
  <c r="AE106" i="3"/>
  <c r="AD106" i="3"/>
  <c r="AC106" i="3"/>
  <c r="AB106" i="3"/>
  <c r="AA106" i="3"/>
  <c r="Z106" i="3"/>
  <c r="X106" i="3"/>
  <c r="Y106" i="3"/>
  <c r="O106" i="3"/>
  <c r="N106" i="3"/>
  <c r="M106" i="3"/>
  <c r="L106" i="3"/>
  <c r="K106" i="3"/>
  <c r="J106" i="3"/>
  <c r="I106" i="3"/>
  <c r="H106" i="3"/>
  <c r="G106" i="3"/>
  <c r="F106" i="3"/>
  <c r="E106" i="3"/>
  <c r="W106" i="3"/>
  <c r="Z105" i="3"/>
  <c r="L105" i="3"/>
  <c r="AB105" i="3"/>
  <c r="AC105" i="3"/>
  <c r="AD105" i="3"/>
  <c r="AE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K105" i="3"/>
  <c r="J105" i="3"/>
  <c r="I105" i="3"/>
  <c r="H105" i="3"/>
  <c r="G105" i="3"/>
  <c r="F105" i="3"/>
  <c r="E105" i="3"/>
  <c r="D105" i="3"/>
  <c r="AA105" i="3"/>
  <c r="E104" i="3"/>
  <c r="G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F104" i="3"/>
  <c r="D104" i="3"/>
  <c r="H104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E102" i="3"/>
  <c r="D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AE102" i="3"/>
  <c r="S101" i="3"/>
  <c r="F101" i="3"/>
  <c r="Q101" i="3"/>
  <c r="D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R101" i="3"/>
  <c r="P101" i="3"/>
  <c r="O101" i="3"/>
  <c r="N101" i="3"/>
  <c r="M101" i="3"/>
  <c r="L101" i="3"/>
  <c r="K101" i="3"/>
  <c r="J101" i="3"/>
  <c r="I101" i="3"/>
  <c r="H101" i="3"/>
  <c r="G101" i="3"/>
  <c r="E101" i="3"/>
  <c r="S100" i="3"/>
  <c r="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D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E100" i="3"/>
  <c r="AD99" i="3"/>
  <c r="D99" i="3"/>
  <c r="AE99" i="3"/>
  <c r="AC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AB99" i="3"/>
  <c r="O68" i="3"/>
  <c r="AB68" i="3"/>
  <c r="P68" i="3"/>
  <c r="D68" i="3"/>
  <c r="E68" i="3"/>
  <c r="F68" i="3"/>
  <c r="G68" i="3"/>
  <c r="H68" i="3"/>
  <c r="I68" i="3"/>
  <c r="J68" i="3"/>
  <c r="K68" i="3"/>
  <c r="L68" i="3"/>
  <c r="M68" i="3"/>
  <c r="N68" i="3"/>
  <c r="AE68" i="3"/>
  <c r="AD68" i="3"/>
  <c r="Q68" i="3"/>
  <c r="R68" i="3"/>
  <c r="S68" i="3"/>
  <c r="T68" i="3"/>
  <c r="U68" i="3"/>
  <c r="V68" i="3"/>
  <c r="W68" i="3"/>
  <c r="X68" i="3"/>
  <c r="Y68" i="3"/>
  <c r="Z68" i="3"/>
  <c r="AA68" i="3"/>
  <c r="AC68" i="3"/>
  <c r="AD67" i="3"/>
  <c r="D67" i="3"/>
  <c r="AE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AC67" i="3"/>
  <c r="D66" i="3"/>
  <c r="E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F66" i="3"/>
  <c r="G66" i="3"/>
  <c r="H66" i="3"/>
  <c r="I66" i="3"/>
  <c r="J66" i="3"/>
  <c r="K66" i="3"/>
  <c r="L66" i="3"/>
  <c r="M66" i="3"/>
  <c r="N66" i="3"/>
  <c r="O66" i="3"/>
  <c r="D65" i="3"/>
  <c r="A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E65" i="3"/>
  <c r="P64" i="3"/>
  <c r="N64" i="3"/>
  <c r="AB64" i="3"/>
  <c r="AA64" i="3"/>
  <c r="Z64" i="3"/>
  <c r="Y64" i="3"/>
  <c r="X64" i="3"/>
  <c r="W64" i="3"/>
  <c r="V64" i="3"/>
  <c r="U64" i="3"/>
  <c r="T64" i="3"/>
  <c r="S64" i="3"/>
  <c r="AE64" i="3"/>
  <c r="AC64" i="3"/>
  <c r="D64" i="3"/>
  <c r="R64" i="3"/>
  <c r="O64" i="3"/>
  <c r="Q64" i="3"/>
  <c r="E64" i="3"/>
  <c r="F64" i="3"/>
  <c r="G64" i="3"/>
  <c r="H64" i="3"/>
  <c r="I64" i="3"/>
  <c r="J64" i="3"/>
  <c r="K64" i="3"/>
  <c r="L64" i="3"/>
  <c r="M64" i="3"/>
  <c r="AD64" i="3"/>
  <c r="O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AD63" i="3"/>
  <c r="N63" i="3"/>
  <c r="M63" i="3"/>
  <c r="L63" i="3"/>
  <c r="K63" i="3"/>
  <c r="J63" i="3"/>
  <c r="I63" i="3"/>
  <c r="H63" i="3"/>
  <c r="G63" i="3"/>
  <c r="F63" i="3"/>
  <c r="E63" i="3"/>
  <c r="D63" i="3"/>
  <c r="AC63" i="3"/>
  <c r="AE63" i="3"/>
  <c r="AC62" i="3"/>
  <c r="D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AD62" i="3"/>
  <c r="AE62" i="3"/>
  <c r="AB62" i="3"/>
  <c r="AD61" i="3"/>
  <c r="AA61" i="3"/>
  <c r="AE61" i="3"/>
  <c r="D61" i="3"/>
  <c r="E61" i="3"/>
  <c r="F61" i="3"/>
  <c r="G61" i="3"/>
  <c r="H61" i="3"/>
  <c r="I61" i="3"/>
  <c r="J61" i="3"/>
  <c r="K61" i="3"/>
  <c r="L61" i="3"/>
  <c r="M61" i="3"/>
  <c r="N61" i="3"/>
  <c r="O61" i="3"/>
  <c r="AC61" i="3"/>
  <c r="P61" i="3"/>
  <c r="Q61" i="3"/>
  <c r="R61" i="3"/>
  <c r="S61" i="3"/>
  <c r="T61" i="3"/>
  <c r="U61" i="3"/>
  <c r="V61" i="3"/>
  <c r="W61" i="3"/>
  <c r="X61" i="3"/>
  <c r="Y61" i="3"/>
  <c r="Z61" i="3"/>
  <c r="AB61" i="3"/>
  <c r="D60" i="3"/>
  <c r="P60" i="3"/>
  <c r="E60" i="3"/>
  <c r="F60" i="3"/>
  <c r="G60" i="3"/>
  <c r="H60" i="3"/>
  <c r="I60" i="3"/>
  <c r="J60" i="3"/>
  <c r="K60" i="3"/>
  <c r="L60" i="3"/>
  <c r="M60" i="3"/>
  <c r="N60" i="3"/>
  <c r="O60" i="3"/>
  <c r="R60" i="3"/>
  <c r="Q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B59" i="3"/>
  <c r="AE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AD59" i="3"/>
  <c r="R59" i="3"/>
  <c r="S59" i="3"/>
  <c r="T59" i="3"/>
  <c r="U59" i="3"/>
  <c r="V59" i="3"/>
  <c r="W59" i="3"/>
  <c r="X59" i="3"/>
  <c r="Y59" i="3"/>
  <c r="Z59" i="3"/>
  <c r="AA59" i="3"/>
  <c r="AC59" i="3"/>
  <c r="D59" i="3"/>
  <c r="E58" i="3"/>
  <c r="AE58" i="3"/>
  <c r="D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F58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D57" i="3"/>
  <c r="AE57" i="3"/>
  <c r="D57" i="3"/>
  <c r="S56" i="3"/>
  <c r="E56" i="3"/>
  <c r="T56" i="3"/>
  <c r="D56" i="3"/>
  <c r="AE56" i="3"/>
  <c r="AD56" i="3"/>
  <c r="AC56" i="3"/>
  <c r="AB56" i="3"/>
  <c r="AA56" i="3"/>
  <c r="Z56" i="3"/>
  <c r="Y56" i="3"/>
  <c r="X56" i="3"/>
  <c r="W56" i="3"/>
  <c r="V56" i="3"/>
  <c r="U56" i="3"/>
  <c r="Q56" i="3"/>
  <c r="P56" i="3"/>
  <c r="O56" i="3"/>
  <c r="N56" i="3"/>
  <c r="M56" i="3"/>
  <c r="L56" i="3"/>
  <c r="K56" i="3"/>
  <c r="J56" i="3"/>
  <c r="I56" i="3"/>
  <c r="H56" i="3"/>
  <c r="G56" i="3"/>
  <c r="F56" i="3"/>
  <c r="R56" i="3"/>
  <c r="AD55" i="3"/>
  <c r="AE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Q54" i="3"/>
  <c r="P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D54" i="3"/>
  <c r="E54" i="3"/>
  <c r="F54" i="3"/>
  <c r="G54" i="3"/>
  <c r="H54" i="3"/>
  <c r="I54" i="3"/>
  <c r="J54" i="3"/>
  <c r="K54" i="3"/>
  <c r="L54" i="3"/>
  <c r="M54" i="3"/>
  <c r="N54" i="3"/>
  <c r="O54" i="3"/>
  <c r="AE54" i="3"/>
  <c r="Q53" i="3"/>
  <c r="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AE53" i="3"/>
  <c r="P53" i="3"/>
  <c r="O53" i="3"/>
  <c r="N53" i="3"/>
  <c r="M53" i="3"/>
  <c r="L53" i="3"/>
  <c r="K53" i="3"/>
  <c r="J53" i="3"/>
  <c r="I53" i="3"/>
  <c r="H53" i="3"/>
  <c r="G53" i="3"/>
  <c r="F53" i="3"/>
  <c r="D53" i="3"/>
  <c r="E52" i="3"/>
  <c r="F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D52" i="3"/>
  <c r="Q52" i="3"/>
  <c r="P52" i="3"/>
  <c r="O52" i="3"/>
  <c r="N52" i="3"/>
  <c r="M52" i="3"/>
  <c r="L52" i="3"/>
  <c r="K52" i="3"/>
  <c r="J52" i="3"/>
  <c r="I52" i="3"/>
  <c r="H52" i="3"/>
  <c r="G52" i="3"/>
  <c r="AE52" i="3"/>
  <c r="S51" i="3"/>
  <c r="T51" i="3"/>
  <c r="O51" i="3"/>
  <c r="N51" i="3"/>
  <c r="M51" i="3"/>
  <c r="L51" i="3"/>
  <c r="K51" i="3"/>
  <c r="J51" i="3"/>
  <c r="I51" i="3"/>
  <c r="H51" i="3"/>
  <c r="G51" i="3"/>
  <c r="F51" i="3"/>
  <c r="E51" i="3"/>
  <c r="D51" i="3"/>
  <c r="V51" i="3"/>
  <c r="W51" i="3"/>
  <c r="X51" i="3"/>
  <c r="Y51" i="3"/>
  <c r="Z51" i="3"/>
  <c r="AA51" i="3"/>
  <c r="AB51" i="3"/>
  <c r="AC51" i="3"/>
  <c r="AD51" i="3"/>
  <c r="AE51" i="3"/>
  <c r="Q51" i="3"/>
  <c r="P51" i="3"/>
  <c r="U51" i="3"/>
  <c r="R51" i="3"/>
  <c r="Q50" i="3"/>
  <c r="S50" i="3"/>
  <c r="O50" i="3"/>
  <c r="N50" i="3"/>
  <c r="M50" i="3"/>
  <c r="L50" i="3"/>
  <c r="K50" i="3"/>
  <c r="J50" i="3"/>
  <c r="I50" i="3"/>
  <c r="H50" i="3"/>
  <c r="G50" i="3"/>
  <c r="F50" i="3"/>
  <c r="E50" i="3"/>
  <c r="D50" i="3"/>
  <c r="R50" i="3"/>
  <c r="P50" i="3"/>
  <c r="AE50" i="3"/>
  <c r="AD50" i="3"/>
  <c r="AC50" i="3"/>
  <c r="AB50" i="3"/>
  <c r="AA50" i="3"/>
  <c r="Z50" i="3"/>
  <c r="Y50" i="3"/>
  <c r="X50" i="3"/>
  <c r="W50" i="3"/>
  <c r="V50" i="3"/>
  <c r="U50" i="3"/>
  <c r="T50" i="3"/>
  <c r="Q49" i="3"/>
  <c r="S49" i="3"/>
  <c r="O49" i="3"/>
  <c r="N49" i="3"/>
  <c r="M49" i="3"/>
  <c r="L49" i="3"/>
  <c r="K49" i="3"/>
  <c r="J49" i="3"/>
  <c r="I49" i="3"/>
  <c r="H49" i="3"/>
  <c r="G49" i="3"/>
  <c r="F49" i="3"/>
  <c r="E49" i="3"/>
  <c r="D49" i="3"/>
  <c r="R49" i="3"/>
  <c r="AE49" i="3"/>
  <c r="AD49" i="3"/>
  <c r="AC49" i="3"/>
  <c r="AB49" i="3"/>
  <c r="AA49" i="3"/>
  <c r="Z49" i="3"/>
  <c r="Y49" i="3"/>
  <c r="X49" i="3"/>
  <c r="W49" i="3"/>
  <c r="V49" i="3"/>
  <c r="U49" i="3"/>
  <c r="T49" i="3"/>
  <c r="P49" i="3"/>
  <c r="Q48" i="3"/>
  <c r="AE48" i="3"/>
  <c r="O48" i="3"/>
  <c r="N48" i="3"/>
  <c r="M48" i="3"/>
  <c r="L48" i="3"/>
  <c r="K48" i="3"/>
  <c r="J48" i="3"/>
  <c r="I48" i="3"/>
  <c r="H48" i="3"/>
  <c r="G48" i="3"/>
  <c r="F48" i="3"/>
  <c r="E48" i="3"/>
  <c r="D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P48" i="3"/>
  <c r="G47" i="3"/>
  <c r="E47" i="3"/>
  <c r="F47" i="3"/>
  <c r="H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D47" i="3"/>
  <c r="R28" i="3"/>
  <c r="E28" i="3"/>
  <c r="AD28" i="3"/>
  <c r="AC28" i="3"/>
  <c r="AB28" i="3"/>
  <c r="AA28" i="3"/>
  <c r="Z28" i="3"/>
  <c r="Y28" i="3"/>
  <c r="X28" i="3"/>
  <c r="W28" i="3"/>
  <c r="V28" i="3"/>
  <c r="U28" i="3"/>
  <c r="T28" i="3"/>
  <c r="S28" i="3"/>
  <c r="D28" i="3"/>
  <c r="Q28" i="3"/>
  <c r="P28" i="3"/>
  <c r="O28" i="3"/>
  <c r="N28" i="3"/>
  <c r="M28" i="3"/>
  <c r="L28" i="3"/>
  <c r="K28" i="3"/>
  <c r="J28" i="3"/>
  <c r="I28" i="3"/>
  <c r="H28" i="3"/>
  <c r="G28" i="3"/>
  <c r="F28" i="3"/>
  <c r="AE28" i="3"/>
  <c r="E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27" i="3"/>
  <c r="D26" i="3"/>
  <c r="G26" i="3"/>
  <c r="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E26" i="3"/>
  <c r="AD25" i="3"/>
  <c r="AA25" i="3"/>
  <c r="Z25" i="3"/>
  <c r="Y25" i="3"/>
  <c r="X25" i="3"/>
  <c r="W25" i="3"/>
  <c r="V25" i="3"/>
  <c r="U25" i="3"/>
  <c r="T25" i="3"/>
  <c r="S25" i="3"/>
  <c r="R25" i="3"/>
  <c r="Q25" i="3"/>
  <c r="P25" i="3"/>
  <c r="AE25" i="3"/>
  <c r="AB25" i="3"/>
  <c r="O25" i="3"/>
  <c r="N25" i="3"/>
  <c r="M25" i="3"/>
  <c r="L25" i="3"/>
  <c r="K25" i="3"/>
  <c r="J25" i="3"/>
  <c r="I25" i="3"/>
  <c r="H25" i="3"/>
  <c r="G25" i="3"/>
  <c r="F25" i="3"/>
  <c r="E25" i="3"/>
  <c r="D25" i="3"/>
  <c r="AC25" i="3"/>
  <c r="AE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AD24" i="3"/>
  <c r="Q23" i="3"/>
  <c r="AE23" i="3"/>
  <c r="F23" i="3"/>
  <c r="G23" i="3"/>
  <c r="H23" i="3"/>
  <c r="I23" i="3"/>
  <c r="J23" i="3"/>
  <c r="K23" i="3"/>
  <c r="L23" i="3"/>
  <c r="M23" i="3"/>
  <c r="N23" i="3"/>
  <c r="O23" i="3"/>
  <c r="P23" i="3"/>
  <c r="D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E23" i="3"/>
  <c r="P22" i="3"/>
  <c r="AE22" i="3"/>
  <c r="AB22" i="3"/>
  <c r="AA22" i="3"/>
  <c r="Z22" i="3"/>
  <c r="Y22" i="3"/>
  <c r="X22" i="3"/>
  <c r="W22" i="3"/>
  <c r="V22" i="3"/>
  <c r="U22" i="3"/>
  <c r="T22" i="3"/>
  <c r="S22" i="3"/>
  <c r="R22" i="3"/>
  <c r="Q22" i="3"/>
  <c r="AD22" i="3"/>
  <c r="O22" i="3"/>
  <c r="N22" i="3"/>
  <c r="M22" i="3"/>
  <c r="L22" i="3"/>
  <c r="K22" i="3"/>
  <c r="J22" i="3"/>
  <c r="I22" i="3"/>
  <c r="H22" i="3"/>
  <c r="G22" i="3"/>
  <c r="F22" i="3"/>
  <c r="E22" i="3"/>
  <c r="D22" i="3"/>
  <c r="AC22" i="3"/>
  <c r="AD21" i="3"/>
  <c r="R21" i="3"/>
  <c r="AB21" i="3"/>
  <c r="AA21" i="3"/>
  <c r="Z21" i="3"/>
  <c r="Y21" i="3"/>
  <c r="X21" i="3"/>
  <c r="W21" i="3"/>
  <c r="V21" i="3"/>
  <c r="U21" i="3"/>
  <c r="T21" i="3"/>
  <c r="AE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S21" i="3"/>
  <c r="Q21" i="3"/>
  <c r="AC21" i="3"/>
  <c r="D20" i="3"/>
  <c r="G20" i="3"/>
  <c r="AE20" i="3"/>
  <c r="AD20" i="3"/>
  <c r="AC20" i="3"/>
  <c r="AB20" i="3"/>
  <c r="AA20" i="3"/>
  <c r="Z20" i="3"/>
  <c r="Y20" i="3"/>
  <c r="X20" i="3"/>
  <c r="W20" i="3"/>
  <c r="F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E2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N14" i="2" l="1"/>
  <c r="C389" i="4" s="1"/>
  <c r="AN34" i="2"/>
  <c r="C409" i="4" s="1"/>
  <c r="AN35" i="2"/>
  <c r="C410" i="4" s="1"/>
  <c r="AN39" i="2"/>
  <c r="C414" i="4" s="1"/>
  <c r="AN2" i="2"/>
  <c r="AN15" i="2"/>
  <c r="C390" i="4" s="1"/>
  <c r="AN37" i="2"/>
  <c r="C412" i="4" s="1"/>
  <c r="AN4" i="2"/>
  <c r="C379" i="4" s="1"/>
  <c r="AN12" i="2"/>
  <c r="C387" i="4" s="1"/>
  <c r="AN9" i="2"/>
  <c r="C384" i="4" s="1"/>
  <c r="AN10" i="2"/>
  <c r="C385" i="4" s="1"/>
  <c r="AN13" i="2"/>
  <c r="C388" i="4" s="1"/>
  <c r="AN17" i="2"/>
  <c r="C392" i="4" s="1"/>
  <c r="AN18" i="2"/>
  <c r="C393" i="4" s="1"/>
  <c r="AN19" i="2"/>
  <c r="C394" i="4" s="1"/>
  <c r="AN20" i="2"/>
  <c r="C395" i="4" s="1"/>
  <c r="AN21" i="2"/>
  <c r="C396" i="4" s="1"/>
  <c r="AN22" i="2"/>
  <c r="C397" i="4" s="1"/>
  <c r="AN23" i="2"/>
  <c r="C398" i="4" s="1"/>
  <c r="AN24" i="2"/>
  <c r="C399" i="4" s="1"/>
  <c r="AN25" i="2"/>
  <c r="C400" i="4" s="1"/>
  <c r="AN26" i="2"/>
  <c r="C401" i="4" s="1"/>
  <c r="AN5" i="2"/>
  <c r="C380" i="4" s="1"/>
  <c r="AN7" i="2"/>
  <c r="C382" i="4" s="1"/>
  <c r="AN6" i="2"/>
  <c r="C381" i="4" s="1"/>
  <c r="AN16" i="2"/>
  <c r="C391" i="4" s="1"/>
  <c r="AN8" i="2"/>
  <c r="C383" i="4" s="1"/>
  <c r="AN11" i="2"/>
  <c r="C386" i="4" s="1"/>
  <c r="AN3" i="2"/>
  <c r="C378" i="4" s="1"/>
  <c r="AN29" i="2"/>
  <c r="C404" i="4" s="1"/>
  <c r="AN30" i="2"/>
  <c r="C405" i="4" s="1"/>
  <c r="AN41" i="2"/>
  <c r="C416" i="4" s="1"/>
  <c r="AN31" i="2"/>
  <c r="C406" i="4" s="1"/>
  <c r="AN40" i="2"/>
  <c r="C415" i="4" s="1"/>
  <c r="C62" i="1"/>
  <c r="AN27" i="2"/>
  <c r="C402" i="4" s="1"/>
  <c r="AN28" i="2"/>
  <c r="C403" i="4" s="1"/>
  <c r="AN32" i="2"/>
  <c r="C407" i="4" s="1"/>
  <c r="AN33" i="2"/>
  <c r="C408" i="4" s="1"/>
  <c r="AN36" i="2"/>
  <c r="C411" i="4" s="1"/>
  <c r="AN38" i="2"/>
  <c r="C413" i="4" s="1"/>
  <c r="AO30" i="2"/>
  <c r="C405" i="5" s="1"/>
  <c r="AO31" i="2"/>
  <c r="C406" i="5" s="1"/>
  <c r="AO3" i="2"/>
  <c r="C378" i="5" s="1"/>
  <c r="AO10" i="2"/>
  <c r="C385" i="5" s="1"/>
  <c r="AO35" i="2"/>
  <c r="C410" i="5" s="1"/>
  <c r="AO6" i="2"/>
  <c r="C381" i="5" s="1"/>
  <c r="AO12" i="2"/>
  <c r="C387" i="5" s="1"/>
  <c r="AO17" i="2"/>
  <c r="C392" i="5" s="1"/>
  <c r="AO18" i="2"/>
  <c r="C393" i="5" s="1"/>
  <c r="AO19" i="2"/>
  <c r="C394" i="5" s="1"/>
  <c r="AO20" i="2"/>
  <c r="C395" i="5" s="1"/>
  <c r="AO21" i="2"/>
  <c r="C396" i="5" s="1"/>
  <c r="AO22" i="2"/>
  <c r="C397" i="5" s="1"/>
  <c r="AO23" i="2"/>
  <c r="C398" i="5" s="1"/>
  <c r="AO24" i="2"/>
  <c r="C399" i="5" s="1"/>
  <c r="AO25" i="2"/>
  <c r="C400" i="5" s="1"/>
  <c r="AO26" i="2"/>
  <c r="C401" i="5" s="1"/>
  <c r="AO11" i="2"/>
  <c r="C386" i="5" s="1"/>
  <c r="AO4" i="2"/>
  <c r="C379" i="5" s="1"/>
  <c r="AO5" i="2"/>
  <c r="C380" i="5" s="1"/>
  <c r="AO8" i="2"/>
  <c r="C383" i="5" s="1"/>
  <c r="AO14" i="2"/>
  <c r="C389" i="5" s="1"/>
  <c r="AO7" i="2"/>
  <c r="C382" i="5" s="1"/>
  <c r="AO33" i="2"/>
  <c r="C408" i="5" s="1"/>
  <c r="C63" i="1"/>
  <c r="AO2" i="2"/>
  <c r="C377" i="5" s="1"/>
  <c r="AO9" i="2"/>
  <c r="C384" i="5" s="1"/>
  <c r="AO28" i="2"/>
  <c r="C403" i="5" s="1"/>
  <c r="AO34" i="2"/>
  <c r="C409" i="5" s="1"/>
  <c r="AO38" i="2"/>
  <c r="C413" i="5" s="1"/>
  <c r="AO40" i="2"/>
  <c r="C415" i="5" s="1"/>
  <c r="AO41" i="2"/>
  <c r="C416" i="5" s="1"/>
  <c r="AO27" i="2"/>
  <c r="C402" i="5" s="1"/>
  <c r="AO29" i="2"/>
  <c r="C404" i="5" s="1"/>
  <c r="AO32" i="2"/>
  <c r="C407" i="5" s="1"/>
  <c r="AO36" i="2"/>
  <c r="C411" i="5" s="1"/>
  <c r="AO13" i="2"/>
  <c r="C388" i="5" s="1"/>
  <c r="AO15" i="2"/>
  <c r="C390" i="5" s="1"/>
  <c r="AO16" i="2"/>
  <c r="C391" i="5" s="1"/>
  <c r="AO37" i="2"/>
  <c r="C412" i="5" s="1"/>
  <c r="AO39" i="2"/>
  <c r="C414" i="5" s="1"/>
  <c r="AK9" i="2"/>
  <c r="C344" i="5" s="1"/>
  <c r="AK14" i="2"/>
  <c r="C349" i="5" s="1"/>
  <c r="AK27" i="2"/>
  <c r="C362" i="5" s="1"/>
  <c r="AK31" i="2"/>
  <c r="C366" i="5" s="1"/>
  <c r="AK38" i="2"/>
  <c r="C373" i="5" s="1"/>
  <c r="AK3" i="2"/>
  <c r="C338" i="5" s="1"/>
  <c r="AK4" i="2"/>
  <c r="C339" i="5" s="1"/>
  <c r="AK7" i="2"/>
  <c r="C342" i="5" s="1"/>
  <c r="AK28" i="2"/>
  <c r="C363" i="5" s="1"/>
  <c r="AK30" i="2"/>
  <c r="C365" i="5" s="1"/>
  <c r="AK32" i="2"/>
  <c r="C367" i="5" s="1"/>
  <c r="AK35" i="2"/>
  <c r="C370" i="5" s="1"/>
  <c r="AK37" i="2"/>
  <c r="C372" i="5" s="1"/>
  <c r="AK12" i="2"/>
  <c r="C347" i="5" s="1"/>
  <c r="C60" i="1"/>
  <c r="AK17" i="2"/>
  <c r="C352" i="5" s="1"/>
  <c r="AK18" i="2"/>
  <c r="C353" i="5" s="1"/>
  <c r="AK19" i="2"/>
  <c r="C354" i="5" s="1"/>
  <c r="AK20" i="2"/>
  <c r="C355" i="5" s="1"/>
  <c r="AK21" i="2"/>
  <c r="C356" i="5" s="1"/>
  <c r="AK22" i="2"/>
  <c r="C357" i="5" s="1"/>
  <c r="AK23" i="2"/>
  <c r="C358" i="5" s="1"/>
  <c r="AK24" i="2"/>
  <c r="C359" i="5" s="1"/>
  <c r="AK25" i="2"/>
  <c r="C360" i="5" s="1"/>
  <c r="AK26" i="2"/>
  <c r="C361" i="5" s="1"/>
  <c r="AK6" i="2"/>
  <c r="C341" i="5" s="1"/>
  <c r="AK8" i="2"/>
  <c r="C343" i="5" s="1"/>
  <c r="AK16" i="2"/>
  <c r="C351" i="5" s="1"/>
  <c r="AK29" i="2"/>
  <c r="C364" i="5" s="1"/>
  <c r="AK41" i="2"/>
  <c r="C376" i="5" s="1"/>
  <c r="AK10" i="2"/>
  <c r="C345" i="5" s="1"/>
  <c r="AK13" i="2"/>
  <c r="C348" i="5" s="1"/>
  <c r="AK36" i="2"/>
  <c r="C371" i="5" s="1"/>
  <c r="AK39" i="2"/>
  <c r="C374" i="5" s="1"/>
  <c r="AK40" i="2"/>
  <c r="C375" i="5" s="1"/>
  <c r="AK2" i="2"/>
  <c r="C337" i="5" s="1"/>
  <c r="AK5" i="2"/>
  <c r="C340" i="5" s="1"/>
  <c r="AK11" i="2"/>
  <c r="C346" i="5" s="1"/>
  <c r="AK15" i="2"/>
  <c r="C350" i="5" s="1"/>
  <c r="AK33" i="2"/>
  <c r="C368" i="5" s="1"/>
  <c r="AK34" i="2"/>
  <c r="C369" i="5" s="1"/>
  <c r="AJ10" i="2"/>
  <c r="C345" i="4" s="1"/>
  <c r="AJ31" i="2"/>
  <c r="C366" i="4" s="1"/>
  <c r="AJ39" i="2"/>
  <c r="C374" i="4" s="1"/>
  <c r="AJ2" i="2"/>
  <c r="AJ5" i="2"/>
  <c r="C340" i="4" s="1"/>
  <c r="AJ14" i="2"/>
  <c r="C349" i="4" s="1"/>
  <c r="AJ33" i="2"/>
  <c r="C368" i="4" s="1"/>
  <c r="AJ34" i="2"/>
  <c r="C369" i="4" s="1"/>
  <c r="AJ38" i="2"/>
  <c r="C373" i="4" s="1"/>
  <c r="AJ3" i="2"/>
  <c r="C338" i="4" s="1"/>
  <c r="AJ12" i="2"/>
  <c r="C347" i="4" s="1"/>
  <c r="AJ7" i="2"/>
  <c r="C342" i="4" s="1"/>
  <c r="AJ17" i="2"/>
  <c r="C352" i="4" s="1"/>
  <c r="AJ18" i="2"/>
  <c r="C353" i="4" s="1"/>
  <c r="AJ19" i="2"/>
  <c r="C354" i="4" s="1"/>
  <c r="AJ20" i="2"/>
  <c r="C355" i="4" s="1"/>
  <c r="AJ21" i="2"/>
  <c r="C356" i="4" s="1"/>
  <c r="AJ22" i="2"/>
  <c r="C357" i="4" s="1"/>
  <c r="AJ23" i="2"/>
  <c r="C358" i="4" s="1"/>
  <c r="AJ24" i="2"/>
  <c r="C359" i="4" s="1"/>
  <c r="AJ25" i="2"/>
  <c r="C360" i="4" s="1"/>
  <c r="AJ26" i="2"/>
  <c r="C361" i="4" s="1"/>
  <c r="AJ8" i="2"/>
  <c r="C343" i="4" s="1"/>
  <c r="AJ16" i="2"/>
  <c r="C351" i="4" s="1"/>
  <c r="AJ6" i="2"/>
  <c r="C341" i="4" s="1"/>
  <c r="C59" i="1"/>
  <c r="AJ4" i="2"/>
  <c r="C339" i="4" s="1"/>
  <c r="AJ28" i="2"/>
  <c r="C363" i="4" s="1"/>
  <c r="AJ32" i="2"/>
  <c r="C367" i="4" s="1"/>
  <c r="AJ35" i="2"/>
  <c r="C370" i="4" s="1"/>
  <c r="AJ40" i="2"/>
  <c r="C375" i="4" s="1"/>
  <c r="AJ11" i="2"/>
  <c r="C346" i="4" s="1"/>
  <c r="AJ27" i="2"/>
  <c r="C362" i="4" s="1"/>
  <c r="AJ30" i="2"/>
  <c r="C365" i="4" s="1"/>
  <c r="AJ37" i="2"/>
  <c r="C372" i="4" s="1"/>
  <c r="AJ41" i="2"/>
  <c r="C376" i="4" s="1"/>
  <c r="AJ9" i="2"/>
  <c r="C344" i="4" s="1"/>
  <c r="AJ13" i="2"/>
  <c r="C348" i="4" s="1"/>
  <c r="AJ15" i="2"/>
  <c r="C350" i="4" s="1"/>
  <c r="AJ29" i="2"/>
  <c r="C364" i="4" s="1"/>
  <c r="AJ36" i="2"/>
  <c r="C371" i="4" s="1"/>
  <c r="C56" i="1"/>
  <c r="AF29" i="2"/>
  <c r="C324" i="4" s="1"/>
  <c r="AF37" i="2"/>
  <c r="C332" i="4" s="1"/>
  <c r="AF41" i="2"/>
  <c r="C336" i="4" s="1"/>
  <c r="AF11" i="2"/>
  <c r="C306" i="4" s="1"/>
  <c r="AF17" i="2"/>
  <c r="C312" i="4" s="1"/>
  <c r="AF30" i="2"/>
  <c r="C325" i="4" s="1"/>
  <c r="C57" i="1"/>
  <c r="AG11" i="2"/>
  <c r="C306" i="5" s="1"/>
  <c r="AG17" i="2"/>
  <c r="AG29" i="2"/>
  <c r="C324" i="5" s="1"/>
  <c r="AG30" i="2"/>
  <c r="C325" i="5" s="1"/>
  <c r="AG37" i="2"/>
  <c r="C332" i="5" s="1"/>
  <c r="AG41" i="2"/>
  <c r="C336" i="5" s="1"/>
  <c r="AC32" i="2"/>
  <c r="C287" i="5" s="1"/>
  <c r="AC33" i="2"/>
  <c r="C288" i="5" s="1"/>
  <c r="AC34" i="2"/>
  <c r="C289" i="5" s="1"/>
  <c r="AC35" i="2"/>
  <c r="C290" i="5" s="1"/>
  <c r="AC38" i="2"/>
  <c r="C293" i="5" s="1"/>
  <c r="AC39" i="2"/>
  <c r="C294" i="5" s="1"/>
  <c r="AC40" i="2"/>
  <c r="C295" i="5" s="1"/>
  <c r="AC5" i="2"/>
  <c r="C260" i="5" s="1"/>
  <c r="AC11" i="2"/>
  <c r="C266" i="5" s="1"/>
  <c r="AC13" i="2"/>
  <c r="C268" i="5" s="1"/>
  <c r="AC30" i="2"/>
  <c r="C285" i="5" s="1"/>
  <c r="AC8" i="2"/>
  <c r="C263" i="5" s="1"/>
  <c r="AC9" i="2"/>
  <c r="C264" i="5" s="1"/>
  <c r="AC12" i="2"/>
  <c r="C267" i="5" s="1"/>
  <c r="AC4" i="2"/>
  <c r="C259" i="5" s="1"/>
  <c r="AC10" i="2"/>
  <c r="C265" i="5" s="1"/>
  <c r="AC16" i="2"/>
  <c r="C271" i="5" s="1"/>
  <c r="AC17" i="2"/>
  <c r="C272" i="5" s="1"/>
  <c r="AC18" i="2"/>
  <c r="C273" i="5" s="1"/>
  <c r="AC19" i="2"/>
  <c r="C274" i="5" s="1"/>
  <c r="AC20" i="2"/>
  <c r="C275" i="5" s="1"/>
  <c r="AC21" i="2"/>
  <c r="C276" i="5" s="1"/>
  <c r="AC22" i="2"/>
  <c r="C277" i="5" s="1"/>
  <c r="AC23" i="2"/>
  <c r="C278" i="5" s="1"/>
  <c r="AC24" i="2"/>
  <c r="C279" i="5" s="1"/>
  <c r="AC25" i="2"/>
  <c r="C280" i="5" s="1"/>
  <c r="AC26" i="2"/>
  <c r="C281" i="5" s="1"/>
  <c r="AC6" i="2"/>
  <c r="C261" i="5" s="1"/>
  <c r="AC27" i="2"/>
  <c r="C282" i="5" s="1"/>
  <c r="C54" i="1"/>
  <c r="AC7" i="2"/>
  <c r="C262" i="5" s="1"/>
  <c r="AC3" i="2"/>
  <c r="C258" i="5" s="1"/>
  <c r="AC15" i="2"/>
  <c r="C270" i="5" s="1"/>
  <c r="AC2" i="2"/>
  <c r="C257" i="5" s="1"/>
  <c r="AC14" i="2"/>
  <c r="C269" i="5" s="1"/>
  <c r="AC28" i="2"/>
  <c r="C283" i="5" s="1"/>
  <c r="AC29" i="2"/>
  <c r="C284" i="5" s="1"/>
  <c r="AC37" i="2"/>
  <c r="C292" i="5" s="1"/>
  <c r="AC36" i="2"/>
  <c r="C291" i="5" s="1"/>
  <c r="AC41" i="2"/>
  <c r="C296" i="5" s="1"/>
  <c r="AC31" i="2"/>
  <c r="C286" i="5" s="1"/>
  <c r="AB2" i="2"/>
  <c r="AB29" i="2"/>
  <c r="C284" i="4" s="1"/>
  <c r="AB37" i="2"/>
  <c r="C292" i="4" s="1"/>
  <c r="AB38" i="2"/>
  <c r="C293" i="4" s="1"/>
  <c r="AB39" i="2"/>
  <c r="C294" i="4" s="1"/>
  <c r="AB33" i="2"/>
  <c r="C288" i="4" s="1"/>
  <c r="AB34" i="2"/>
  <c r="C289" i="4" s="1"/>
  <c r="AB35" i="2"/>
  <c r="C290" i="4" s="1"/>
  <c r="AB40" i="2"/>
  <c r="C295" i="4" s="1"/>
  <c r="C53" i="1"/>
  <c r="AB12" i="2"/>
  <c r="C267" i="4" s="1"/>
  <c r="AB5" i="2"/>
  <c r="C260" i="4" s="1"/>
  <c r="AB10" i="2"/>
  <c r="C265" i="4" s="1"/>
  <c r="AB11" i="2"/>
  <c r="C266" i="4" s="1"/>
  <c r="AB13" i="2"/>
  <c r="C268" i="4" s="1"/>
  <c r="AB17" i="2"/>
  <c r="C272" i="4" s="1"/>
  <c r="AB18" i="2"/>
  <c r="C273" i="4" s="1"/>
  <c r="AB19" i="2"/>
  <c r="C274" i="4" s="1"/>
  <c r="AB20" i="2"/>
  <c r="C275" i="4" s="1"/>
  <c r="AB21" i="2"/>
  <c r="C276" i="4" s="1"/>
  <c r="AB22" i="2"/>
  <c r="C277" i="4" s="1"/>
  <c r="AB23" i="2"/>
  <c r="C278" i="4" s="1"/>
  <c r="AB24" i="2"/>
  <c r="C279" i="4" s="1"/>
  <c r="AB25" i="2"/>
  <c r="C280" i="4" s="1"/>
  <c r="AB26" i="2"/>
  <c r="C281" i="4" s="1"/>
  <c r="AB6" i="2"/>
  <c r="C261" i="4" s="1"/>
  <c r="AB7" i="2"/>
  <c r="C262" i="4" s="1"/>
  <c r="AB15" i="2"/>
  <c r="C270" i="4" s="1"/>
  <c r="AB3" i="2"/>
  <c r="C258" i="4" s="1"/>
  <c r="AB9" i="2"/>
  <c r="C264" i="4" s="1"/>
  <c r="AB8" i="2"/>
  <c r="C263" i="4" s="1"/>
  <c r="AB27" i="2"/>
  <c r="C282" i="4" s="1"/>
  <c r="AB14" i="2"/>
  <c r="C269" i="4" s="1"/>
  <c r="AB28" i="2"/>
  <c r="C283" i="4" s="1"/>
  <c r="AB31" i="2"/>
  <c r="C286" i="4" s="1"/>
  <c r="AB32" i="2"/>
  <c r="C287" i="4" s="1"/>
  <c r="AB36" i="2"/>
  <c r="C291" i="4" s="1"/>
  <c r="AB41" i="2"/>
  <c r="C296" i="4" s="1"/>
  <c r="AB16" i="2"/>
  <c r="C271" i="4" s="1"/>
  <c r="AB30" i="2"/>
  <c r="C285" i="4" s="1"/>
  <c r="AB4" i="2"/>
  <c r="C259" i="4" s="1"/>
  <c r="Y5" i="2"/>
  <c r="C220" i="5" s="1"/>
  <c r="Y12" i="2"/>
  <c r="C227" i="5" s="1"/>
  <c r="Y13" i="2"/>
  <c r="C228" i="5" s="1"/>
  <c r="Y16" i="2"/>
  <c r="C231" i="5" s="1"/>
  <c r="Y34" i="2"/>
  <c r="C249" i="5" s="1"/>
  <c r="Y2" i="2"/>
  <c r="C217" i="5" s="1"/>
  <c r="Y31" i="2"/>
  <c r="C246" i="5" s="1"/>
  <c r="Y36" i="2"/>
  <c r="C251" i="5" s="1"/>
  <c r="Y3" i="2"/>
  <c r="C218" i="5" s="1"/>
  <c r="Y8" i="2"/>
  <c r="C223" i="5" s="1"/>
  <c r="C51" i="1"/>
  <c r="Y17" i="2"/>
  <c r="C232" i="5" s="1"/>
  <c r="Y18" i="2"/>
  <c r="C233" i="5" s="1"/>
  <c r="Y19" i="2"/>
  <c r="C234" i="5" s="1"/>
  <c r="Y20" i="2"/>
  <c r="C235" i="5" s="1"/>
  <c r="Y21" i="2"/>
  <c r="C236" i="5" s="1"/>
  <c r="Y22" i="2"/>
  <c r="C237" i="5" s="1"/>
  <c r="Y23" i="2"/>
  <c r="C238" i="5" s="1"/>
  <c r="Y24" i="2"/>
  <c r="C239" i="5" s="1"/>
  <c r="Y25" i="2"/>
  <c r="C240" i="5" s="1"/>
  <c r="Y26" i="2"/>
  <c r="C241" i="5" s="1"/>
  <c r="Y6" i="2"/>
  <c r="C221" i="5" s="1"/>
  <c r="Y7" i="2"/>
  <c r="C222" i="5" s="1"/>
  <c r="Y10" i="2"/>
  <c r="C225" i="5" s="1"/>
  <c r="Y27" i="2"/>
  <c r="C242" i="5" s="1"/>
  <c r="Y9" i="2"/>
  <c r="C224" i="5" s="1"/>
  <c r="Y15" i="2"/>
  <c r="C230" i="5" s="1"/>
  <c r="Y35" i="2"/>
  <c r="C250" i="5" s="1"/>
  <c r="Y4" i="2"/>
  <c r="C219" i="5" s="1"/>
  <c r="Y29" i="2"/>
  <c r="C244" i="5" s="1"/>
  <c r="Y39" i="2"/>
  <c r="C254" i="5" s="1"/>
  <c r="Y28" i="2"/>
  <c r="C243" i="5" s="1"/>
  <c r="Y37" i="2"/>
  <c r="C252" i="5" s="1"/>
  <c r="Y40" i="2"/>
  <c r="C255" i="5" s="1"/>
  <c r="Y41" i="2"/>
  <c r="C256" i="5" s="1"/>
  <c r="Y11" i="2"/>
  <c r="C226" i="5" s="1"/>
  <c r="Y14" i="2"/>
  <c r="C229" i="5" s="1"/>
  <c r="Y30" i="2"/>
  <c r="C245" i="5" s="1"/>
  <c r="Y32" i="2"/>
  <c r="C247" i="5" s="1"/>
  <c r="Y33" i="2"/>
  <c r="C248" i="5" s="1"/>
  <c r="Y38" i="2"/>
  <c r="C253" i="5" s="1"/>
  <c r="X29" i="2"/>
  <c r="C244" i="4" s="1"/>
  <c r="X31" i="2"/>
  <c r="C246" i="4" s="1"/>
  <c r="X35" i="2"/>
  <c r="C250" i="4" s="1"/>
  <c r="X12" i="2"/>
  <c r="C227" i="4" s="1"/>
  <c r="X13" i="2"/>
  <c r="C228" i="4" s="1"/>
  <c r="X14" i="2"/>
  <c r="C229" i="4" s="1"/>
  <c r="X16" i="2"/>
  <c r="C231" i="4" s="1"/>
  <c r="X28" i="2"/>
  <c r="C243" i="4" s="1"/>
  <c r="X2" i="2"/>
  <c r="X15" i="2"/>
  <c r="C230" i="4" s="1"/>
  <c r="X17" i="2"/>
  <c r="C232" i="4" s="1"/>
  <c r="X18" i="2"/>
  <c r="C233" i="4" s="1"/>
  <c r="X19" i="2"/>
  <c r="C234" i="4" s="1"/>
  <c r="X20" i="2"/>
  <c r="C235" i="4" s="1"/>
  <c r="X21" i="2"/>
  <c r="C236" i="4" s="1"/>
  <c r="X22" i="2"/>
  <c r="C237" i="4" s="1"/>
  <c r="X23" i="2"/>
  <c r="C238" i="4" s="1"/>
  <c r="X24" i="2"/>
  <c r="C239" i="4" s="1"/>
  <c r="X25" i="2"/>
  <c r="C240" i="4" s="1"/>
  <c r="X26" i="2"/>
  <c r="C241" i="4" s="1"/>
  <c r="X9" i="2"/>
  <c r="C224" i="4" s="1"/>
  <c r="X3" i="2"/>
  <c r="C218" i="4" s="1"/>
  <c r="X6" i="2"/>
  <c r="C221" i="4" s="1"/>
  <c r="X7" i="2"/>
  <c r="C222" i="4" s="1"/>
  <c r="X10" i="2"/>
  <c r="C225" i="4" s="1"/>
  <c r="X8" i="2"/>
  <c r="C223" i="4" s="1"/>
  <c r="X30" i="2"/>
  <c r="C245" i="4" s="1"/>
  <c r="X37" i="2"/>
  <c r="C252" i="4" s="1"/>
  <c r="X41" i="2"/>
  <c r="C256" i="4" s="1"/>
  <c r="X4" i="2"/>
  <c r="C219" i="4" s="1"/>
  <c r="X5" i="2"/>
  <c r="C220" i="4" s="1"/>
  <c r="X11" i="2"/>
  <c r="C226" i="4" s="1"/>
  <c r="X32" i="2"/>
  <c r="C247" i="4" s="1"/>
  <c r="X33" i="2"/>
  <c r="C248" i="4" s="1"/>
  <c r="X34" i="2"/>
  <c r="C249" i="4" s="1"/>
  <c r="X36" i="2"/>
  <c r="C251" i="4" s="1"/>
  <c r="X38" i="2"/>
  <c r="C253" i="4" s="1"/>
  <c r="X40" i="2"/>
  <c r="C255" i="4" s="1"/>
  <c r="C50" i="1"/>
  <c r="X27" i="2"/>
  <c r="C242" i="4" s="1"/>
  <c r="X39" i="2"/>
  <c r="C254" i="4" s="1"/>
  <c r="T10" i="2"/>
  <c r="C185" i="4" s="1"/>
  <c r="T14" i="2"/>
  <c r="C189" i="4" s="1"/>
  <c r="T15" i="2"/>
  <c r="C190" i="4" s="1"/>
  <c r="T27" i="2"/>
  <c r="C202" i="4" s="1"/>
  <c r="T32" i="2"/>
  <c r="C207" i="4" s="1"/>
  <c r="T33" i="2"/>
  <c r="C208" i="4" s="1"/>
  <c r="T39" i="2"/>
  <c r="C214" i="4" s="1"/>
  <c r="C47" i="1"/>
  <c r="T11" i="2"/>
  <c r="C186" i="4" s="1"/>
  <c r="T29" i="2"/>
  <c r="C204" i="4" s="1"/>
  <c r="T31" i="2"/>
  <c r="C206" i="4" s="1"/>
  <c r="T36" i="2"/>
  <c r="C211" i="4" s="1"/>
  <c r="T4" i="2"/>
  <c r="C179" i="4" s="1"/>
  <c r="T5" i="2"/>
  <c r="C180" i="4" s="1"/>
  <c r="T16" i="2"/>
  <c r="C191" i="4" s="1"/>
  <c r="T17" i="2"/>
  <c r="C192" i="4" s="1"/>
  <c r="T18" i="2"/>
  <c r="C193" i="4" s="1"/>
  <c r="T19" i="2"/>
  <c r="C194" i="4" s="1"/>
  <c r="T20" i="2"/>
  <c r="C195" i="4" s="1"/>
  <c r="T21" i="2"/>
  <c r="C196" i="4" s="1"/>
  <c r="T22" i="2"/>
  <c r="C197" i="4" s="1"/>
  <c r="T23" i="2"/>
  <c r="C198" i="4" s="1"/>
  <c r="T24" i="2"/>
  <c r="C199" i="4" s="1"/>
  <c r="T25" i="2"/>
  <c r="C200" i="4" s="1"/>
  <c r="T26" i="2"/>
  <c r="C201" i="4" s="1"/>
  <c r="T9" i="2"/>
  <c r="C184" i="4" s="1"/>
  <c r="T7" i="2"/>
  <c r="C182" i="4" s="1"/>
  <c r="T3" i="2"/>
  <c r="C178" i="4" s="1"/>
  <c r="T8" i="2"/>
  <c r="C183" i="4" s="1"/>
  <c r="T12" i="2"/>
  <c r="C187" i="4" s="1"/>
  <c r="T13" i="2"/>
  <c r="C188" i="4" s="1"/>
  <c r="T30" i="2"/>
  <c r="C205" i="4" s="1"/>
  <c r="T41" i="2"/>
  <c r="C216" i="4" s="1"/>
  <c r="T6" i="2"/>
  <c r="C181" i="4" s="1"/>
  <c r="T28" i="2"/>
  <c r="C203" i="4" s="1"/>
  <c r="T34" i="2"/>
  <c r="C209" i="4" s="1"/>
  <c r="T40" i="2"/>
  <c r="C215" i="4" s="1"/>
  <c r="T2" i="2"/>
  <c r="T35" i="2"/>
  <c r="C210" i="4" s="1"/>
  <c r="T37" i="2"/>
  <c r="C212" i="4" s="1"/>
  <c r="T38" i="2"/>
  <c r="C213" i="4" s="1"/>
  <c r="U2" i="2"/>
  <c r="C177" i="5" s="1"/>
  <c r="U34" i="2"/>
  <c r="C209" i="5" s="1"/>
  <c r="U35" i="2"/>
  <c r="C210" i="5" s="1"/>
  <c r="U36" i="2"/>
  <c r="C211" i="5" s="1"/>
  <c r="U4" i="2"/>
  <c r="C179" i="5" s="1"/>
  <c r="U6" i="2"/>
  <c r="C181" i="5" s="1"/>
  <c r="U8" i="2"/>
  <c r="C183" i="5" s="1"/>
  <c r="U12" i="2"/>
  <c r="C187" i="5" s="1"/>
  <c r="U13" i="2"/>
  <c r="C188" i="5" s="1"/>
  <c r="U30" i="2"/>
  <c r="C205" i="5" s="1"/>
  <c r="U3" i="2"/>
  <c r="C178" i="5" s="1"/>
  <c r="U9" i="2"/>
  <c r="C184" i="5" s="1"/>
  <c r="C48" i="1"/>
  <c r="U17" i="2"/>
  <c r="C192" i="5" s="1"/>
  <c r="U18" i="2"/>
  <c r="C193" i="5" s="1"/>
  <c r="U19" i="2"/>
  <c r="C194" i="5" s="1"/>
  <c r="U20" i="2"/>
  <c r="C195" i="5" s="1"/>
  <c r="U21" i="2"/>
  <c r="C196" i="5" s="1"/>
  <c r="U22" i="2"/>
  <c r="C197" i="5" s="1"/>
  <c r="U23" i="2"/>
  <c r="C198" i="5" s="1"/>
  <c r="U24" i="2"/>
  <c r="C199" i="5" s="1"/>
  <c r="U25" i="2"/>
  <c r="C200" i="5" s="1"/>
  <c r="U26" i="2"/>
  <c r="C201" i="5" s="1"/>
  <c r="U10" i="2"/>
  <c r="C185" i="5" s="1"/>
  <c r="U7" i="2"/>
  <c r="C182" i="5" s="1"/>
  <c r="U5" i="2"/>
  <c r="C180" i="5" s="1"/>
  <c r="U31" i="2"/>
  <c r="C206" i="5" s="1"/>
  <c r="U37" i="2"/>
  <c r="C212" i="5" s="1"/>
  <c r="U38" i="2"/>
  <c r="C213" i="5" s="1"/>
  <c r="U41" i="2"/>
  <c r="C216" i="5" s="1"/>
  <c r="U14" i="2"/>
  <c r="C189" i="5" s="1"/>
  <c r="U27" i="2"/>
  <c r="C202" i="5" s="1"/>
  <c r="U29" i="2"/>
  <c r="C204" i="5" s="1"/>
  <c r="U32" i="2"/>
  <c r="C207" i="5" s="1"/>
  <c r="U39" i="2"/>
  <c r="C214" i="5" s="1"/>
  <c r="U40" i="2"/>
  <c r="C215" i="5" s="1"/>
  <c r="U11" i="2"/>
  <c r="C186" i="5" s="1"/>
  <c r="U15" i="2"/>
  <c r="C190" i="5" s="1"/>
  <c r="U16" i="2"/>
  <c r="C191" i="5" s="1"/>
  <c r="U28" i="2"/>
  <c r="C203" i="5" s="1"/>
  <c r="U33" i="2"/>
  <c r="C208" i="5" s="1"/>
  <c r="P11" i="2"/>
  <c r="C146" i="4" s="1"/>
  <c r="P28" i="2"/>
  <c r="C163" i="4" s="1"/>
  <c r="P39" i="2"/>
  <c r="C174" i="4" s="1"/>
  <c r="C44" i="1"/>
  <c r="P8" i="2"/>
  <c r="C143" i="4" s="1"/>
  <c r="P27" i="2"/>
  <c r="C162" i="4" s="1"/>
  <c r="P32" i="2"/>
  <c r="C167" i="4" s="1"/>
  <c r="P33" i="2"/>
  <c r="C168" i="4" s="1"/>
  <c r="P6" i="2"/>
  <c r="C141" i="4" s="1"/>
  <c r="P2" i="2"/>
  <c r="P15" i="2"/>
  <c r="C150" i="4" s="1"/>
  <c r="P17" i="2"/>
  <c r="C152" i="4" s="1"/>
  <c r="P18" i="2"/>
  <c r="C153" i="4" s="1"/>
  <c r="P19" i="2"/>
  <c r="C154" i="4" s="1"/>
  <c r="P20" i="2"/>
  <c r="C155" i="4" s="1"/>
  <c r="P21" i="2"/>
  <c r="C156" i="4" s="1"/>
  <c r="P22" i="2"/>
  <c r="C157" i="4" s="1"/>
  <c r="P23" i="2"/>
  <c r="C158" i="4" s="1"/>
  <c r="P24" i="2"/>
  <c r="C159" i="4" s="1"/>
  <c r="P25" i="2"/>
  <c r="C160" i="4" s="1"/>
  <c r="P26" i="2"/>
  <c r="C161" i="4" s="1"/>
  <c r="P13" i="2"/>
  <c r="C148" i="4" s="1"/>
  <c r="P29" i="2"/>
  <c r="C164" i="4" s="1"/>
  <c r="P9" i="2"/>
  <c r="C144" i="4" s="1"/>
  <c r="P7" i="2"/>
  <c r="C142" i="4" s="1"/>
  <c r="P4" i="2"/>
  <c r="C139" i="4" s="1"/>
  <c r="P5" i="2"/>
  <c r="C140" i="4" s="1"/>
  <c r="P30" i="2"/>
  <c r="C165" i="4" s="1"/>
  <c r="P36" i="2"/>
  <c r="C171" i="4" s="1"/>
  <c r="P37" i="2"/>
  <c r="C172" i="4" s="1"/>
  <c r="P38" i="2"/>
  <c r="C173" i="4" s="1"/>
  <c r="P3" i="2"/>
  <c r="C138" i="4" s="1"/>
  <c r="P12" i="2"/>
  <c r="C147" i="4" s="1"/>
  <c r="P41" i="2"/>
  <c r="C176" i="4" s="1"/>
  <c r="P10" i="2"/>
  <c r="C145" i="4" s="1"/>
  <c r="P14" i="2"/>
  <c r="C149" i="4" s="1"/>
  <c r="P16" i="2"/>
  <c r="C151" i="4" s="1"/>
  <c r="P31" i="2"/>
  <c r="C166" i="4" s="1"/>
  <c r="P34" i="2"/>
  <c r="C169" i="4" s="1"/>
  <c r="P35" i="2"/>
  <c r="C170" i="4" s="1"/>
  <c r="P40" i="2"/>
  <c r="C175" i="4" s="1"/>
  <c r="C45" i="1"/>
  <c r="Q3" i="2"/>
  <c r="C138" i="5" s="1"/>
  <c r="Q8" i="2"/>
  <c r="C143" i="5" s="1"/>
  <c r="Q27" i="2"/>
  <c r="C162" i="5" s="1"/>
  <c r="Q30" i="2"/>
  <c r="C165" i="5" s="1"/>
  <c r="Q38" i="2"/>
  <c r="C173" i="5" s="1"/>
  <c r="Q39" i="2"/>
  <c r="C174" i="5" s="1"/>
  <c r="Q5" i="2"/>
  <c r="C140" i="5" s="1"/>
  <c r="Q10" i="2"/>
  <c r="C145" i="5" s="1"/>
  <c r="Q35" i="2"/>
  <c r="C170" i="5" s="1"/>
  <c r="Q36" i="2"/>
  <c r="C171" i="5" s="1"/>
  <c r="Q37" i="2"/>
  <c r="C172" i="5" s="1"/>
  <c r="Q15" i="2"/>
  <c r="C150" i="5" s="1"/>
  <c r="Q17" i="2"/>
  <c r="C152" i="5" s="1"/>
  <c r="Q18" i="2"/>
  <c r="C153" i="5" s="1"/>
  <c r="Q19" i="2"/>
  <c r="C154" i="5" s="1"/>
  <c r="Q20" i="2"/>
  <c r="C155" i="5" s="1"/>
  <c r="Q21" i="2"/>
  <c r="C156" i="5" s="1"/>
  <c r="Q22" i="2"/>
  <c r="C157" i="5" s="1"/>
  <c r="Q23" i="2"/>
  <c r="C158" i="5" s="1"/>
  <c r="Q24" i="2"/>
  <c r="C159" i="5" s="1"/>
  <c r="Q25" i="2"/>
  <c r="C160" i="5" s="1"/>
  <c r="Q26" i="2"/>
  <c r="C161" i="5" s="1"/>
  <c r="Q6" i="2"/>
  <c r="C141" i="5" s="1"/>
  <c r="Q7" i="2"/>
  <c r="C142" i="5" s="1"/>
  <c r="Q9" i="2"/>
  <c r="C144" i="5" s="1"/>
  <c r="Q29" i="2"/>
  <c r="C164" i="5" s="1"/>
  <c r="Q11" i="2"/>
  <c r="C146" i="5" s="1"/>
  <c r="Q12" i="2"/>
  <c r="C147" i="5" s="1"/>
  <c r="Q13" i="2"/>
  <c r="C148" i="5" s="1"/>
  <c r="Q16" i="2"/>
  <c r="C151" i="5" s="1"/>
  <c r="Q31" i="2"/>
  <c r="C166" i="5" s="1"/>
  <c r="Q33" i="2"/>
  <c r="C168" i="5" s="1"/>
  <c r="Q40" i="2"/>
  <c r="C175" i="5" s="1"/>
  <c r="Q41" i="2"/>
  <c r="C176" i="5" s="1"/>
  <c r="Q2" i="2"/>
  <c r="C137" i="5" s="1"/>
  <c r="Q14" i="2"/>
  <c r="C149" i="5" s="1"/>
  <c r="Q28" i="2"/>
  <c r="C163" i="5" s="1"/>
  <c r="Q32" i="2"/>
  <c r="C167" i="5" s="1"/>
  <c r="Q4" i="2"/>
  <c r="C139" i="5" s="1"/>
  <c r="Q34" i="2"/>
  <c r="C169" i="5" s="1"/>
  <c r="M3" i="2"/>
  <c r="C98" i="5" s="1"/>
  <c r="M10" i="2"/>
  <c r="C105" i="5" s="1"/>
  <c r="M11" i="2"/>
  <c r="C106" i="5" s="1"/>
  <c r="M12" i="2"/>
  <c r="C107" i="5" s="1"/>
  <c r="M17" i="2"/>
  <c r="C112" i="5" s="1"/>
  <c r="M29" i="2"/>
  <c r="C124" i="5" s="1"/>
  <c r="M34" i="2"/>
  <c r="C129" i="5" s="1"/>
  <c r="M38" i="2"/>
  <c r="C133" i="5" s="1"/>
  <c r="M4" i="2"/>
  <c r="C99" i="5" s="1"/>
  <c r="M15" i="2"/>
  <c r="C110" i="5" s="1"/>
  <c r="M16" i="2"/>
  <c r="C111" i="5" s="1"/>
  <c r="M30" i="2"/>
  <c r="C125" i="5" s="1"/>
  <c r="M31" i="2"/>
  <c r="C126" i="5" s="1"/>
  <c r="M9" i="2"/>
  <c r="C104" i="5" s="1"/>
  <c r="M8" i="2"/>
  <c r="C103" i="5" s="1"/>
  <c r="M18" i="2"/>
  <c r="C113" i="5" s="1"/>
  <c r="M19" i="2"/>
  <c r="C114" i="5" s="1"/>
  <c r="M20" i="2"/>
  <c r="C115" i="5" s="1"/>
  <c r="M21" i="2"/>
  <c r="C116" i="5" s="1"/>
  <c r="M22" i="2"/>
  <c r="C117" i="5" s="1"/>
  <c r="M23" i="2"/>
  <c r="C118" i="5" s="1"/>
  <c r="M24" i="2"/>
  <c r="C119" i="5" s="1"/>
  <c r="M25" i="2"/>
  <c r="C120" i="5" s="1"/>
  <c r="M26" i="2"/>
  <c r="C121" i="5" s="1"/>
  <c r="M27" i="2"/>
  <c r="C122" i="5" s="1"/>
  <c r="M5" i="2"/>
  <c r="C100" i="5" s="1"/>
  <c r="C42" i="1"/>
  <c r="M6" i="2"/>
  <c r="C101" i="5" s="1"/>
  <c r="M7" i="2"/>
  <c r="C102" i="5" s="1"/>
  <c r="M39" i="2"/>
  <c r="C134" i="5" s="1"/>
  <c r="M2" i="2"/>
  <c r="C97" i="5" s="1"/>
  <c r="M28" i="2"/>
  <c r="C123" i="5" s="1"/>
  <c r="M33" i="2"/>
  <c r="C128" i="5" s="1"/>
  <c r="M40" i="2"/>
  <c r="C135" i="5" s="1"/>
  <c r="M41" i="2"/>
  <c r="C136" i="5" s="1"/>
  <c r="M13" i="2"/>
  <c r="C108" i="5" s="1"/>
  <c r="M14" i="2"/>
  <c r="C109" i="5" s="1"/>
  <c r="M32" i="2"/>
  <c r="C127" i="5" s="1"/>
  <c r="M35" i="2"/>
  <c r="C130" i="5" s="1"/>
  <c r="M36" i="2"/>
  <c r="C131" i="5" s="1"/>
  <c r="M37" i="2"/>
  <c r="C132" i="5" s="1"/>
  <c r="L3" i="2"/>
  <c r="C98" i="4" s="1"/>
  <c r="L8" i="2"/>
  <c r="C103" i="4" s="1"/>
  <c r="L12" i="2"/>
  <c r="C107" i="4" s="1"/>
  <c r="L32" i="2"/>
  <c r="C127" i="4" s="1"/>
  <c r="L37" i="2"/>
  <c r="C132" i="4" s="1"/>
  <c r="C41" i="1"/>
  <c r="L5" i="2"/>
  <c r="C100" i="4" s="1"/>
  <c r="L9" i="2"/>
  <c r="C104" i="4" s="1"/>
  <c r="L2" i="2"/>
  <c r="L11" i="2"/>
  <c r="C106" i="4" s="1"/>
  <c r="L13" i="2"/>
  <c r="C108" i="4" s="1"/>
  <c r="L18" i="2"/>
  <c r="C113" i="4" s="1"/>
  <c r="L19" i="2"/>
  <c r="C114" i="4" s="1"/>
  <c r="L20" i="2"/>
  <c r="C115" i="4" s="1"/>
  <c r="L21" i="2"/>
  <c r="C116" i="4" s="1"/>
  <c r="L22" i="2"/>
  <c r="C117" i="4" s="1"/>
  <c r="L23" i="2"/>
  <c r="C118" i="4" s="1"/>
  <c r="L24" i="2"/>
  <c r="C119" i="4" s="1"/>
  <c r="L25" i="2"/>
  <c r="C120" i="4" s="1"/>
  <c r="L26" i="2"/>
  <c r="C121" i="4" s="1"/>
  <c r="L27" i="2"/>
  <c r="C122" i="4" s="1"/>
  <c r="L6" i="2"/>
  <c r="C101" i="4" s="1"/>
  <c r="L14" i="2"/>
  <c r="C109" i="4" s="1"/>
  <c r="L7" i="2"/>
  <c r="C102" i="4" s="1"/>
  <c r="L4" i="2"/>
  <c r="C99" i="4" s="1"/>
  <c r="L15" i="2"/>
  <c r="C110" i="4" s="1"/>
  <c r="L17" i="2"/>
  <c r="C112" i="4" s="1"/>
  <c r="L30" i="2"/>
  <c r="C125" i="4" s="1"/>
  <c r="L39" i="2"/>
  <c r="C134" i="4" s="1"/>
  <c r="L40" i="2"/>
  <c r="C135" i="4" s="1"/>
  <c r="L10" i="2"/>
  <c r="C105" i="4" s="1"/>
  <c r="L33" i="2"/>
  <c r="C128" i="4" s="1"/>
  <c r="L34" i="2"/>
  <c r="C129" i="4" s="1"/>
  <c r="L35" i="2"/>
  <c r="C130" i="4" s="1"/>
  <c r="L36" i="2"/>
  <c r="C131" i="4" s="1"/>
  <c r="L41" i="2"/>
  <c r="C136" i="4" s="1"/>
  <c r="L16" i="2"/>
  <c r="C111" i="4" s="1"/>
  <c r="L28" i="2"/>
  <c r="C123" i="4" s="1"/>
  <c r="L29" i="2"/>
  <c r="C124" i="4" s="1"/>
  <c r="L31" i="2"/>
  <c r="C126" i="4" s="1"/>
  <c r="L38" i="2"/>
  <c r="C133" i="4" s="1"/>
  <c r="I8" i="2"/>
  <c r="C63" i="5" s="1"/>
  <c r="I11" i="2"/>
  <c r="C66" i="5" s="1"/>
  <c r="I13" i="2"/>
  <c r="C68" i="5" s="1"/>
  <c r="I29" i="2"/>
  <c r="C84" i="5" s="1"/>
  <c r="I30" i="2"/>
  <c r="C85" i="5" s="1"/>
  <c r="I31" i="2"/>
  <c r="C86" i="5" s="1"/>
  <c r="I38" i="2"/>
  <c r="C93" i="5" s="1"/>
  <c r="I3" i="2"/>
  <c r="C58" i="5" s="1"/>
  <c r="I10" i="2"/>
  <c r="C65" i="5" s="1"/>
  <c r="I33" i="2"/>
  <c r="C88" i="5" s="1"/>
  <c r="I35" i="2"/>
  <c r="C90" i="5" s="1"/>
  <c r="I40" i="2"/>
  <c r="C95" i="5" s="1"/>
  <c r="I6" i="2"/>
  <c r="C61" i="5" s="1"/>
  <c r="I16" i="2"/>
  <c r="C71" i="5" s="1"/>
  <c r="I17" i="2"/>
  <c r="C72" i="5" s="1"/>
  <c r="I18" i="2"/>
  <c r="C73" i="5" s="1"/>
  <c r="I19" i="2"/>
  <c r="C74" i="5" s="1"/>
  <c r="I20" i="2"/>
  <c r="C75" i="5" s="1"/>
  <c r="I21" i="2"/>
  <c r="C76" i="5" s="1"/>
  <c r="I22" i="2"/>
  <c r="C77" i="5" s="1"/>
  <c r="I23" i="2"/>
  <c r="C78" i="5" s="1"/>
  <c r="I24" i="2"/>
  <c r="C79" i="5" s="1"/>
  <c r="I25" i="2"/>
  <c r="C80" i="5" s="1"/>
  <c r="I26" i="2"/>
  <c r="C81" i="5" s="1"/>
  <c r="I27" i="2"/>
  <c r="C82" i="5" s="1"/>
  <c r="I14" i="2"/>
  <c r="C69" i="5" s="1"/>
  <c r="C39" i="1"/>
  <c r="I2" i="2"/>
  <c r="C57" i="5" s="1"/>
  <c r="I5" i="2"/>
  <c r="C60" i="5" s="1"/>
  <c r="I7" i="2"/>
  <c r="C62" i="5" s="1"/>
  <c r="I12" i="2"/>
  <c r="C67" i="5" s="1"/>
  <c r="I9" i="2"/>
  <c r="C64" i="5" s="1"/>
  <c r="I4" i="2"/>
  <c r="C59" i="5" s="1"/>
  <c r="I34" i="2"/>
  <c r="C89" i="5" s="1"/>
  <c r="I41" i="2"/>
  <c r="C96" i="5" s="1"/>
  <c r="I15" i="2"/>
  <c r="C70" i="5" s="1"/>
  <c r="I32" i="2"/>
  <c r="C87" i="5" s="1"/>
  <c r="I36" i="2"/>
  <c r="C91" i="5" s="1"/>
  <c r="I39" i="2"/>
  <c r="C94" i="5" s="1"/>
  <c r="I28" i="2"/>
  <c r="C83" i="5" s="1"/>
  <c r="I37" i="2"/>
  <c r="C92" i="5" s="1"/>
  <c r="H17" i="2"/>
  <c r="C72" i="4" s="1"/>
  <c r="H28" i="2"/>
  <c r="C83" i="4" s="1"/>
  <c r="H9" i="2"/>
  <c r="C64" i="4" s="1"/>
  <c r="H4" i="2"/>
  <c r="C59" i="4" s="1"/>
  <c r="H11" i="2"/>
  <c r="C66" i="4" s="1"/>
  <c r="H18" i="2"/>
  <c r="C73" i="4" s="1"/>
  <c r="H19" i="2"/>
  <c r="C74" i="4" s="1"/>
  <c r="H20" i="2"/>
  <c r="C75" i="4" s="1"/>
  <c r="H21" i="2"/>
  <c r="C76" i="4" s="1"/>
  <c r="H22" i="2"/>
  <c r="C77" i="4" s="1"/>
  <c r="H23" i="2"/>
  <c r="C78" i="4" s="1"/>
  <c r="H24" i="2"/>
  <c r="C79" i="4" s="1"/>
  <c r="H25" i="2"/>
  <c r="C80" i="4" s="1"/>
  <c r="H26" i="2"/>
  <c r="C81" i="4" s="1"/>
  <c r="H27" i="2"/>
  <c r="C82" i="4" s="1"/>
  <c r="H2" i="2"/>
  <c r="H12" i="2"/>
  <c r="C67" i="4" s="1"/>
  <c r="H6" i="2"/>
  <c r="C61" i="4" s="1"/>
  <c r="C38" i="1"/>
  <c r="H5" i="2"/>
  <c r="C60" i="4" s="1"/>
  <c r="H7" i="2"/>
  <c r="C62" i="4" s="1"/>
  <c r="H14" i="2"/>
  <c r="C69" i="4" s="1"/>
  <c r="H13" i="2"/>
  <c r="C68" i="4" s="1"/>
  <c r="H15" i="2"/>
  <c r="C70" i="4" s="1"/>
  <c r="H16" i="2"/>
  <c r="C71" i="4" s="1"/>
  <c r="H33" i="2"/>
  <c r="C88" i="4" s="1"/>
  <c r="H36" i="2"/>
  <c r="C91" i="4" s="1"/>
  <c r="H38" i="2"/>
  <c r="C93" i="4" s="1"/>
  <c r="H39" i="2"/>
  <c r="C94" i="4" s="1"/>
  <c r="H8" i="2"/>
  <c r="C63" i="4" s="1"/>
  <c r="H29" i="2"/>
  <c r="C84" i="4" s="1"/>
  <c r="H30" i="2"/>
  <c r="C85" i="4" s="1"/>
  <c r="H32" i="2"/>
  <c r="C87" i="4" s="1"/>
  <c r="H35" i="2"/>
  <c r="C90" i="4" s="1"/>
  <c r="H41" i="2"/>
  <c r="C96" i="4" s="1"/>
  <c r="H3" i="2"/>
  <c r="C58" i="4" s="1"/>
  <c r="H10" i="2"/>
  <c r="C65" i="4" s="1"/>
  <c r="H31" i="2"/>
  <c r="C86" i="4" s="1"/>
  <c r="H34" i="2"/>
  <c r="C89" i="4" s="1"/>
  <c r="H37" i="2"/>
  <c r="C92" i="4" s="1"/>
  <c r="H40" i="2"/>
  <c r="C95" i="4" s="1"/>
  <c r="C36" i="1"/>
  <c r="E11" i="2"/>
  <c r="C26" i="5" s="1"/>
  <c r="E13" i="2"/>
  <c r="C28" i="5" s="1"/>
  <c r="E16" i="2"/>
  <c r="C31" i="5" s="1"/>
  <c r="E17" i="2"/>
  <c r="C32" i="5" s="1"/>
  <c r="E31" i="2"/>
  <c r="C46" i="5" s="1"/>
  <c r="E32" i="2"/>
  <c r="C47" i="5" s="1"/>
  <c r="E36" i="2"/>
  <c r="C51" i="5" s="1"/>
  <c r="E35" i="2"/>
  <c r="C50" i="5" s="1"/>
  <c r="E37" i="2"/>
  <c r="C52" i="5" s="1"/>
  <c r="E38" i="2"/>
  <c r="C53" i="5" s="1"/>
  <c r="E2" i="2"/>
  <c r="C17" i="5" s="1"/>
  <c r="E3" i="2"/>
  <c r="C18" i="5" s="1"/>
  <c r="E8" i="2"/>
  <c r="C23" i="5" s="1"/>
  <c r="E18" i="2"/>
  <c r="C33" i="5" s="1"/>
  <c r="E19" i="2"/>
  <c r="C34" i="5" s="1"/>
  <c r="E20" i="2"/>
  <c r="C35" i="5" s="1"/>
  <c r="E21" i="2"/>
  <c r="C36" i="5" s="1"/>
  <c r="E22" i="2"/>
  <c r="C37" i="5" s="1"/>
  <c r="E23" i="2"/>
  <c r="C38" i="5" s="1"/>
  <c r="E24" i="2"/>
  <c r="C39" i="5" s="1"/>
  <c r="E25" i="2"/>
  <c r="C40" i="5" s="1"/>
  <c r="E26" i="2"/>
  <c r="C41" i="5" s="1"/>
  <c r="E27" i="2"/>
  <c r="C42" i="5" s="1"/>
  <c r="E5" i="2"/>
  <c r="C20" i="5" s="1"/>
  <c r="E6" i="2"/>
  <c r="C21" i="5" s="1"/>
  <c r="E9" i="2"/>
  <c r="C24" i="5" s="1"/>
  <c r="E12" i="2"/>
  <c r="C27" i="5" s="1"/>
  <c r="E7" i="2"/>
  <c r="C22" i="5" s="1"/>
  <c r="E14" i="2"/>
  <c r="C29" i="5" s="1"/>
  <c r="E4" i="2"/>
  <c r="C19" i="5" s="1"/>
  <c r="E10" i="2"/>
  <c r="C25" i="5" s="1"/>
  <c r="E15" i="2"/>
  <c r="C30" i="5" s="1"/>
  <c r="E29" i="2"/>
  <c r="C44" i="5" s="1"/>
  <c r="E30" i="2"/>
  <c r="C45" i="5" s="1"/>
  <c r="E33" i="2"/>
  <c r="C48" i="5" s="1"/>
  <c r="E34" i="2"/>
  <c r="C49" i="5" s="1"/>
  <c r="E39" i="2"/>
  <c r="C54" i="5" s="1"/>
  <c r="E40" i="2"/>
  <c r="C55" i="5" s="1"/>
  <c r="E28" i="2"/>
  <c r="C43" i="5" s="1"/>
  <c r="E41" i="2"/>
  <c r="C56" i="5" s="1"/>
  <c r="D13" i="2"/>
  <c r="C28" i="4" s="1"/>
  <c r="D28" i="2"/>
  <c r="C43" i="4" s="1"/>
  <c r="D33" i="2"/>
  <c r="C48" i="4" s="1"/>
  <c r="D37" i="2"/>
  <c r="C52" i="4" s="1"/>
  <c r="D40" i="2"/>
  <c r="C55" i="4" s="1"/>
  <c r="D14" i="2"/>
  <c r="C29" i="4" s="1"/>
  <c r="D3" i="2"/>
  <c r="C18" i="4" s="1"/>
  <c r="D8" i="2"/>
  <c r="C23" i="4" s="1"/>
  <c r="D15" i="2"/>
  <c r="C30" i="4" s="1"/>
  <c r="D34" i="2"/>
  <c r="C49" i="4" s="1"/>
  <c r="D35" i="2"/>
  <c r="C50" i="4" s="1"/>
  <c r="D36" i="2"/>
  <c r="C51" i="4" s="1"/>
  <c r="D39" i="2"/>
  <c r="C54" i="4" s="1"/>
  <c r="D5" i="2"/>
  <c r="C20" i="4" s="1"/>
  <c r="D12" i="2"/>
  <c r="C27" i="4" s="1"/>
  <c r="D4" i="2"/>
  <c r="C19" i="4" s="1"/>
  <c r="D10" i="2"/>
  <c r="C25" i="4" s="1"/>
  <c r="D18" i="2"/>
  <c r="C33" i="4" s="1"/>
  <c r="D19" i="2"/>
  <c r="C34" i="4" s="1"/>
  <c r="D20" i="2"/>
  <c r="C35" i="4" s="1"/>
  <c r="D21" i="2"/>
  <c r="C36" i="4" s="1"/>
  <c r="D22" i="2"/>
  <c r="C37" i="4" s="1"/>
  <c r="D23" i="2"/>
  <c r="C38" i="4" s="1"/>
  <c r="D24" i="2"/>
  <c r="C39" i="4" s="1"/>
  <c r="D25" i="2"/>
  <c r="C40" i="4" s="1"/>
  <c r="D26" i="2"/>
  <c r="C41" i="4" s="1"/>
  <c r="D27" i="2"/>
  <c r="C42" i="4" s="1"/>
  <c r="D6" i="2"/>
  <c r="C21" i="4" s="1"/>
  <c r="D9" i="2"/>
  <c r="C24" i="4" s="1"/>
  <c r="D7" i="2"/>
  <c r="C22" i="4" s="1"/>
  <c r="C35" i="1"/>
  <c r="D11" i="2"/>
  <c r="C26" i="4" s="1"/>
  <c r="D17" i="2"/>
  <c r="C32" i="4" s="1"/>
  <c r="D30" i="2"/>
  <c r="C45" i="4" s="1"/>
  <c r="D31" i="2"/>
  <c r="C46" i="4" s="1"/>
  <c r="D38" i="2"/>
  <c r="C53" i="4" s="1"/>
  <c r="D2" i="2"/>
  <c r="D16" i="2"/>
  <c r="C31" i="4" s="1"/>
  <c r="D29" i="2"/>
  <c r="C44" i="4" s="1"/>
  <c r="D32" i="2"/>
  <c r="C47" i="4" s="1"/>
  <c r="D41" i="2"/>
  <c r="C56" i="4" s="1"/>
  <c r="AE306" i="3"/>
  <c r="E306" i="3"/>
  <c r="F306" i="3"/>
  <c r="AD306" i="3"/>
  <c r="AB306" i="3"/>
  <c r="AA306" i="3"/>
  <c r="Z306" i="3"/>
  <c r="Y306" i="3"/>
  <c r="W306" i="3"/>
  <c r="H306" i="3"/>
  <c r="J306" i="3"/>
  <c r="L306" i="3"/>
  <c r="N306" i="3"/>
  <c r="P306" i="3"/>
  <c r="R306" i="3"/>
  <c r="T306" i="3"/>
  <c r="V306" i="3"/>
  <c r="X306" i="3"/>
  <c r="AC306" i="3"/>
  <c r="G306" i="3"/>
  <c r="D306" i="3"/>
  <c r="I306" i="3"/>
  <c r="K306" i="3"/>
  <c r="M306" i="3"/>
  <c r="O306" i="3"/>
  <c r="Q306" i="3"/>
  <c r="S306" i="3"/>
  <c r="U306" i="3"/>
  <c r="R324" i="3"/>
  <c r="AC324" i="3"/>
  <c r="N324" i="3"/>
  <c r="L324" i="3"/>
  <c r="J324" i="3"/>
  <c r="H324" i="3"/>
  <c r="F324" i="3"/>
  <c r="X324" i="3"/>
  <c r="T324" i="3"/>
  <c r="AE324" i="3"/>
  <c r="V324" i="3"/>
  <c r="E324" i="3"/>
  <c r="G324" i="3"/>
  <c r="I324" i="3"/>
  <c r="K324" i="3"/>
  <c r="M324" i="3"/>
  <c r="O324" i="3"/>
  <c r="Q324" i="3"/>
  <c r="S324" i="3"/>
  <c r="U324" i="3"/>
  <c r="W324" i="3"/>
  <c r="Y324" i="3"/>
  <c r="AA324" i="3"/>
  <c r="AB324" i="3"/>
  <c r="AD324" i="3"/>
  <c r="Z324" i="3"/>
  <c r="D324" i="3"/>
  <c r="P324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M312" i="3"/>
  <c r="P312" i="3"/>
  <c r="K312" i="3"/>
  <c r="H312" i="3"/>
  <c r="F312" i="3"/>
  <c r="D312" i="3"/>
  <c r="Q312" i="3"/>
  <c r="S312" i="3"/>
  <c r="V312" i="3"/>
  <c r="W312" i="3"/>
  <c r="Y312" i="3"/>
  <c r="AA312" i="3"/>
  <c r="E312" i="3"/>
  <c r="G312" i="3"/>
  <c r="I312" i="3"/>
  <c r="J312" i="3"/>
  <c r="L312" i="3"/>
  <c r="AB312" i="3"/>
  <c r="Z312" i="3"/>
  <c r="X312" i="3"/>
  <c r="U312" i="3"/>
  <c r="T312" i="3"/>
  <c r="AC312" i="3"/>
  <c r="O312" i="3"/>
  <c r="AD312" i="3"/>
  <c r="AE312" i="3"/>
  <c r="R312" i="3"/>
  <c r="N31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E325" i="3"/>
  <c r="AD325" i="3"/>
  <c r="AB325" i="3"/>
  <c r="Y325" i="3"/>
  <c r="V325" i="3"/>
  <c r="S325" i="3"/>
  <c r="P325" i="3"/>
  <c r="N325" i="3"/>
  <c r="L325" i="3"/>
  <c r="J325" i="3"/>
  <c r="H325" i="3"/>
  <c r="G325" i="3"/>
  <c r="E325" i="3"/>
  <c r="AA325" i="3"/>
  <c r="AC325" i="3"/>
  <c r="X325" i="3"/>
  <c r="W325" i="3"/>
  <c r="U325" i="3"/>
  <c r="T325" i="3"/>
  <c r="R325" i="3"/>
  <c r="Q325" i="3"/>
  <c r="O325" i="3"/>
  <c r="M325" i="3"/>
  <c r="K325" i="3"/>
  <c r="I325" i="3"/>
  <c r="F325" i="3"/>
  <c r="D325" i="3"/>
  <c r="Z325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E309" i="3"/>
  <c r="G309" i="3"/>
  <c r="I309" i="3"/>
  <c r="K309" i="3"/>
  <c r="M309" i="3"/>
  <c r="P309" i="3"/>
  <c r="Q309" i="3"/>
  <c r="S309" i="3"/>
  <c r="U309" i="3"/>
  <c r="W309" i="3"/>
  <c r="Y309" i="3"/>
  <c r="AA309" i="3"/>
  <c r="AC309" i="3"/>
  <c r="D309" i="3"/>
  <c r="F309" i="3"/>
  <c r="H309" i="3"/>
  <c r="J309" i="3"/>
  <c r="L309" i="3"/>
  <c r="N309" i="3"/>
  <c r="O309" i="3"/>
  <c r="R309" i="3"/>
  <c r="T309" i="3"/>
  <c r="V309" i="3"/>
  <c r="X309" i="3"/>
  <c r="Z309" i="3"/>
  <c r="AB309" i="3"/>
  <c r="AD309" i="3"/>
  <c r="AE30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B389" i="4" l="1"/>
  <c r="W389" i="4"/>
  <c r="R389" i="4"/>
  <c r="K389" i="4"/>
  <c r="F389" i="4"/>
  <c r="AA389" i="4"/>
  <c r="X389" i="4"/>
  <c r="T389" i="4"/>
  <c r="S389" i="4"/>
  <c r="M389" i="4"/>
  <c r="L389" i="4"/>
  <c r="J389" i="4"/>
  <c r="G389" i="4"/>
  <c r="AE389" i="4"/>
  <c r="V389" i="4"/>
  <c r="P389" i="4"/>
  <c r="O389" i="4"/>
  <c r="H389" i="4"/>
  <c r="D389" i="4"/>
  <c r="AD389" i="4"/>
  <c r="AC389" i="4"/>
  <c r="Z389" i="4"/>
  <c r="Y389" i="4"/>
  <c r="U389" i="4"/>
  <c r="Q389" i="4"/>
  <c r="N389" i="4"/>
  <c r="I389" i="4"/>
  <c r="E389" i="4"/>
  <c r="Z409" i="4"/>
  <c r="W409" i="4"/>
  <c r="U409" i="4"/>
  <c r="Q409" i="4"/>
  <c r="P409" i="4"/>
  <c r="M409" i="4"/>
  <c r="K409" i="4"/>
  <c r="I409" i="4"/>
  <c r="F409" i="4"/>
  <c r="AA409" i="4"/>
  <c r="T409" i="4"/>
  <c r="S409" i="4"/>
  <c r="H409" i="4"/>
  <c r="AE409" i="4"/>
  <c r="AD409" i="4"/>
  <c r="AC409" i="4"/>
  <c r="X409" i="4"/>
  <c r="O409" i="4"/>
  <c r="L409" i="4"/>
  <c r="J409" i="4"/>
  <c r="G409" i="4"/>
  <c r="E409" i="4"/>
  <c r="AB409" i="4"/>
  <c r="Y409" i="4"/>
  <c r="V409" i="4"/>
  <c r="R409" i="4"/>
  <c r="N409" i="4"/>
  <c r="D409" i="4"/>
  <c r="AD410" i="4"/>
  <c r="S410" i="4"/>
  <c r="O410" i="4"/>
  <c r="M410" i="4"/>
  <c r="K410" i="4"/>
  <c r="I410" i="4"/>
  <c r="G410" i="4"/>
  <c r="AB410" i="4"/>
  <c r="Z410" i="4"/>
  <c r="Y410" i="4"/>
  <c r="X410" i="4"/>
  <c r="W410" i="4"/>
  <c r="V410" i="4"/>
  <c r="U410" i="4"/>
  <c r="R410" i="4"/>
  <c r="P410" i="4"/>
  <c r="J410" i="4"/>
  <c r="E410" i="4"/>
  <c r="AE410" i="4"/>
  <c r="AA410" i="4"/>
  <c r="L410" i="4"/>
  <c r="D410" i="4"/>
  <c r="AC410" i="4"/>
  <c r="T410" i="4"/>
  <c r="Q410" i="4"/>
  <c r="N410" i="4"/>
  <c r="H410" i="4"/>
  <c r="F410" i="4"/>
  <c r="AD414" i="4"/>
  <c r="P414" i="4"/>
  <c r="J414" i="4"/>
  <c r="X414" i="4"/>
  <c r="U414" i="4"/>
  <c r="T414" i="4"/>
  <c r="Q414" i="4"/>
  <c r="M414" i="4"/>
  <c r="I414" i="4"/>
  <c r="AE414" i="4"/>
  <c r="AC414" i="4"/>
  <c r="AB414" i="4"/>
  <c r="AA414" i="4"/>
  <c r="Y414" i="4"/>
  <c r="W414" i="4"/>
  <c r="V414" i="4"/>
  <c r="R414" i="4"/>
  <c r="O414" i="4"/>
  <c r="N414" i="4"/>
  <c r="K414" i="4"/>
  <c r="F414" i="4"/>
  <c r="E414" i="4"/>
  <c r="Z414" i="4"/>
  <c r="S414" i="4"/>
  <c r="L414" i="4"/>
  <c r="H414" i="4"/>
  <c r="G414" i="4"/>
  <c r="D414" i="4"/>
  <c r="AO43" i="2"/>
  <c r="C377" i="4"/>
  <c r="AD390" i="4"/>
  <c r="AA390" i="4"/>
  <c r="X390" i="4"/>
  <c r="U390" i="4"/>
  <c r="L390" i="4"/>
  <c r="I390" i="4"/>
  <c r="E390" i="4"/>
  <c r="AB390" i="4"/>
  <c r="Z390" i="4"/>
  <c r="W390" i="4"/>
  <c r="T390" i="4"/>
  <c r="R390" i="4"/>
  <c r="Q390" i="4"/>
  <c r="K390" i="4"/>
  <c r="H390" i="4"/>
  <c r="F390" i="4"/>
  <c r="AE390" i="4"/>
  <c r="AC390" i="4"/>
  <c r="Y390" i="4"/>
  <c r="V390" i="4"/>
  <c r="S390" i="4"/>
  <c r="P390" i="4"/>
  <c r="O390" i="4"/>
  <c r="N390" i="4"/>
  <c r="M390" i="4"/>
  <c r="J390" i="4"/>
  <c r="G390" i="4"/>
  <c r="D390" i="4"/>
  <c r="AA412" i="4"/>
  <c r="N412" i="4"/>
  <c r="G412" i="4"/>
  <c r="AC412" i="4"/>
  <c r="T412" i="4"/>
  <c r="R412" i="4"/>
  <c r="Q412" i="4"/>
  <c r="O412" i="4"/>
  <c r="M412" i="4"/>
  <c r="L412" i="4"/>
  <c r="I412" i="4"/>
  <c r="D412" i="4"/>
  <c r="AB412" i="4"/>
  <c r="K412" i="4"/>
  <c r="F412" i="4"/>
  <c r="AE412" i="4"/>
  <c r="AD412" i="4"/>
  <c r="Z412" i="4"/>
  <c r="Y412" i="4"/>
  <c r="X412" i="4"/>
  <c r="W412" i="4"/>
  <c r="V412" i="4"/>
  <c r="U412" i="4"/>
  <c r="S412" i="4"/>
  <c r="P412" i="4"/>
  <c r="J412" i="4"/>
  <c r="H412" i="4"/>
  <c r="E412" i="4"/>
  <c r="AE379" i="4"/>
  <c r="AD379" i="4"/>
  <c r="AC379" i="4"/>
  <c r="AB379" i="4"/>
  <c r="AA379" i="4"/>
  <c r="Z379" i="4"/>
  <c r="Y379" i="4"/>
  <c r="X379" i="4"/>
  <c r="W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AE387" i="4"/>
  <c r="AC387" i="4"/>
  <c r="AB387" i="4"/>
  <c r="Y387" i="4"/>
  <c r="Q387" i="4"/>
  <c r="M387" i="4"/>
  <c r="L387" i="4"/>
  <c r="I387" i="4"/>
  <c r="D387" i="4"/>
  <c r="X387" i="4"/>
  <c r="V387" i="4"/>
  <c r="U387" i="4"/>
  <c r="R387" i="4"/>
  <c r="K387" i="4"/>
  <c r="G387" i="4"/>
  <c r="E387" i="4"/>
  <c r="Z387" i="4"/>
  <c r="S387" i="4"/>
  <c r="O387" i="4"/>
  <c r="N387" i="4"/>
  <c r="J387" i="4"/>
  <c r="F387" i="4"/>
  <c r="AD387" i="4"/>
  <c r="AA387" i="4"/>
  <c r="W387" i="4"/>
  <c r="T387" i="4"/>
  <c r="P387" i="4"/>
  <c r="H387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W393" i="4"/>
  <c r="R393" i="4"/>
  <c r="P393" i="4"/>
  <c r="O393" i="4"/>
  <c r="L393" i="4"/>
  <c r="I393" i="4"/>
  <c r="E393" i="4"/>
  <c r="AE393" i="4"/>
  <c r="AD393" i="4"/>
  <c r="AC393" i="4"/>
  <c r="AB393" i="4"/>
  <c r="AA393" i="4"/>
  <c r="Z393" i="4"/>
  <c r="Y393" i="4"/>
  <c r="X393" i="4"/>
  <c r="V393" i="4"/>
  <c r="U393" i="4"/>
  <c r="T393" i="4"/>
  <c r="S393" i="4"/>
  <c r="Q393" i="4"/>
  <c r="N393" i="4"/>
  <c r="M393" i="4"/>
  <c r="K393" i="4"/>
  <c r="J393" i="4"/>
  <c r="H393" i="4"/>
  <c r="G393" i="4"/>
  <c r="F393" i="4"/>
  <c r="D393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V398" i="4"/>
  <c r="T398" i="4"/>
  <c r="S398" i="4"/>
  <c r="R398" i="4"/>
  <c r="N398" i="4"/>
  <c r="K398" i="4"/>
  <c r="D398" i="4"/>
  <c r="AE398" i="4"/>
  <c r="AD398" i="4"/>
  <c r="AC398" i="4"/>
  <c r="AB398" i="4"/>
  <c r="AA398" i="4"/>
  <c r="Z398" i="4"/>
  <c r="Y398" i="4"/>
  <c r="X398" i="4"/>
  <c r="W398" i="4"/>
  <c r="U398" i="4"/>
  <c r="Q398" i="4"/>
  <c r="P398" i="4"/>
  <c r="O398" i="4"/>
  <c r="M398" i="4"/>
  <c r="L398" i="4"/>
  <c r="J398" i="4"/>
  <c r="I398" i="4"/>
  <c r="H398" i="4"/>
  <c r="G398" i="4"/>
  <c r="F398" i="4"/>
  <c r="E398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AE380" i="4"/>
  <c r="AD380" i="4"/>
  <c r="AC380" i="4"/>
  <c r="AB380" i="4"/>
  <c r="AA380" i="4"/>
  <c r="Z380" i="4"/>
  <c r="Y380" i="4"/>
  <c r="X380" i="4"/>
  <c r="W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S391" i="4"/>
  <c r="J391" i="4"/>
  <c r="AD391" i="4"/>
  <c r="X391" i="4"/>
  <c r="W391" i="4"/>
  <c r="T391" i="4"/>
  <c r="Q391" i="4"/>
  <c r="L391" i="4"/>
  <c r="K391" i="4"/>
  <c r="H391" i="4"/>
  <c r="E391" i="4"/>
  <c r="AE391" i="4"/>
  <c r="AC391" i="4"/>
  <c r="AB391" i="4"/>
  <c r="AA391" i="4"/>
  <c r="Z391" i="4"/>
  <c r="U391" i="4"/>
  <c r="P391" i="4"/>
  <c r="O391" i="4"/>
  <c r="N391" i="4"/>
  <c r="F391" i="4"/>
  <c r="Y391" i="4"/>
  <c r="V391" i="4"/>
  <c r="R391" i="4"/>
  <c r="M391" i="4"/>
  <c r="I391" i="4"/>
  <c r="G391" i="4"/>
  <c r="D391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AE404" i="4"/>
  <c r="E404" i="4"/>
  <c r="N404" i="4"/>
  <c r="K404" i="4"/>
  <c r="Z404" i="4"/>
  <c r="V404" i="4"/>
  <c r="F404" i="4"/>
  <c r="AA404" i="4"/>
  <c r="Q404" i="4"/>
  <c r="R404" i="4"/>
  <c r="D404" i="4"/>
  <c r="AB404" i="4"/>
  <c r="W404" i="4"/>
  <c r="X404" i="4"/>
  <c r="H404" i="4"/>
  <c r="L404" i="4"/>
  <c r="S404" i="4"/>
  <c r="O404" i="4"/>
  <c r="I404" i="4"/>
  <c r="P404" i="4"/>
  <c r="AD404" i="4"/>
  <c r="T404" i="4"/>
  <c r="AC404" i="4"/>
  <c r="J404" i="4"/>
  <c r="Y404" i="4"/>
  <c r="U404" i="4"/>
  <c r="M404" i="4"/>
  <c r="G404" i="4"/>
  <c r="G405" i="4"/>
  <c r="P405" i="4"/>
  <c r="S405" i="4"/>
  <c r="L405" i="4"/>
  <c r="R405" i="4"/>
  <c r="Q405" i="4"/>
  <c r="Z405" i="4"/>
  <c r="T405" i="4"/>
  <c r="K405" i="4"/>
  <c r="AC405" i="4"/>
  <c r="X405" i="4"/>
  <c r="N405" i="4"/>
  <c r="D405" i="4"/>
  <c r="M405" i="4"/>
  <c r="AE405" i="4"/>
  <c r="O405" i="4"/>
  <c r="F405" i="4"/>
  <c r="AD405" i="4"/>
  <c r="U405" i="4"/>
  <c r="I405" i="4"/>
  <c r="W405" i="4"/>
  <c r="Y405" i="4"/>
  <c r="E405" i="4"/>
  <c r="AB405" i="4"/>
  <c r="H405" i="4"/>
  <c r="V405" i="4"/>
  <c r="J405" i="4"/>
  <c r="AA405" i="4"/>
  <c r="AB416" i="4"/>
  <c r="V416" i="4"/>
  <c r="Q416" i="4"/>
  <c r="O416" i="4"/>
  <c r="M416" i="4"/>
  <c r="K416" i="4"/>
  <c r="I416" i="4"/>
  <c r="H416" i="4"/>
  <c r="F416" i="4"/>
  <c r="E416" i="4"/>
  <c r="AC416" i="4"/>
  <c r="W416" i="4"/>
  <c r="S416" i="4"/>
  <c r="L416" i="4"/>
  <c r="D416" i="4"/>
  <c r="AE416" i="4"/>
  <c r="AA416" i="4"/>
  <c r="X416" i="4"/>
  <c r="T416" i="4"/>
  <c r="R416" i="4"/>
  <c r="J416" i="4"/>
  <c r="G416" i="4"/>
  <c r="AD416" i="4"/>
  <c r="Z416" i="4"/>
  <c r="Y416" i="4"/>
  <c r="U416" i="4"/>
  <c r="P416" i="4"/>
  <c r="N416" i="4"/>
  <c r="AD406" i="4"/>
  <c r="Q406" i="4"/>
  <c r="AB406" i="4"/>
  <c r="AC406" i="4"/>
  <c r="F406" i="4"/>
  <c r="AA406" i="4"/>
  <c r="O406" i="4"/>
  <c r="Z406" i="4"/>
  <c r="X406" i="4"/>
  <c r="R406" i="4"/>
  <c r="H406" i="4"/>
  <c r="T406" i="4"/>
  <c r="M406" i="4"/>
  <c r="J406" i="4"/>
  <c r="U406" i="4"/>
  <c r="E406" i="4"/>
  <c r="D406" i="4"/>
  <c r="Y406" i="4"/>
  <c r="W406" i="4"/>
  <c r="S406" i="4"/>
  <c r="I406" i="4"/>
  <c r="V406" i="4"/>
  <c r="N406" i="4"/>
  <c r="K406" i="4"/>
  <c r="P406" i="4"/>
  <c r="G406" i="4"/>
  <c r="AE406" i="4"/>
  <c r="L406" i="4"/>
  <c r="AC415" i="4"/>
  <c r="T415" i="4"/>
  <c r="M415" i="4"/>
  <c r="G415" i="4"/>
  <c r="E415" i="4"/>
  <c r="AE415" i="4"/>
  <c r="Z415" i="4"/>
  <c r="X415" i="4"/>
  <c r="Q415" i="4"/>
  <c r="P415" i="4"/>
  <c r="O415" i="4"/>
  <c r="N415" i="4"/>
  <c r="K415" i="4"/>
  <c r="I415" i="4"/>
  <c r="H415" i="4"/>
  <c r="AB415" i="4"/>
  <c r="Y415" i="4"/>
  <c r="U415" i="4"/>
  <c r="R415" i="4"/>
  <c r="L415" i="4"/>
  <c r="D415" i="4"/>
  <c r="AD415" i="4"/>
  <c r="AA415" i="4"/>
  <c r="W415" i="4"/>
  <c r="V415" i="4"/>
  <c r="S415" i="4"/>
  <c r="J415" i="4"/>
  <c r="F415" i="4"/>
  <c r="Y62" i="1"/>
  <c r="Y96" i="1" s="1"/>
  <c r="F62" i="1"/>
  <c r="F96" i="1" s="1"/>
  <c r="G62" i="1"/>
  <c r="G96" i="1" s="1"/>
  <c r="H62" i="1"/>
  <c r="H96" i="1" s="1"/>
  <c r="I62" i="1"/>
  <c r="I96" i="1" s="1"/>
  <c r="J62" i="1"/>
  <c r="J96" i="1" s="1"/>
  <c r="K62" i="1"/>
  <c r="K96" i="1" s="1"/>
  <c r="L62" i="1"/>
  <c r="L96" i="1" s="1"/>
  <c r="M62" i="1"/>
  <c r="M96" i="1" s="1"/>
  <c r="N62" i="1"/>
  <c r="N96" i="1" s="1"/>
  <c r="O62" i="1"/>
  <c r="O96" i="1" s="1"/>
  <c r="P62" i="1"/>
  <c r="P96" i="1" s="1"/>
  <c r="Q62" i="1"/>
  <c r="Q96" i="1" s="1"/>
  <c r="R62" i="1"/>
  <c r="R96" i="1" s="1"/>
  <c r="S62" i="1"/>
  <c r="S96" i="1" s="1"/>
  <c r="T62" i="1"/>
  <c r="T96" i="1" s="1"/>
  <c r="D62" i="1"/>
  <c r="D96" i="1" s="1"/>
  <c r="V62" i="1"/>
  <c r="V96" i="1" s="1"/>
  <c r="W62" i="1"/>
  <c r="W96" i="1" s="1"/>
  <c r="U62" i="1"/>
  <c r="U96" i="1" s="1"/>
  <c r="AE62" i="1"/>
  <c r="AE96" i="1" s="1"/>
  <c r="AD62" i="1"/>
  <c r="AD96" i="1" s="1"/>
  <c r="AC62" i="1"/>
  <c r="AC96" i="1" s="1"/>
  <c r="AB62" i="1"/>
  <c r="AB96" i="1" s="1"/>
  <c r="AA62" i="1"/>
  <c r="AA96" i="1" s="1"/>
  <c r="Z62" i="1"/>
  <c r="Z96" i="1" s="1"/>
  <c r="E62" i="1"/>
  <c r="E96" i="1" s="1"/>
  <c r="X62" i="1"/>
  <c r="X96" i="1" s="1"/>
  <c r="X402" i="4"/>
  <c r="T402" i="4"/>
  <c r="S402" i="4"/>
  <c r="Q402" i="4"/>
  <c r="N402" i="4"/>
  <c r="I402" i="4"/>
  <c r="AE402" i="4"/>
  <c r="AC402" i="4"/>
  <c r="Z402" i="4"/>
  <c r="W402" i="4"/>
  <c r="R402" i="4"/>
  <c r="O402" i="4"/>
  <c r="L402" i="4"/>
  <c r="K402" i="4"/>
  <c r="H402" i="4"/>
  <c r="G402" i="4"/>
  <c r="AD402" i="4"/>
  <c r="Y402" i="4"/>
  <c r="P402" i="4"/>
  <c r="M402" i="4"/>
  <c r="AB402" i="4"/>
  <c r="AA402" i="4"/>
  <c r="V402" i="4"/>
  <c r="U402" i="4"/>
  <c r="J402" i="4"/>
  <c r="F402" i="4"/>
  <c r="E402" i="4"/>
  <c r="D402" i="4"/>
  <c r="E403" i="4"/>
  <c r="O403" i="4"/>
  <c r="AC403" i="4"/>
  <c r="V403" i="4"/>
  <c r="T403" i="4"/>
  <c r="I403" i="4"/>
  <c r="P403" i="4"/>
  <c r="H403" i="4"/>
  <c r="Y403" i="4"/>
  <c r="Q403" i="4"/>
  <c r="AB403" i="4"/>
  <c r="F403" i="4"/>
  <c r="X403" i="4"/>
  <c r="R403" i="4"/>
  <c r="N403" i="4"/>
  <c r="M403" i="4"/>
  <c r="AA403" i="4"/>
  <c r="G403" i="4"/>
  <c r="U403" i="4"/>
  <c r="K403" i="4"/>
  <c r="J403" i="4"/>
  <c r="AD403" i="4"/>
  <c r="W403" i="4"/>
  <c r="Z403" i="4"/>
  <c r="S403" i="4"/>
  <c r="AE403" i="4"/>
  <c r="D403" i="4"/>
  <c r="L403" i="4"/>
  <c r="Z407" i="4"/>
  <c r="V407" i="4"/>
  <c r="T407" i="4"/>
  <c r="AE407" i="4"/>
  <c r="R407" i="4"/>
  <c r="M407" i="4"/>
  <c r="J407" i="4"/>
  <c r="H407" i="4"/>
  <c r="D407" i="4"/>
  <c r="W407" i="4"/>
  <c r="F407" i="4"/>
  <c r="I407" i="4"/>
  <c r="AC407" i="4"/>
  <c r="AA407" i="4"/>
  <c r="S407" i="4"/>
  <c r="Q407" i="4"/>
  <c r="L407" i="4"/>
  <c r="AD407" i="4"/>
  <c r="AB407" i="4"/>
  <c r="X407" i="4"/>
  <c r="E407" i="4"/>
  <c r="Y407" i="4"/>
  <c r="P407" i="4"/>
  <c r="O407" i="4"/>
  <c r="G407" i="4"/>
  <c r="U407" i="4"/>
  <c r="N407" i="4"/>
  <c r="K407" i="4"/>
  <c r="AA408" i="4"/>
  <c r="R408" i="4"/>
  <c r="Q408" i="4"/>
  <c r="N408" i="4"/>
  <c r="K408" i="4"/>
  <c r="I408" i="4"/>
  <c r="F408" i="4"/>
  <c r="E408" i="4"/>
  <c r="AC408" i="4"/>
  <c r="S408" i="4"/>
  <c r="P408" i="4"/>
  <c r="M408" i="4"/>
  <c r="AE408" i="4"/>
  <c r="AB408" i="4"/>
  <c r="Y408" i="4"/>
  <c r="W408" i="4"/>
  <c r="T408" i="4"/>
  <c r="O408" i="4"/>
  <c r="G408" i="4"/>
  <c r="D408" i="4"/>
  <c r="AD408" i="4"/>
  <c r="Z408" i="4"/>
  <c r="X408" i="4"/>
  <c r="V408" i="4"/>
  <c r="U408" i="4"/>
  <c r="L408" i="4"/>
  <c r="J408" i="4"/>
  <c r="H408" i="4"/>
  <c r="X411" i="4"/>
  <c r="T411" i="4"/>
  <c r="Q411" i="4"/>
  <c r="G411" i="4"/>
  <c r="AD411" i="4"/>
  <c r="R411" i="4"/>
  <c r="O411" i="4"/>
  <c r="L411" i="4"/>
  <c r="J411" i="4"/>
  <c r="H411" i="4"/>
  <c r="AE411" i="4"/>
  <c r="AC411" i="4"/>
  <c r="Z411" i="4"/>
  <c r="W411" i="4"/>
  <c r="V411" i="4"/>
  <c r="P411" i="4"/>
  <c r="F411" i="4"/>
  <c r="AB411" i="4"/>
  <c r="AA411" i="4"/>
  <c r="Y411" i="4"/>
  <c r="U411" i="4"/>
  <c r="S411" i="4"/>
  <c r="N411" i="4"/>
  <c r="M411" i="4"/>
  <c r="K411" i="4"/>
  <c r="I411" i="4"/>
  <c r="E411" i="4"/>
  <c r="D411" i="4"/>
  <c r="AE413" i="4"/>
  <c r="Z413" i="4"/>
  <c r="X413" i="4"/>
  <c r="U413" i="4"/>
  <c r="R413" i="4"/>
  <c r="I413" i="4"/>
  <c r="G413" i="4"/>
  <c r="AD413" i="4"/>
  <c r="AA413" i="4"/>
  <c r="Y413" i="4"/>
  <c r="W413" i="4"/>
  <c r="T413" i="4"/>
  <c r="N413" i="4"/>
  <c r="H413" i="4"/>
  <c r="AC413" i="4"/>
  <c r="V413" i="4"/>
  <c r="S413" i="4"/>
  <c r="Q413" i="4"/>
  <c r="O413" i="4"/>
  <c r="M413" i="4"/>
  <c r="L413" i="4"/>
  <c r="J413" i="4"/>
  <c r="E413" i="4"/>
  <c r="D413" i="4"/>
  <c r="AB413" i="4"/>
  <c r="P413" i="4"/>
  <c r="K413" i="4"/>
  <c r="F413" i="4"/>
  <c r="AB405" i="5"/>
  <c r="X405" i="5"/>
  <c r="V405" i="5"/>
  <c r="S405" i="5"/>
  <c r="O405" i="5"/>
  <c r="L405" i="5"/>
  <c r="E405" i="5"/>
  <c r="U405" i="5"/>
  <c r="T405" i="5"/>
  <c r="R405" i="5"/>
  <c r="P405" i="5"/>
  <c r="M405" i="5"/>
  <c r="F405" i="5"/>
  <c r="AD405" i="5"/>
  <c r="I405" i="5"/>
  <c r="Q405" i="5"/>
  <c r="N405" i="5"/>
  <c r="D405" i="5"/>
  <c r="AE405" i="5"/>
  <c r="AA405" i="5"/>
  <c r="Y405" i="5"/>
  <c r="K405" i="5"/>
  <c r="G405" i="5"/>
  <c r="H405" i="5"/>
  <c r="AC405" i="5"/>
  <c r="Z405" i="5"/>
  <c r="W405" i="5"/>
  <c r="J405" i="5"/>
  <c r="AB406" i="5"/>
  <c r="AA406" i="5"/>
  <c r="Z406" i="5"/>
  <c r="Y406" i="5"/>
  <c r="T406" i="5"/>
  <c r="S406" i="5"/>
  <c r="R406" i="5"/>
  <c r="Q406" i="5"/>
  <c r="P406" i="5"/>
  <c r="O406" i="5"/>
  <c r="M406" i="5"/>
  <c r="K406" i="5"/>
  <c r="I406" i="5"/>
  <c r="F406" i="5"/>
  <c r="AE406" i="5"/>
  <c r="AD406" i="5"/>
  <c r="AC406" i="5"/>
  <c r="X406" i="5"/>
  <c r="W406" i="5"/>
  <c r="V406" i="5"/>
  <c r="H406" i="5"/>
  <c r="D406" i="5"/>
  <c r="U406" i="5"/>
  <c r="N406" i="5"/>
  <c r="L406" i="5"/>
  <c r="J406" i="5"/>
  <c r="G406" i="5"/>
  <c r="E406" i="5"/>
  <c r="H378" i="5"/>
  <c r="AE378" i="5"/>
  <c r="AD378" i="5"/>
  <c r="AC378" i="5"/>
  <c r="AB378" i="5"/>
  <c r="AA378" i="5"/>
  <c r="Z378" i="5"/>
  <c r="Y378" i="5"/>
  <c r="X378" i="5"/>
  <c r="W378" i="5"/>
  <c r="V378" i="5"/>
  <c r="U378" i="5"/>
  <c r="T378" i="5"/>
  <c r="S378" i="5"/>
  <c r="R378" i="5"/>
  <c r="Q378" i="5"/>
  <c r="P378" i="5"/>
  <c r="O378" i="5"/>
  <c r="N378" i="5"/>
  <c r="M378" i="5"/>
  <c r="L378" i="5"/>
  <c r="K378" i="5"/>
  <c r="J378" i="5"/>
  <c r="I378" i="5"/>
  <c r="G378" i="5"/>
  <c r="F378" i="5"/>
  <c r="E378" i="5"/>
  <c r="D378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G385" i="5"/>
  <c r="F385" i="5"/>
  <c r="E385" i="5"/>
  <c r="D385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G410" i="5"/>
  <c r="F410" i="5"/>
  <c r="E410" i="5"/>
  <c r="D410" i="5"/>
  <c r="AD381" i="5"/>
  <c r="AA381" i="5"/>
  <c r="Y381" i="5"/>
  <c r="W381" i="5"/>
  <c r="V381" i="5"/>
  <c r="S381" i="5"/>
  <c r="R381" i="5"/>
  <c r="P381" i="5"/>
  <c r="N381" i="5"/>
  <c r="L381" i="5"/>
  <c r="K381" i="5"/>
  <c r="G381" i="5"/>
  <c r="E381" i="5"/>
  <c r="D381" i="5"/>
  <c r="AE381" i="5"/>
  <c r="AC381" i="5"/>
  <c r="AB381" i="5"/>
  <c r="Z381" i="5"/>
  <c r="X381" i="5"/>
  <c r="U381" i="5"/>
  <c r="T381" i="5"/>
  <c r="Q381" i="5"/>
  <c r="O381" i="5"/>
  <c r="M381" i="5"/>
  <c r="J381" i="5"/>
  <c r="I381" i="5"/>
  <c r="H381" i="5"/>
  <c r="F381" i="5"/>
  <c r="AC387" i="5"/>
  <c r="W387" i="5"/>
  <c r="S387" i="5"/>
  <c r="O387" i="5"/>
  <c r="K387" i="5"/>
  <c r="H387" i="5"/>
  <c r="AA387" i="5"/>
  <c r="Z387" i="5"/>
  <c r="Y387" i="5"/>
  <c r="X387" i="5"/>
  <c r="U387" i="5"/>
  <c r="T387" i="5"/>
  <c r="M387" i="5"/>
  <c r="J387" i="5"/>
  <c r="E387" i="5"/>
  <c r="AD387" i="5"/>
  <c r="R387" i="5"/>
  <c r="P387" i="5"/>
  <c r="L387" i="5"/>
  <c r="F387" i="5"/>
  <c r="AE387" i="5"/>
  <c r="AB387" i="5"/>
  <c r="V387" i="5"/>
  <c r="Q387" i="5"/>
  <c r="N387" i="5"/>
  <c r="I387" i="5"/>
  <c r="G387" i="5"/>
  <c r="D387" i="5"/>
  <c r="AC392" i="5"/>
  <c r="AA392" i="5"/>
  <c r="X392" i="5"/>
  <c r="W392" i="5"/>
  <c r="U392" i="5"/>
  <c r="S392" i="5"/>
  <c r="Q392" i="5"/>
  <c r="P392" i="5"/>
  <c r="M392" i="5"/>
  <c r="L392" i="5"/>
  <c r="K392" i="5"/>
  <c r="J392" i="5"/>
  <c r="I392" i="5"/>
  <c r="H392" i="5"/>
  <c r="G392" i="5"/>
  <c r="F392" i="5"/>
  <c r="D392" i="5"/>
  <c r="AE392" i="5"/>
  <c r="AD392" i="5"/>
  <c r="AB392" i="5"/>
  <c r="Z392" i="5"/>
  <c r="Y392" i="5"/>
  <c r="V392" i="5"/>
  <c r="T392" i="5"/>
  <c r="R392" i="5"/>
  <c r="O392" i="5"/>
  <c r="N392" i="5"/>
  <c r="E392" i="5"/>
  <c r="AE393" i="5"/>
  <c r="X393" i="5"/>
  <c r="K393" i="5"/>
  <c r="H393" i="5"/>
  <c r="G393" i="5"/>
  <c r="D393" i="5"/>
  <c r="AB393" i="5"/>
  <c r="V393" i="5"/>
  <c r="O393" i="5"/>
  <c r="AD393" i="5"/>
  <c r="S393" i="5"/>
  <c r="Q393" i="5"/>
  <c r="P393" i="5"/>
  <c r="N393" i="5"/>
  <c r="L393" i="5"/>
  <c r="J393" i="5"/>
  <c r="I393" i="5"/>
  <c r="F393" i="5"/>
  <c r="E393" i="5"/>
  <c r="AC393" i="5"/>
  <c r="AA393" i="5"/>
  <c r="Z393" i="5"/>
  <c r="Y393" i="5"/>
  <c r="W393" i="5"/>
  <c r="U393" i="5"/>
  <c r="T393" i="5"/>
  <c r="R393" i="5"/>
  <c r="M393" i="5"/>
  <c r="AE394" i="5"/>
  <c r="AB394" i="5"/>
  <c r="Z394" i="5"/>
  <c r="X394" i="5"/>
  <c r="W394" i="5"/>
  <c r="V394" i="5"/>
  <c r="U394" i="5"/>
  <c r="T394" i="5"/>
  <c r="S394" i="5"/>
  <c r="R394" i="5"/>
  <c r="Q394" i="5"/>
  <c r="O394" i="5"/>
  <c r="M394" i="5"/>
  <c r="J394" i="5"/>
  <c r="H394" i="5"/>
  <c r="G394" i="5"/>
  <c r="E394" i="5"/>
  <c r="AD394" i="5"/>
  <c r="AC394" i="5"/>
  <c r="AA394" i="5"/>
  <c r="Y394" i="5"/>
  <c r="P394" i="5"/>
  <c r="N394" i="5"/>
  <c r="L394" i="5"/>
  <c r="K394" i="5"/>
  <c r="I394" i="5"/>
  <c r="F394" i="5"/>
  <c r="D394" i="5"/>
  <c r="AD395" i="5"/>
  <c r="AA395" i="5"/>
  <c r="Y395" i="5"/>
  <c r="X395" i="5"/>
  <c r="U395" i="5"/>
  <c r="S395" i="5"/>
  <c r="Q395" i="5"/>
  <c r="O395" i="5"/>
  <c r="N395" i="5"/>
  <c r="M395" i="5"/>
  <c r="L395" i="5"/>
  <c r="K395" i="5"/>
  <c r="J395" i="5"/>
  <c r="I395" i="5"/>
  <c r="G395" i="5"/>
  <c r="F395" i="5"/>
  <c r="D395" i="5"/>
  <c r="AE395" i="5"/>
  <c r="AC395" i="5"/>
  <c r="AB395" i="5"/>
  <c r="Z395" i="5"/>
  <c r="W395" i="5"/>
  <c r="V395" i="5"/>
  <c r="T395" i="5"/>
  <c r="R395" i="5"/>
  <c r="P395" i="5"/>
  <c r="H395" i="5"/>
  <c r="E395" i="5"/>
  <c r="AB396" i="5"/>
  <c r="S396" i="5"/>
  <c r="O396" i="5"/>
  <c r="M396" i="5"/>
  <c r="I396" i="5"/>
  <c r="H396" i="5"/>
  <c r="G396" i="5"/>
  <c r="F396" i="5"/>
  <c r="E396" i="5"/>
  <c r="D396" i="5"/>
  <c r="AE396" i="5"/>
  <c r="AD396" i="5"/>
  <c r="AC396" i="5"/>
  <c r="AA396" i="5"/>
  <c r="Z396" i="5"/>
  <c r="Y396" i="5"/>
  <c r="X396" i="5"/>
  <c r="W396" i="5"/>
  <c r="V396" i="5"/>
  <c r="U396" i="5"/>
  <c r="T396" i="5"/>
  <c r="R396" i="5"/>
  <c r="Q396" i="5"/>
  <c r="P396" i="5"/>
  <c r="N396" i="5"/>
  <c r="L396" i="5"/>
  <c r="K396" i="5"/>
  <c r="J396" i="5"/>
  <c r="AE397" i="5"/>
  <c r="AD397" i="5"/>
  <c r="AC397" i="5"/>
  <c r="AB397" i="5"/>
  <c r="AA397" i="5"/>
  <c r="Z397" i="5"/>
  <c r="Y397" i="5"/>
  <c r="X397" i="5"/>
  <c r="V397" i="5"/>
  <c r="U397" i="5"/>
  <c r="S397" i="5"/>
  <c r="Q397" i="5"/>
  <c r="K397" i="5"/>
  <c r="E397" i="5"/>
  <c r="D397" i="5"/>
  <c r="W397" i="5"/>
  <c r="T397" i="5"/>
  <c r="R397" i="5"/>
  <c r="P397" i="5"/>
  <c r="O397" i="5"/>
  <c r="N397" i="5"/>
  <c r="M397" i="5"/>
  <c r="L397" i="5"/>
  <c r="J397" i="5"/>
  <c r="I397" i="5"/>
  <c r="H397" i="5"/>
  <c r="G397" i="5"/>
  <c r="F397" i="5"/>
  <c r="W398" i="5"/>
  <c r="T398" i="5"/>
  <c r="S398" i="5"/>
  <c r="R398" i="5"/>
  <c r="N398" i="5"/>
  <c r="D398" i="5"/>
  <c r="E398" i="5"/>
  <c r="AE398" i="5"/>
  <c r="AD398" i="5"/>
  <c r="AC398" i="5"/>
  <c r="AB398" i="5"/>
  <c r="AA398" i="5"/>
  <c r="Z398" i="5"/>
  <c r="Y398" i="5"/>
  <c r="X398" i="5"/>
  <c r="V398" i="5"/>
  <c r="U398" i="5"/>
  <c r="Q398" i="5"/>
  <c r="P398" i="5"/>
  <c r="O398" i="5"/>
  <c r="M398" i="5"/>
  <c r="L398" i="5"/>
  <c r="K398" i="5"/>
  <c r="J398" i="5"/>
  <c r="H398" i="5"/>
  <c r="G398" i="5"/>
  <c r="F398" i="5"/>
  <c r="I398" i="5"/>
  <c r="AE399" i="5"/>
  <c r="AD399" i="5"/>
  <c r="AC399" i="5"/>
  <c r="AB399" i="5"/>
  <c r="AA399" i="5"/>
  <c r="Z399" i="5"/>
  <c r="Y399" i="5"/>
  <c r="X399" i="5"/>
  <c r="W399" i="5"/>
  <c r="V399" i="5"/>
  <c r="U399" i="5"/>
  <c r="T399" i="5"/>
  <c r="S399" i="5"/>
  <c r="R399" i="5"/>
  <c r="Q399" i="5"/>
  <c r="P399" i="5"/>
  <c r="O399" i="5"/>
  <c r="N399" i="5"/>
  <c r="M399" i="5"/>
  <c r="L399" i="5"/>
  <c r="K399" i="5"/>
  <c r="J399" i="5"/>
  <c r="I399" i="5"/>
  <c r="H399" i="5"/>
  <c r="G399" i="5"/>
  <c r="F399" i="5"/>
  <c r="E399" i="5"/>
  <c r="D399" i="5"/>
  <c r="AE400" i="5"/>
  <c r="AD400" i="5"/>
  <c r="AC400" i="5"/>
  <c r="AB400" i="5"/>
  <c r="AA400" i="5"/>
  <c r="Z400" i="5"/>
  <c r="Y400" i="5"/>
  <c r="X400" i="5"/>
  <c r="W400" i="5"/>
  <c r="V400" i="5"/>
  <c r="U400" i="5"/>
  <c r="T400" i="5"/>
  <c r="S400" i="5"/>
  <c r="R400" i="5"/>
  <c r="Q400" i="5"/>
  <c r="P400" i="5"/>
  <c r="O400" i="5"/>
  <c r="N400" i="5"/>
  <c r="M400" i="5"/>
  <c r="L400" i="5"/>
  <c r="K400" i="5"/>
  <c r="J400" i="5"/>
  <c r="I400" i="5"/>
  <c r="H400" i="5"/>
  <c r="G400" i="5"/>
  <c r="F400" i="5"/>
  <c r="E400" i="5"/>
  <c r="D400" i="5"/>
  <c r="AE401" i="5"/>
  <c r="AD401" i="5"/>
  <c r="AC401" i="5"/>
  <c r="AB401" i="5"/>
  <c r="AA401" i="5"/>
  <c r="Z401" i="5"/>
  <c r="Y401" i="5"/>
  <c r="X401" i="5"/>
  <c r="W401" i="5"/>
  <c r="V401" i="5"/>
  <c r="U401" i="5"/>
  <c r="T401" i="5"/>
  <c r="S401" i="5"/>
  <c r="R401" i="5"/>
  <c r="Q401" i="5"/>
  <c r="P401" i="5"/>
  <c r="O401" i="5"/>
  <c r="N401" i="5"/>
  <c r="M401" i="5"/>
  <c r="L401" i="5"/>
  <c r="K401" i="5"/>
  <c r="J401" i="5"/>
  <c r="I401" i="5"/>
  <c r="H401" i="5"/>
  <c r="G401" i="5"/>
  <c r="F401" i="5"/>
  <c r="E401" i="5"/>
  <c r="D401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G386" i="5"/>
  <c r="F386" i="5"/>
  <c r="E386" i="5"/>
  <c r="D386" i="5"/>
  <c r="AE379" i="5"/>
  <c r="AD379" i="5"/>
  <c r="AC379" i="5"/>
  <c r="AB379" i="5"/>
  <c r="Z379" i="5"/>
  <c r="X379" i="5"/>
  <c r="V379" i="5"/>
  <c r="U379" i="5"/>
  <c r="S379" i="5"/>
  <c r="H379" i="5"/>
  <c r="D379" i="5"/>
  <c r="AA379" i="5"/>
  <c r="Y379" i="5"/>
  <c r="W379" i="5"/>
  <c r="T379" i="5"/>
  <c r="R379" i="5"/>
  <c r="Q379" i="5"/>
  <c r="P379" i="5"/>
  <c r="O379" i="5"/>
  <c r="N379" i="5"/>
  <c r="M379" i="5"/>
  <c r="L379" i="5"/>
  <c r="K379" i="5"/>
  <c r="J379" i="5"/>
  <c r="I379" i="5"/>
  <c r="G379" i="5"/>
  <c r="F379" i="5"/>
  <c r="E379" i="5"/>
  <c r="AE380" i="5"/>
  <c r="AD380" i="5"/>
  <c r="AC380" i="5"/>
  <c r="AB380" i="5"/>
  <c r="AA380" i="5"/>
  <c r="Z380" i="5"/>
  <c r="Y380" i="5"/>
  <c r="X380" i="5"/>
  <c r="W380" i="5"/>
  <c r="V380" i="5"/>
  <c r="U380" i="5"/>
  <c r="T380" i="5"/>
  <c r="S380" i="5"/>
  <c r="R380" i="5"/>
  <c r="Q380" i="5"/>
  <c r="P380" i="5"/>
  <c r="O380" i="5"/>
  <c r="N380" i="5"/>
  <c r="L380" i="5"/>
  <c r="M380" i="5"/>
  <c r="K380" i="5"/>
  <c r="J380" i="5"/>
  <c r="I380" i="5"/>
  <c r="H380" i="5"/>
  <c r="G380" i="5"/>
  <c r="F380" i="5"/>
  <c r="E380" i="5"/>
  <c r="D380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G383" i="5"/>
  <c r="F383" i="5"/>
  <c r="E383" i="5"/>
  <c r="D383" i="5"/>
  <c r="Z389" i="5"/>
  <c r="X389" i="5"/>
  <c r="U389" i="5"/>
  <c r="R389" i="5"/>
  <c r="P389" i="5"/>
  <c r="O389" i="5"/>
  <c r="I389" i="5"/>
  <c r="H389" i="5"/>
  <c r="E389" i="5"/>
  <c r="AE389" i="5"/>
  <c r="Y389" i="5"/>
  <c r="Q389" i="5"/>
  <c r="L389" i="5"/>
  <c r="K389" i="5"/>
  <c r="F389" i="5"/>
  <c r="AD389" i="5"/>
  <c r="AC389" i="5"/>
  <c r="W389" i="5"/>
  <c r="S389" i="5"/>
  <c r="N389" i="5"/>
  <c r="M389" i="5"/>
  <c r="J389" i="5"/>
  <c r="D389" i="5"/>
  <c r="AB389" i="5"/>
  <c r="AA389" i="5"/>
  <c r="V389" i="5"/>
  <c r="T389" i="5"/>
  <c r="G389" i="5"/>
  <c r="AC382" i="5"/>
  <c r="AA382" i="5"/>
  <c r="Y382" i="5"/>
  <c r="L382" i="5"/>
  <c r="AE382" i="5"/>
  <c r="AD382" i="5"/>
  <c r="AB382" i="5"/>
  <c r="Z382" i="5"/>
  <c r="X382" i="5"/>
  <c r="W382" i="5"/>
  <c r="V382" i="5"/>
  <c r="U382" i="5"/>
  <c r="T382" i="5"/>
  <c r="S382" i="5"/>
  <c r="R382" i="5"/>
  <c r="Q382" i="5"/>
  <c r="P382" i="5"/>
  <c r="O382" i="5"/>
  <c r="N382" i="5"/>
  <c r="M382" i="5"/>
  <c r="K382" i="5"/>
  <c r="J382" i="5"/>
  <c r="I382" i="5"/>
  <c r="H382" i="5"/>
  <c r="G382" i="5"/>
  <c r="F382" i="5"/>
  <c r="E382" i="5"/>
  <c r="D382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G408" i="5"/>
  <c r="F408" i="5"/>
  <c r="E408" i="5"/>
  <c r="D408" i="5"/>
  <c r="T63" i="1"/>
  <c r="T97" i="1" s="1"/>
  <c r="Y63" i="1"/>
  <c r="Y97" i="1" s="1"/>
  <c r="AA63" i="1"/>
  <c r="AA97" i="1" s="1"/>
  <c r="W63" i="1"/>
  <c r="W97" i="1" s="1"/>
  <c r="D63" i="1"/>
  <c r="D97" i="1" s="1"/>
  <c r="E63" i="1"/>
  <c r="E97" i="1" s="1"/>
  <c r="F63" i="1"/>
  <c r="F97" i="1" s="1"/>
  <c r="G63" i="1"/>
  <c r="G97" i="1" s="1"/>
  <c r="H63" i="1"/>
  <c r="H97" i="1" s="1"/>
  <c r="I63" i="1"/>
  <c r="I97" i="1" s="1"/>
  <c r="J63" i="1"/>
  <c r="J97" i="1" s="1"/>
  <c r="K63" i="1"/>
  <c r="K97" i="1" s="1"/>
  <c r="V63" i="1"/>
  <c r="V97" i="1" s="1"/>
  <c r="AB63" i="1"/>
  <c r="AB97" i="1" s="1"/>
  <c r="AC63" i="1"/>
  <c r="AC97" i="1" s="1"/>
  <c r="L63" i="1"/>
  <c r="L97" i="1" s="1"/>
  <c r="M63" i="1"/>
  <c r="M97" i="1" s="1"/>
  <c r="N63" i="1"/>
  <c r="N97" i="1" s="1"/>
  <c r="O63" i="1"/>
  <c r="O97" i="1" s="1"/>
  <c r="P63" i="1"/>
  <c r="P97" i="1" s="1"/>
  <c r="Q63" i="1"/>
  <c r="Q97" i="1" s="1"/>
  <c r="R63" i="1"/>
  <c r="R97" i="1" s="1"/>
  <c r="S63" i="1"/>
  <c r="S97" i="1" s="1"/>
  <c r="AD63" i="1"/>
  <c r="AD97" i="1" s="1"/>
  <c r="U63" i="1"/>
  <c r="U97" i="1" s="1"/>
  <c r="AE63" i="1"/>
  <c r="AE97" i="1" s="1"/>
  <c r="X63" i="1"/>
  <c r="X97" i="1" s="1"/>
  <c r="Z63" i="1"/>
  <c r="Z97" i="1" s="1"/>
  <c r="AE377" i="5"/>
  <c r="AD377" i="5"/>
  <c r="AC377" i="5"/>
  <c r="AA377" i="5"/>
  <c r="Y377" i="5"/>
  <c r="W377" i="5"/>
  <c r="S377" i="5"/>
  <c r="R377" i="5"/>
  <c r="P377" i="5"/>
  <c r="O377" i="5"/>
  <c r="M377" i="5"/>
  <c r="L377" i="5"/>
  <c r="J377" i="5"/>
  <c r="I377" i="5"/>
  <c r="E377" i="5"/>
  <c r="D377" i="5"/>
  <c r="AB377" i="5"/>
  <c r="Z377" i="5"/>
  <c r="X377" i="5"/>
  <c r="V377" i="5"/>
  <c r="U377" i="5"/>
  <c r="T377" i="5"/>
  <c r="Q377" i="5"/>
  <c r="N377" i="5"/>
  <c r="K377" i="5"/>
  <c r="H377" i="5"/>
  <c r="G377" i="5"/>
  <c r="F377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G384" i="5"/>
  <c r="F384" i="5"/>
  <c r="E384" i="5"/>
  <c r="D384" i="5"/>
  <c r="X403" i="5"/>
  <c r="T403" i="5"/>
  <c r="I403" i="5"/>
  <c r="AB403" i="5"/>
  <c r="AA403" i="5"/>
  <c r="Z403" i="5"/>
  <c r="P403" i="5"/>
  <c r="K403" i="5"/>
  <c r="F403" i="5"/>
  <c r="J403" i="5"/>
  <c r="AE403" i="5"/>
  <c r="Y403" i="5"/>
  <c r="U403" i="5"/>
  <c r="Q403" i="5"/>
  <c r="N403" i="5"/>
  <c r="H403" i="5"/>
  <c r="D403" i="5"/>
  <c r="V403" i="5"/>
  <c r="O403" i="5"/>
  <c r="E403" i="5"/>
  <c r="S403" i="5"/>
  <c r="M403" i="5"/>
  <c r="G403" i="5"/>
  <c r="AD403" i="5"/>
  <c r="AC403" i="5"/>
  <c r="W403" i="5"/>
  <c r="R403" i="5"/>
  <c r="L403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G409" i="5"/>
  <c r="F409" i="5"/>
  <c r="E409" i="5"/>
  <c r="D409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F413" i="5"/>
  <c r="E413" i="5"/>
  <c r="D413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G415" i="5"/>
  <c r="F415" i="5"/>
  <c r="E415" i="5"/>
  <c r="D415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G416" i="5"/>
  <c r="F416" i="5"/>
  <c r="E416" i="5"/>
  <c r="D416" i="5"/>
  <c r="AE402" i="5"/>
  <c r="AD402" i="5"/>
  <c r="AC402" i="5"/>
  <c r="AB402" i="5"/>
  <c r="AA402" i="5"/>
  <c r="Z402" i="5"/>
  <c r="Y402" i="5"/>
  <c r="X402" i="5"/>
  <c r="W402" i="5"/>
  <c r="V402" i="5"/>
  <c r="U402" i="5"/>
  <c r="T402" i="5"/>
  <c r="S402" i="5"/>
  <c r="R402" i="5"/>
  <c r="Q402" i="5"/>
  <c r="P402" i="5"/>
  <c r="O402" i="5"/>
  <c r="N402" i="5"/>
  <c r="M402" i="5"/>
  <c r="L402" i="5"/>
  <c r="K402" i="5"/>
  <c r="J402" i="5"/>
  <c r="I402" i="5"/>
  <c r="H402" i="5"/>
  <c r="G402" i="5"/>
  <c r="F402" i="5"/>
  <c r="E402" i="5"/>
  <c r="D402" i="5"/>
  <c r="J404" i="5"/>
  <c r="F404" i="5"/>
  <c r="X404" i="5"/>
  <c r="T404" i="5"/>
  <c r="S404" i="5"/>
  <c r="N404" i="5"/>
  <c r="D404" i="5"/>
  <c r="W404" i="5"/>
  <c r="O404" i="5"/>
  <c r="AD404" i="5"/>
  <c r="AB404" i="5"/>
  <c r="V404" i="5"/>
  <c r="M404" i="5"/>
  <c r="H404" i="5"/>
  <c r="AA404" i="5"/>
  <c r="P404" i="5"/>
  <c r="E404" i="5"/>
  <c r="AE404" i="5"/>
  <c r="Z404" i="5"/>
  <c r="U404" i="5"/>
  <c r="Q404" i="5"/>
  <c r="K404" i="5"/>
  <c r="G404" i="5"/>
  <c r="AC404" i="5"/>
  <c r="Y404" i="5"/>
  <c r="R404" i="5"/>
  <c r="L404" i="5"/>
  <c r="I404" i="5"/>
  <c r="AD407" i="5"/>
  <c r="AC407" i="5"/>
  <c r="AB407" i="5"/>
  <c r="AA407" i="5"/>
  <c r="Z407" i="5"/>
  <c r="X407" i="5"/>
  <c r="V407" i="5"/>
  <c r="R407" i="5"/>
  <c r="P407" i="5"/>
  <c r="N407" i="5"/>
  <c r="L407" i="5"/>
  <c r="K407" i="5"/>
  <c r="H407" i="5"/>
  <c r="F407" i="5"/>
  <c r="U407" i="5"/>
  <c r="T407" i="5"/>
  <c r="S407" i="5"/>
  <c r="Q407" i="5"/>
  <c r="I407" i="5"/>
  <c r="E407" i="5"/>
  <c r="AE407" i="5"/>
  <c r="Y407" i="5"/>
  <c r="W407" i="5"/>
  <c r="O407" i="5"/>
  <c r="M407" i="5"/>
  <c r="J407" i="5"/>
  <c r="G407" i="5"/>
  <c r="D407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G411" i="5"/>
  <c r="F411" i="5"/>
  <c r="E411" i="5"/>
  <c r="D411" i="5"/>
  <c r="R388" i="5"/>
  <c r="O388" i="5"/>
  <c r="J388" i="5"/>
  <c r="F388" i="5"/>
  <c r="AE388" i="5"/>
  <c r="AD388" i="5"/>
  <c r="Z388" i="5"/>
  <c r="X388" i="5"/>
  <c r="W388" i="5"/>
  <c r="V388" i="5"/>
  <c r="P388" i="5"/>
  <c r="M388" i="5"/>
  <c r="K388" i="5"/>
  <c r="H388" i="5"/>
  <c r="E388" i="5"/>
  <c r="AC388" i="5"/>
  <c r="Y388" i="5"/>
  <c r="U388" i="5"/>
  <c r="T388" i="5"/>
  <c r="Q388" i="5"/>
  <c r="L388" i="5"/>
  <c r="G388" i="5"/>
  <c r="D388" i="5"/>
  <c r="AB388" i="5"/>
  <c r="AA388" i="5"/>
  <c r="S388" i="5"/>
  <c r="N388" i="5"/>
  <c r="I388" i="5"/>
  <c r="AC390" i="5"/>
  <c r="S390" i="5"/>
  <c r="K390" i="5"/>
  <c r="H390" i="5"/>
  <c r="G390" i="5"/>
  <c r="D390" i="5"/>
  <c r="AE390" i="5"/>
  <c r="T390" i="5"/>
  <c r="J390" i="5"/>
  <c r="F390" i="5"/>
  <c r="AD390" i="5"/>
  <c r="AB390" i="5"/>
  <c r="AA390" i="5"/>
  <c r="Z390" i="5"/>
  <c r="Y390" i="5"/>
  <c r="X390" i="5"/>
  <c r="W390" i="5"/>
  <c r="V390" i="5"/>
  <c r="U390" i="5"/>
  <c r="R390" i="5"/>
  <c r="Q390" i="5"/>
  <c r="P390" i="5"/>
  <c r="O390" i="5"/>
  <c r="N390" i="5"/>
  <c r="M390" i="5"/>
  <c r="L390" i="5"/>
  <c r="I390" i="5"/>
  <c r="E390" i="5"/>
  <c r="AC391" i="5"/>
  <c r="W391" i="5"/>
  <c r="R391" i="5"/>
  <c r="M391" i="5"/>
  <c r="F391" i="5"/>
  <c r="Z391" i="5"/>
  <c r="AA391" i="5"/>
  <c r="Q391" i="5"/>
  <c r="P391" i="5"/>
  <c r="O391" i="5"/>
  <c r="E391" i="5"/>
  <c r="AE391" i="5"/>
  <c r="AB391" i="5"/>
  <c r="AD391" i="5"/>
  <c r="U391" i="5"/>
  <c r="T391" i="5"/>
  <c r="S391" i="5"/>
  <c r="L391" i="5"/>
  <c r="K391" i="5"/>
  <c r="J391" i="5"/>
  <c r="I391" i="5"/>
  <c r="H391" i="5"/>
  <c r="D391" i="5"/>
  <c r="Y391" i="5"/>
  <c r="X391" i="5"/>
  <c r="V391" i="5"/>
  <c r="N391" i="5"/>
  <c r="G391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G412" i="5"/>
  <c r="F412" i="5"/>
  <c r="E412" i="5"/>
  <c r="D412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G414" i="5"/>
  <c r="F414" i="5"/>
  <c r="E414" i="5"/>
  <c r="D414" i="5"/>
  <c r="K344" i="5"/>
  <c r="U344" i="5"/>
  <c r="X344" i="5"/>
  <c r="Z344" i="5"/>
  <c r="Q344" i="5"/>
  <c r="H344" i="5"/>
  <c r="AA344" i="5"/>
  <c r="J344" i="5"/>
  <c r="S344" i="5"/>
  <c r="M344" i="5"/>
  <c r="AE344" i="5"/>
  <c r="AD344" i="5"/>
  <c r="W344" i="5"/>
  <c r="P344" i="5"/>
  <c r="AB344" i="5"/>
  <c r="G344" i="5"/>
  <c r="I344" i="5"/>
  <c r="N344" i="5"/>
  <c r="T344" i="5"/>
  <c r="F344" i="5"/>
  <c r="E344" i="5"/>
  <c r="O344" i="5"/>
  <c r="V344" i="5"/>
  <c r="Y344" i="5"/>
  <c r="D344" i="5"/>
  <c r="R344" i="5"/>
  <c r="L344" i="5"/>
  <c r="AC344" i="5"/>
  <c r="W349" i="5"/>
  <c r="M349" i="5"/>
  <c r="Z349" i="5"/>
  <c r="P349" i="5"/>
  <c r="K349" i="5"/>
  <c r="I349" i="5"/>
  <c r="G349" i="5"/>
  <c r="D349" i="5"/>
  <c r="AA349" i="5"/>
  <c r="AD349" i="5"/>
  <c r="U349" i="5"/>
  <c r="L349" i="5"/>
  <c r="J349" i="5"/>
  <c r="F349" i="5"/>
  <c r="AC349" i="5"/>
  <c r="V349" i="5"/>
  <c r="AB349" i="5"/>
  <c r="R349" i="5"/>
  <c r="O349" i="5"/>
  <c r="AE349" i="5"/>
  <c r="N349" i="5"/>
  <c r="Y349" i="5"/>
  <c r="X349" i="5"/>
  <c r="T349" i="5"/>
  <c r="S349" i="5"/>
  <c r="Q349" i="5"/>
  <c r="H349" i="5"/>
  <c r="E349" i="5"/>
  <c r="P362" i="5"/>
  <c r="O362" i="5"/>
  <c r="L362" i="5"/>
  <c r="J362" i="5"/>
  <c r="H362" i="5"/>
  <c r="AE362" i="5"/>
  <c r="AB362" i="5"/>
  <c r="AA362" i="5"/>
  <c r="X362" i="5"/>
  <c r="W362" i="5"/>
  <c r="T362" i="5"/>
  <c r="N362" i="5"/>
  <c r="I362" i="5"/>
  <c r="AD362" i="5"/>
  <c r="AC362" i="5"/>
  <c r="Z362" i="5"/>
  <c r="Y362" i="5"/>
  <c r="V362" i="5"/>
  <c r="U362" i="5"/>
  <c r="S362" i="5"/>
  <c r="R362" i="5"/>
  <c r="Q362" i="5"/>
  <c r="M362" i="5"/>
  <c r="K362" i="5"/>
  <c r="G362" i="5"/>
  <c r="F362" i="5"/>
  <c r="E362" i="5"/>
  <c r="D362" i="5"/>
  <c r="AA366" i="5"/>
  <c r="E366" i="5"/>
  <c r="Q366" i="5"/>
  <c r="AB366" i="5"/>
  <c r="O366" i="5"/>
  <c r="M366" i="5"/>
  <c r="J366" i="5"/>
  <c r="AE366" i="5"/>
  <c r="W366" i="5"/>
  <c r="V366" i="5"/>
  <c r="T366" i="5"/>
  <c r="S366" i="5"/>
  <c r="AC366" i="5"/>
  <c r="D366" i="5"/>
  <c r="X366" i="5"/>
  <c r="R366" i="5"/>
  <c r="N366" i="5"/>
  <c r="L366" i="5"/>
  <c r="K366" i="5"/>
  <c r="F366" i="5"/>
  <c r="Y366" i="5"/>
  <c r="P366" i="5"/>
  <c r="I366" i="5"/>
  <c r="U366" i="5"/>
  <c r="H366" i="5"/>
  <c r="AD366" i="5"/>
  <c r="Z366" i="5"/>
  <c r="G366" i="5"/>
  <c r="AE373" i="5"/>
  <c r="AC373" i="5"/>
  <c r="AB373" i="5"/>
  <c r="Y373" i="5"/>
  <c r="X373" i="5"/>
  <c r="V373" i="5"/>
  <c r="S373" i="5"/>
  <c r="Q373" i="5"/>
  <c r="P373" i="5"/>
  <c r="N373" i="5"/>
  <c r="M373" i="5"/>
  <c r="K373" i="5"/>
  <c r="F373" i="5"/>
  <c r="AD373" i="5"/>
  <c r="AA373" i="5"/>
  <c r="Z373" i="5"/>
  <c r="W373" i="5"/>
  <c r="U373" i="5"/>
  <c r="T373" i="5"/>
  <c r="R373" i="5"/>
  <c r="O373" i="5"/>
  <c r="L373" i="5"/>
  <c r="J373" i="5"/>
  <c r="I373" i="5"/>
  <c r="H373" i="5"/>
  <c r="G373" i="5"/>
  <c r="E373" i="5"/>
  <c r="D373" i="5"/>
  <c r="F338" i="5"/>
  <c r="M338" i="5"/>
  <c r="AC338" i="5"/>
  <c r="O338" i="5"/>
  <c r="H338" i="5"/>
  <c r="Z338" i="5"/>
  <c r="N338" i="5"/>
  <c r="Y338" i="5"/>
  <c r="X338" i="5"/>
  <c r="Q338" i="5"/>
  <c r="G338" i="5"/>
  <c r="K338" i="5"/>
  <c r="R338" i="5"/>
  <c r="AD338" i="5"/>
  <c r="W338" i="5"/>
  <c r="L338" i="5"/>
  <c r="D338" i="5"/>
  <c r="J338" i="5"/>
  <c r="V338" i="5"/>
  <c r="AE338" i="5"/>
  <c r="AB338" i="5"/>
  <c r="S338" i="5"/>
  <c r="AA338" i="5"/>
  <c r="T338" i="5"/>
  <c r="I338" i="5"/>
  <c r="E338" i="5"/>
  <c r="P338" i="5"/>
  <c r="U338" i="5"/>
  <c r="K339" i="5"/>
  <c r="L339" i="5"/>
  <c r="S339" i="5"/>
  <c r="N339" i="5"/>
  <c r="H339" i="5"/>
  <c r="P339" i="5"/>
  <c r="Z339" i="5"/>
  <c r="AB339" i="5"/>
  <c r="AD339" i="5"/>
  <c r="U339" i="5"/>
  <c r="O339" i="5"/>
  <c r="T339" i="5"/>
  <c r="AA339" i="5"/>
  <c r="X339" i="5"/>
  <c r="D339" i="5"/>
  <c r="Y339" i="5"/>
  <c r="G339" i="5"/>
  <c r="F339" i="5"/>
  <c r="W339" i="5"/>
  <c r="R339" i="5"/>
  <c r="E339" i="5"/>
  <c r="I339" i="5"/>
  <c r="M339" i="5"/>
  <c r="J339" i="5"/>
  <c r="AE339" i="5"/>
  <c r="V339" i="5"/>
  <c r="AC339" i="5"/>
  <c r="Q339" i="5"/>
  <c r="AB342" i="5"/>
  <c r="AC342" i="5"/>
  <c r="AE342" i="5"/>
  <c r="X342" i="5"/>
  <c r="Z342" i="5"/>
  <c r="D342" i="5"/>
  <c r="I342" i="5"/>
  <c r="R342" i="5"/>
  <c r="O342" i="5"/>
  <c r="V342" i="5"/>
  <c r="Q342" i="5"/>
  <c r="S342" i="5"/>
  <c r="P342" i="5"/>
  <c r="W342" i="5"/>
  <c r="H342" i="5"/>
  <c r="F342" i="5"/>
  <c r="K342" i="5"/>
  <c r="L342" i="5"/>
  <c r="M342" i="5"/>
  <c r="N342" i="5"/>
  <c r="AA342" i="5"/>
  <c r="AD342" i="5"/>
  <c r="U342" i="5"/>
  <c r="T342" i="5"/>
  <c r="Y342" i="5"/>
  <c r="E342" i="5"/>
  <c r="G342" i="5"/>
  <c r="J342" i="5"/>
  <c r="W363" i="5"/>
  <c r="V363" i="5"/>
  <c r="S363" i="5"/>
  <c r="P363" i="5"/>
  <c r="K363" i="5"/>
  <c r="E363" i="5"/>
  <c r="AE363" i="5"/>
  <c r="N363" i="5"/>
  <c r="J363" i="5"/>
  <c r="G363" i="5"/>
  <c r="F363" i="5"/>
  <c r="I363" i="5"/>
  <c r="AC363" i="5"/>
  <c r="X363" i="5"/>
  <c r="Y363" i="5"/>
  <c r="O363" i="5"/>
  <c r="H363" i="5"/>
  <c r="AB363" i="5"/>
  <c r="D363" i="5"/>
  <c r="AA363" i="5"/>
  <c r="T363" i="5"/>
  <c r="Q363" i="5"/>
  <c r="M363" i="5"/>
  <c r="Z363" i="5"/>
  <c r="AD363" i="5"/>
  <c r="U363" i="5"/>
  <c r="R363" i="5"/>
  <c r="L363" i="5"/>
  <c r="R365" i="5"/>
  <c r="O365" i="5"/>
  <c r="D365" i="5"/>
  <c r="AB365" i="5"/>
  <c r="Z365" i="5"/>
  <c r="Q365" i="5"/>
  <c r="F365" i="5"/>
  <c r="E365" i="5"/>
  <c r="W365" i="5"/>
  <c r="M365" i="5"/>
  <c r="AD365" i="5"/>
  <c r="AA365" i="5"/>
  <c r="X365" i="5"/>
  <c r="N365" i="5"/>
  <c r="H365" i="5"/>
  <c r="K365" i="5"/>
  <c r="V365" i="5"/>
  <c r="G365" i="5"/>
  <c r="P365" i="5"/>
  <c r="AC365" i="5"/>
  <c r="S365" i="5"/>
  <c r="U365" i="5"/>
  <c r="T365" i="5"/>
  <c r="J365" i="5"/>
  <c r="AE365" i="5"/>
  <c r="Y365" i="5"/>
  <c r="L365" i="5"/>
  <c r="I365" i="5"/>
  <c r="O367" i="5"/>
  <c r="W367" i="5"/>
  <c r="R367" i="5"/>
  <c r="Q367" i="5"/>
  <c r="M367" i="5"/>
  <c r="K367" i="5"/>
  <c r="AD367" i="5"/>
  <c r="AB367" i="5"/>
  <c r="T367" i="5"/>
  <c r="G367" i="5"/>
  <c r="X367" i="5"/>
  <c r="E367" i="5"/>
  <c r="D367" i="5"/>
  <c r="V367" i="5"/>
  <c r="S367" i="5"/>
  <c r="J367" i="5"/>
  <c r="H367" i="5"/>
  <c r="AA367" i="5"/>
  <c r="Z367" i="5"/>
  <c r="F367" i="5"/>
  <c r="U367" i="5"/>
  <c r="I367" i="5"/>
  <c r="N367" i="5"/>
  <c r="L367" i="5"/>
  <c r="AE367" i="5"/>
  <c r="AC367" i="5"/>
  <c r="Y367" i="5"/>
  <c r="P367" i="5"/>
  <c r="AE370" i="5"/>
  <c r="AC370" i="5"/>
  <c r="AB370" i="5"/>
  <c r="AA370" i="5"/>
  <c r="Z370" i="5"/>
  <c r="Y370" i="5"/>
  <c r="X370" i="5"/>
  <c r="W370" i="5"/>
  <c r="V370" i="5"/>
  <c r="U370" i="5"/>
  <c r="T370" i="5"/>
  <c r="S370" i="5"/>
  <c r="R370" i="5"/>
  <c r="Q370" i="5"/>
  <c r="P370" i="5"/>
  <c r="O370" i="5"/>
  <c r="M370" i="5"/>
  <c r="L370" i="5"/>
  <c r="J370" i="5"/>
  <c r="I370" i="5"/>
  <c r="H370" i="5"/>
  <c r="F370" i="5"/>
  <c r="AD370" i="5"/>
  <c r="N370" i="5"/>
  <c r="K370" i="5"/>
  <c r="D370" i="5"/>
  <c r="G370" i="5"/>
  <c r="E370" i="5"/>
  <c r="AE372" i="5"/>
  <c r="AD372" i="5"/>
  <c r="AC372" i="5"/>
  <c r="AB372" i="5"/>
  <c r="AA372" i="5"/>
  <c r="Z372" i="5"/>
  <c r="Y372" i="5"/>
  <c r="X372" i="5"/>
  <c r="V372" i="5"/>
  <c r="M372" i="5"/>
  <c r="K372" i="5"/>
  <c r="G372" i="5"/>
  <c r="D372" i="5"/>
  <c r="H372" i="5"/>
  <c r="W372" i="5"/>
  <c r="U372" i="5"/>
  <c r="T372" i="5"/>
  <c r="S372" i="5"/>
  <c r="R372" i="5"/>
  <c r="Q372" i="5"/>
  <c r="P372" i="5"/>
  <c r="O372" i="5"/>
  <c r="N372" i="5"/>
  <c r="L372" i="5"/>
  <c r="J372" i="5"/>
  <c r="I372" i="5"/>
  <c r="F372" i="5"/>
  <c r="E372" i="5"/>
  <c r="N347" i="5"/>
  <c r="AE347" i="5"/>
  <c r="AB347" i="5"/>
  <c r="Y347" i="5"/>
  <c r="V347" i="5"/>
  <c r="P347" i="5"/>
  <c r="O347" i="5"/>
  <c r="U347" i="5"/>
  <c r="AC347" i="5"/>
  <c r="S347" i="5"/>
  <c r="W347" i="5"/>
  <c r="X347" i="5"/>
  <c r="H347" i="5"/>
  <c r="R347" i="5"/>
  <c r="F347" i="5"/>
  <c r="D347" i="5"/>
  <c r="E347" i="5"/>
  <c r="Q347" i="5"/>
  <c r="K347" i="5"/>
  <c r="J347" i="5"/>
  <c r="L347" i="5"/>
  <c r="AA347" i="5"/>
  <c r="T347" i="5"/>
  <c r="G347" i="5"/>
  <c r="AD347" i="5"/>
  <c r="Z347" i="5"/>
  <c r="M347" i="5"/>
  <c r="I347" i="5"/>
  <c r="M60" i="1"/>
  <c r="M94" i="1" s="1"/>
  <c r="R60" i="1"/>
  <c r="R94" i="1" s="1"/>
  <c r="Q60" i="1"/>
  <c r="Q94" i="1" s="1"/>
  <c r="D60" i="1"/>
  <c r="D94" i="1" s="1"/>
  <c r="E60" i="1"/>
  <c r="E94" i="1" s="1"/>
  <c r="F60" i="1"/>
  <c r="F94" i="1" s="1"/>
  <c r="G60" i="1"/>
  <c r="G94" i="1" s="1"/>
  <c r="H60" i="1"/>
  <c r="H94" i="1" s="1"/>
  <c r="I60" i="1"/>
  <c r="I94" i="1" s="1"/>
  <c r="J60" i="1"/>
  <c r="J94" i="1" s="1"/>
  <c r="P60" i="1"/>
  <c r="P94" i="1" s="1"/>
  <c r="O60" i="1"/>
  <c r="O94" i="1" s="1"/>
  <c r="S60" i="1"/>
  <c r="S94" i="1" s="1"/>
  <c r="T60" i="1"/>
  <c r="T94" i="1" s="1"/>
  <c r="U60" i="1"/>
  <c r="U94" i="1" s="1"/>
  <c r="V60" i="1"/>
  <c r="V94" i="1" s="1"/>
  <c r="K60" i="1"/>
  <c r="K94" i="1" s="1"/>
  <c r="L60" i="1"/>
  <c r="L94" i="1" s="1"/>
  <c r="W60" i="1"/>
  <c r="W94" i="1" s="1"/>
  <c r="X60" i="1"/>
  <c r="X94" i="1" s="1"/>
  <c r="Y60" i="1"/>
  <c r="Y94" i="1" s="1"/>
  <c r="Z60" i="1"/>
  <c r="Z94" i="1" s="1"/>
  <c r="AA60" i="1"/>
  <c r="AA94" i="1" s="1"/>
  <c r="AB60" i="1"/>
  <c r="AB94" i="1" s="1"/>
  <c r="AC60" i="1"/>
  <c r="AC94" i="1" s="1"/>
  <c r="AD60" i="1"/>
  <c r="AD94" i="1" s="1"/>
  <c r="AE60" i="1"/>
  <c r="AE94" i="1" s="1"/>
  <c r="N60" i="1"/>
  <c r="N94" i="1" s="1"/>
  <c r="AE352" i="5"/>
  <c r="Z352" i="5"/>
  <c r="X352" i="5"/>
  <c r="W352" i="5"/>
  <c r="U352" i="5"/>
  <c r="T352" i="5"/>
  <c r="Q352" i="5"/>
  <c r="M352" i="5"/>
  <c r="L352" i="5"/>
  <c r="K352" i="5"/>
  <c r="H352" i="5"/>
  <c r="E352" i="5"/>
  <c r="D352" i="5"/>
  <c r="AC352" i="5"/>
  <c r="AB352" i="5"/>
  <c r="V352" i="5"/>
  <c r="R352" i="5"/>
  <c r="P352" i="5"/>
  <c r="N352" i="5"/>
  <c r="J352" i="5"/>
  <c r="G352" i="5"/>
  <c r="AD352" i="5"/>
  <c r="AA352" i="5"/>
  <c r="Y352" i="5"/>
  <c r="S352" i="5"/>
  <c r="O352" i="5"/>
  <c r="I352" i="5"/>
  <c r="F352" i="5"/>
  <c r="AE353" i="5"/>
  <c r="N353" i="5"/>
  <c r="K353" i="5"/>
  <c r="AD353" i="5"/>
  <c r="X353" i="5"/>
  <c r="E353" i="5"/>
  <c r="M353" i="5"/>
  <c r="AC353" i="5"/>
  <c r="Z353" i="5"/>
  <c r="V353" i="5"/>
  <c r="T353" i="5"/>
  <c r="Q353" i="5"/>
  <c r="L353" i="5"/>
  <c r="J353" i="5"/>
  <c r="F353" i="5"/>
  <c r="D353" i="5"/>
  <c r="AB353" i="5"/>
  <c r="AA353" i="5"/>
  <c r="Y353" i="5"/>
  <c r="W353" i="5"/>
  <c r="S353" i="5"/>
  <c r="P353" i="5"/>
  <c r="O353" i="5"/>
  <c r="H353" i="5"/>
  <c r="G353" i="5"/>
  <c r="U353" i="5"/>
  <c r="R353" i="5"/>
  <c r="I353" i="5"/>
  <c r="AE354" i="5"/>
  <c r="Z354" i="5"/>
  <c r="W354" i="5"/>
  <c r="R354" i="5"/>
  <c r="G354" i="5"/>
  <c r="AC354" i="5"/>
  <c r="AB354" i="5"/>
  <c r="Y354" i="5"/>
  <c r="V354" i="5"/>
  <c r="P354" i="5"/>
  <c r="H354" i="5"/>
  <c r="D354" i="5"/>
  <c r="AD354" i="5"/>
  <c r="AA354" i="5"/>
  <c r="X354" i="5"/>
  <c r="U354" i="5"/>
  <c r="T354" i="5"/>
  <c r="S354" i="5"/>
  <c r="Q354" i="5"/>
  <c r="O354" i="5"/>
  <c r="N354" i="5"/>
  <c r="M354" i="5"/>
  <c r="L354" i="5"/>
  <c r="K354" i="5"/>
  <c r="J354" i="5"/>
  <c r="I354" i="5"/>
  <c r="F354" i="5"/>
  <c r="E354" i="5"/>
  <c r="AE355" i="5"/>
  <c r="AB355" i="5"/>
  <c r="AA355" i="5"/>
  <c r="Z355" i="5"/>
  <c r="Y355" i="5"/>
  <c r="W355" i="5"/>
  <c r="V355" i="5"/>
  <c r="T355" i="5"/>
  <c r="L355" i="5"/>
  <c r="I355" i="5"/>
  <c r="F355" i="5"/>
  <c r="AC355" i="5"/>
  <c r="X355" i="5"/>
  <c r="U355" i="5"/>
  <c r="Q355" i="5"/>
  <c r="N355" i="5"/>
  <c r="G355" i="5"/>
  <c r="E355" i="5"/>
  <c r="AD355" i="5"/>
  <c r="S355" i="5"/>
  <c r="R355" i="5"/>
  <c r="P355" i="5"/>
  <c r="O355" i="5"/>
  <c r="M355" i="5"/>
  <c r="K355" i="5"/>
  <c r="J355" i="5"/>
  <c r="H355" i="5"/>
  <c r="D355" i="5"/>
  <c r="AC356" i="5"/>
  <c r="AB356" i="5"/>
  <c r="AA356" i="5"/>
  <c r="Z356" i="5"/>
  <c r="Y356" i="5"/>
  <c r="X356" i="5"/>
  <c r="W356" i="5"/>
  <c r="T356" i="5"/>
  <c r="Q356" i="5"/>
  <c r="P356" i="5"/>
  <c r="G356" i="5"/>
  <c r="F356" i="5"/>
  <c r="AD356" i="5"/>
  <c r="U356" i="5"/>
  <c r="R356" i="5"/>
  <c r="K356" i="5"/>
  <c r="J356" i="5"/>
  <c r="I356" i="5"/>
  <c r="D356" i="5"/>
  <c r="AE356" i="5"/>
  <c r="V356" i="5"/>
  <c r="S356" i="5"/>
  <c r="O356" i="5"/>
  <c r="N356" i="5"/>
  <c r="M356" i="5"/>
  <c r="L356" i="5"/>
  <c r="H356" i="5"/>
  <c r="E356" i="5"/>
  <c r="AE357" i="5"/>
  <c r="U357" i="5"/>
  <c r="T357" i="5"/>
  <c r="P357" i="5"/>
  <c r="O357" i="5"/>
  <c r="H357" i="5"/>
  <c r="AB357" i="5"/>
  <c r="R357" i="5"/>
  <c r="K357" i="5"/>
  <c r="I357" i="5"/>
  <c r="AD357" i="5"/>
  <c r="AC357" i="5"/>
  <c r="AA357" i="5"/>
  <c r="Z357" i="5"/>
  <c r="Y357" i="5"/>
  <c r="X357" i="5"/>
  <c r="W357" i="5"/>
  <c r="V357" i="5"/>
  <c r="S357" i="5"/>
  <c r="Q357" i="5"/>
  <c r="N357" i="5"/>
  <c r="M357" i="5"/>
  <c r="L357" i="5"/>
  <c r="J357" i="5"/>
  <c r="G357" i="5"/>
  <c r="F357" i="5"/>
  <c r="E357" i="5"/>
  <c r="D357" i="5"/>
  <c r="AA358" i="5"/>
  <c r="X358" i="5"/>
  <c r="W358" i="5"/>
  <c r="U358" i="5"/>
  <c r="L358" i="5"/>
  <c r="AD358" i="5"/>
  <c r="P358" i="5"/>
  <c r="K358" i="5"/>
  <c r="E358" i="5"/>
  <c r="AE358" i="5"/>
  <c r="R358" i="5"/>
  <c r="M358" i="5"/>
  <c r="G358" i="5"/>
  <c r="AC358" i="5"/>
  <c r="AB358" i="5"/>
  <c r="Z358" i="5"/>
  <c r="Y358" i="5"/>
  <c r="V358" i="5"/>
  <c r="Q358" i="5"/>
  <c r="O358" i="5"/>
  <c r="T358" i="5"/>
  <c r="S358" i="5"/>
  <c r="N358" i="5"/>
  <c r="I358" i="5"/>
  <c r="H358" i="5"/>
  <c r="D358" i="5"/>
  <c r="J358" i="5"/>
  <c r="F358" i="5"/>
  <c r="AE359" i="5"/>
  <c r="AD359" i="5"/>
  <c r="AC359" i="5"/>
  <c r="AB359" i="5"/>
  <c r="AA359" i="5"/>
  <c r="Z359" i="5"/>
  <c r="Y359" i="5"/>
  <c r="V359" i="5"/>
  <c r="U359" i="5"/>
  <c r="T359" i="5"/>
  <c r="Q359" i="5"/>
  <c r="P359" i="5"/>
  <c r="O359" i="5"/>
  <c r="M359" i="5"/>
  <c r="K359" i="5"/>
  <c r="I359" i="5"/>
  <c r="F359" i="5"/>
  <c r="D359" i="5"/>
  <c r="X359" i="5"/>
  <c r="W359" i="5"/>
  <c r="N359" i="5"/>
  <c r="E359" i="5"/>
  <c r="S359" i="5"/>
  <c r="R359" i="5"/>
  <c r="L359" i="5"/>
  <c r="J359" i="5"/>
  <c r="H359" i="5"/>
  <c r="G359" i="5"/>
  <c r="AD360" i="5"/>
  <c r="AC360" i="5"/>
  <c r="W360" i="5"/>
  <c r="U360" i="5"/>
  <c r="O360" i="5"/>
  <c r="N360" i="5"/>
  <c r="M360" i="5"/>
  <c r="J360" i="5"/>
  <c r="E360" i="5"/>
  <c r="AE360" i="5"/>
  <c r="V360" i="5"/>
  <c r="Q360" i="5"/>
  <c r="I360" i="5"/>
  <c r="F360" i="5"/>
  <c r="D360" i="5"/>
  <c r="AB360" i="5"/>
  <c r="AA360" i="5"/>
  <c r="Z360" i="5"/>
  <c r="Y360" i="5"/>
  <c r="X360" i="5"/>
  <c r="T360" i="5"/>
  <c r="S360" i="5"/>
  <c r="R360" i="5"/>
  <c r="P360" i="5"/>
  <c r="L360" i="5"/>
  <c r="K360" i="5"/>
  <c r="H360" i="5"/>
  <c r="G360" i="5"/>
  <c r="AD361" i="5"/>
  <c r="W361" i="5"/>
  <c r="Q361" i="5"/>
  <c r="E361" i="5"/>
  <c r="AE361" i="5"/>
  <c r="AC361" i="5"/>
  <c r="AB361" i="5"/>
  <c r="AA361" i="5"/>
  <c r="Z361" i="5"/>
  <c r="X361" i="5"/>
  <c r="U361" i="5"/>
  <c r="S361" i="5"/>
  <c r="N361" i="5"/>
  <c r="I361" i="5"/>
  <c r="G361" i="5"/>
  <c r="D361" i="5"/>
  <c r="Y361" i="5"/>
  <c r="V361" i="5"/>
  <c r="T361" i="5"/>
  <c r="R361" i="5"/>
  <c r="P361" i="5"/>
  <c r="O361" i="5"/>
  <c r="M361" i="5"/>
  <c r="L361" i="5"/>
  <c r="K361" i="5"/>
  <c r="J361" i="5"/>
  <c r="H361" i="5"/>
  <c r="F361" i="5"/>
  <c r="Q341" i="5"/>
  <c r="H341" i="5"/>
  <c r="O341" i="5"/>
  <c r="R341" i="5"/>
  <c r="V341" i="5"/>
  <c r="AE341" i="5"/>
  <c r="Y341" i="5"/>
  <c r="G341" i="5"/>
  <c r="L341" i="5"/>
  <c r="N341" i="5"/>
  <c r="U341" i="5"/>
  <c r="AB341" i="5"/>
  <c r="X341" i="5"/>
  <c r="AA341" i="5"/>
  <c r="W341" i="5"/>
  <c r="D341" i="5"/>
  <c r="K341" i="5"/>
  <c r="E341" i="5"/>
  <c r="J341" i="5"/>
  <c r="P341" i="5"/>
  <c r="T341" i="5"/>
  <c r="Z341" i="5"/>
  <c r="M341" i="5"/>
  <c r="F341" i="5"/>
  <c r="S341" i="5"/>
  <c r="AC341" i="5"/>
  <c r="I341" i="5"/>
  <c r="AD341" i="5"/>
  <c r="O343" i="5"/>
  <c r="AB343" i="5"/>
  <c r="U343" i="5"/>
  <c r="H343" i="5"/>
  <c r="X343" i="5"/>
  <c r="F343" i="5"/>
  <c r="Q343" i="5"/>
  <c r="L343" i="5"/>
  <c r="E343" i="5"/>
  <c r="I343" i="5"/>
  <c r="AD343" i="5"/>
  <c r="K343" i="5"/>
  <c r="Z343" i="5"/>
  <c r="J343" i="5"/>
  <c r="G343" i="5"/>
  <c r="V343" i="5"/>
  <c r="M343" i="5"/>
  <c r="W343" i="5"/>
  <c r="S343" i="5"/>
  <c r="AE343" i="5"/>
  <c r="AA343" i="5"/>
  <c r="N343" i="5"/>
  <c r="Y343" i="5"/>
  <c r="D343" i="5"/>
  <c r="T343" i="5"/>
  <c r="R343" i="5"/>
  <c r="P343" i="5"/>
  <c r="AC343" i="5"/>
  <c r="X351" i="5"/>
  <c r="L351" i="5"/>
  <c r="AB351" i="5"/>
  <c r="W351" i="5"/>
  <c r="R351" i="5"/>
  <c r="I351" i="5"/>
  <c r="G351" i="5"/>
  <c r="N351" i="5"/>
  <c r="S351" i="5"/>
  <c r="D351" i="5"/>
  <c r="V351" i="5"/>
  <c r="Q351" i="5"/>
  <c r="M351" i="5"/>
  <c r="H351" i="5"/>
  <c r="AE351" i="5"/>
  <c r="AA351" i="5"/>
  <c r="K351" i="5"/>
  <c r="AD351" i="5"/>
  <c r="O351" i="5"/>
  <c r="Z351" i="5"/>
  <c r="U351" i="5"/>
  <c r="E351" i="5"/>
  <c r="P351" i="5"/>
  <c r="AC351" i="5"/>
  <c r="Y351" i="5"/>
  <c r="J351" i="5"/>
  <c r="F351" i="5"/>
  <c r="T351" i="5"/>
  <c r="I364" i="5"/>
  <c r="Y364" i="5"/>
  <c r="W364" i="5"/>
  <c r="N364" i="5"/>
  <c r="AC364" i="5"/>
  <c r="G364" i="5"/>
  <c r="F364" i="5"/>
  <c r="Q364" i="5"/>
  <c r="H364" i="5"/>
  <c r="T364" i="5"/>
  <c r="L364" i="5"/>
  <c r="D364" i="5"/>
  <c r="AB364" i="5"/>
  <c r="X364" i="5"/>
  <c r="U364" i="5"/>
  <c r="O364" i="5"/>
  <c r="J364" i="5"/>
  <c r="R364" i="5"/>
  <c r="AE364" i="5"/>
  <c r="E364" i="5"/>
  <c r="AD364" i="5"/>
  <c r="Z364" i="5"/>
  <c r="M364" i="5"/>
  <c r="P364" i="5"/>
  <c r="AA364" i="5"/>
  <c r="V364" i="5"/>
  <c r="S364" i="5"/>
  <c r="K364" i="5"/>
  <c r="AE376" i="5"/>
  <c r="AD376" i="5"/>
  <c r="AC376" i="5"/>
  <c r="AA376" i="5"/>
  <c r="Y376" i="5"/>
  <c r="W376" i="5"/>
  <c r="U376" i="5"/>
  <c r="S376" i="5"/>
  <c r="AB376" i="5"/>
  <c r="Z376" i="5"/>
  <c r="X376" i="5"/>
  <c r="V376" i="5"/>
  <c r="T376" i="5"/>
  <c r="R376" i="5"/>
  <c r="Q376" i="5"/>
  <c r="P376" i="5"/>
  <c r="O376" i="5"/>
  <c r="N376" i="5"/>
  <c r="M376" i="5"/>
  <c r="L376" i="5"/>
  <c r="K376" i="5"/>
  <c r="J376" i="5"/>
  <c r="I376" i="5"/>
  <c r="H376" i="5"/>
  <c r="G376" i="5"/>
  <c r="F376" i="5"/>
  <c r="E376" i="5"/>
  <c r="D376" i="5"/>
  <c r="W345" i="5"/>
  <c r="AA345" i="5"/>
  <c r="AE345" i="5"/>
  <c r="Q345" i="5"/>
  <c r="M345" i="5"/>
  <c r="L345" i="5"/>
  <c r="H345" i="5"/>
  <c r="Y345" i="5"/>
  <c r="G345" i="5"/>
  <c r="P345" i="5"/>
  <c r="V345" i="5"/>
  <c r="AB345" i="5"/>
  <c r="X345" i="5"/>
  <c r="O345" i="5"/>
  <c r="E345" i="5"/>
  <c r="J345" i="5"/>
  <c r="S345" i="5"/>
  <c r="I345" i="5"/>
  <c r="U345" i="5"/>
  <c r="N345" i="5"/>
  <c r="D345" i="5"/>
  <c r="R345" i="5"/>
  <c r="K345" i="5"/>
  <c r="AC345" i="5"/>
  <c r="T345" i="5"/>
  <c r="F345" i="5"/>
  <c r="AD345" i="5"/>
  <c r="Z345" i="5"/>
  <c r="R348" i="5"/>
  <c r="E348" i="5"/>
  <c r="L348" i="5"/>
  <c r="AD348" i="5"/>
  <c r="P348" i="5"/>
  <c r="X348" i="5"/>
  <c r="Z348" i="5"/>
  <c r="O348" i="5"/>
  <c r="H348" i="5"/>
  <c r="T348" i="5"/>
  <c r="U348" i="5"/>
  <c r="V348" i="5"/>
  <c r="AC348" i="5"/>
  <c r="M348" i="5"/>
  <c r="J348" i="5"/>
  <c r="G348" i="5"/>
  <c r="S348" i="5"/>
  <c r="Y348" i="5"/>
  <c r="AB348" i="5"/>
  <c r="D348" i="5"/>
  <c r="AE348" i="5"/>
  <c r="F348" i="5"/>
  <c r="I348" i="5"/>
  <c r="K348" i="5"/>
  <c r="Q348" i="5"/>
  <c r="N348" i="5"/>
  <c r="W348" i="5"/>
  <c r="AA348" i="5"/>
  <c r="AE371" i="5"/>
  <c r="AD371" i="5"/>
  <c r="AB371" i="5"/>
  <c r="Y371" i="5"/>
  <c r="W371" i="5"/>
  <c r="T371" i="5"/>
  <c r="R371" i="5"/>
  <c r="Q371" i="5"/>
  <c r="O371" i="5"/>
  <c r="N371" i="5"/>
  <c r="M371" i="5"/>
  <c r="K371" i="5"/>
  <c r="J371" i="5"/>
  <c r="H371" i="5"/>
  <c r="F371" i="5"/>
  <c r="D371" i="5"/>
  <c r="AC371" i="5"/>
  <c r="AA371" i="5"/>
  <c r="Z371" i="5"/>
  <c r="X371" i="5"/>
  <c r="V371" i="5"/>
  <c r="U371" i="5"/>
  <c r="S371" i="5"/>
  <c r="P371" i="5"/>
  <c r="L371" i="5"/>
  <c r="I371" i="5"/>
  <c r="G371" i="5"/>
  <c r="E371" i="5"/>
  <c r="AE374" i="5"/>
  <c r="AD374" i="5"/>
  <c r="AB374" i="5"/>
  <c r="AA374" i="5"/>
  <c r="Z374" i="5"/>
  <c r="O374" i="5"/>
  <c r="M374" i="5"/>
  <c r="L374" i="5"/>
  <c r="K374" i="5"/>
  <c r="J374" i="5"/>
  <c r="I374" i="5"/>
  <c r="H374" i="5"/>
  <c r="G374" i="5"/>
  <c r="F374" i="5"/>
  <c r="E374" i="5"/>
  <c r="D374" i="5"/>
  <c r="AC374" i="5"/>
  <c r="Y374" i="5"/>
  <c r="X374" i="5"/>
  <c r="W374" i="5"/>
  <c r="V374" i="5"/>
  <c r="U374" i="5"/>
  <c r="T374" i="5"/>
  <c r="S374" i="5"/>
  <c r="R374" i="5"/>
  <c r="Q374" i="5"/>
  <c r="P374" i="5"/>
  <c r="N374" i="5"/>
  <c r="AA375" i="5"/>
  <c r="X375" i="5"/>
  <c r="V375" i="5"/>
  <c r="U375" i="5"/>
  <c r="T375" i="5"/>
  <c r="S375" i="5"/>
  <c r="R375" i="5"/>
  <c r="Q375" i="5"/>
  <c r="P375" i="5"/>
  <c r="O375" i="5"/>
  <c r="N375" i="5"/>
  <c r="M375" i="5"/>
  <c r="K375" i="5"/>
  <c r="I375" i="5"/>
  <c r="H375" i="5"/>
  <c r="F375" i="5"/>
  <c r="D375" i="5"/>
  <c r="AE375" i="5"/>
  <c r="AD375" i="5"/>
  <c r="AC375" i="5"/>
  <c r="AB375" i="5"/>
  <c r="Z375" i="5"/>
  <c r="Y375" i="5"/>
  <c r="W375" i="5"/>
  <c r="L375" i="5"/>
  <c r="J375" i="5"/>
  <c r="G375" i="5"/>
  <c r="E375" i="5"/>
  <c r="L337" i="5"/>
  <c r="G337" i="5"/>
  <c r="M337" i="5"/>
  <c r="AB337" i="5"/>
  <c r="AC337" i="5"/>
  <c r="AE337" i="5"/>
  <c r="AD337" i="5"/>
  <c r="U337" i="5"/>
  <c r="P337" i="5"/>
  <c r="E337" i="5"/>
  <c r="R337" i="5"/>
  <c r="AA337" i="5"/>
  <c r="O337" i="5"/>
  <c r="T337" i="5"/>
  <c r="Y337" i="5"/>
  <c r="X337" i="5"/>
  <c r="D337" i="5"/>
  <c r="Q337" i="5"/>
  <c r="J337" i="5"/>
  <c r="W337" i="5"/>
  <c r="S337" i="5"/>
  <c r="H337" i="5"/>
  <c r="I337" i="5"/>
  <c r="N337" i="5"/>
  <c r="Z337" i="5"/>
  <c r="F337" i="5"/>
  <c r="V337" i="5"/>
  <c r="K337" i="5"/>
  <c r="AD340" i="5"/>
  <c r="M340" i="5"/>
  <c r="R340" i="5"/>
  <c r="F340" i="5"/>
  <c r="AC340" i="5"/>
  <c r="Y340" i="5"/>
  <c r="X340" i="5"/>
  <c r="J340" i="5"/>
  <c r="W340" i="5"/>
  <c r="K340" i="5"/>
  <c r="AE340" i="5"/>
  <c r="I340" i="5"/>
  <c r="AB340" i="5"/>
  <c r="G340" i="5"/>
  <c r="N340" i="5"/>
  <c r="E340" i="5"/>
  <c r="O340" i="5"/>
  <c r="L340" i="5"/>
  <c r="Z340" i="5"/>
  <c r="D340" i="5"/>
  <c r="Q340" i="5"/>
  <c r="V340" i="5"/>
  <c r="AA340" i="5"/>
  <c r="U340" i="5"/>
  <c r="H340" i="5"/>
  <c r="P340" i="5"/>
  <c r="S340" i="5"/>
  <c r="T340" i="5"/>
  <c r="J346" i="5"/>
  <c r="Y346" i="5"/>
  <c r="D346" i="5"/>
  <c r="G346" i="5"/>
  <c r="L346" i="5"/>
  <c r="N346" i="5"/>
  <c r="R346" i="5"/>
  <c r="U346" i="5"/>
  <c r="F346" i="5"/>
  <c r="T346" i="5"/>
  <c r="AA346" i="5"/>
  <c r="AB346" i="5"/>
  <c r="AD346" i="5"/>
  <c r="W346" i="5"/>
  <c r="K346" i="5"/>
  <c r="S346" i="5"/>
  <c r="V346" i="5"/>
  <c r="Z346" i="5"/>
  <c r="X346" i="5"/>
  <c r="AE346" i="5"/>
  <c r="P346" i="5"/>
  <c r="AC346" i="5"/>
  <c r="Q346" i="5"/>
  <c r="M346" i="5"/>
  <c r="E346" i="5"/>
  <c r="I346" i="5"/>
  <c r="O346" i="5"/>
  <c r="H346" i="5"/>
  <c r="AE350" i="5"/>
  <c r="T350" i="5"/>
  <c r="S350" i="5"/>
  <c r="M350" i="5"/>
  <c r="D350" i="5"/>
  <c r="X350" i="5"/>
  <c r="Q350" i="5"/>
  <c r="L350" i="5"/>
  <c r="J350" i="5"/>
  <c r="G350" i="5"/>
  <c r="E350" i="5"/>
  <c r="AC350" i="5"/>
  <c r="AB350" i="5"/>
  <c r="O350" i="5"/>
  <c r="Z350" i="5"/>
  <c r="Y350" i="5"/>
  <c r="V350" i="5"/>
  <c r="U350" i="5"/>
  <c r="N350" i="5"/>
  <c r="K350" i="5"/>
  <c r="H350" i="5"/>
  <c r="AA350" i="5"/>
  <c r="R350" i="5"/>
  <c r="I350" i="5"/>
  <c r="AD350" i="5"/>
  <c r="W350" i="5"/>
  <c r="P350" i="5"/>
  <c r="F350" i="5"/>
  <c r="AB368" i="5"/>
  <c r="Z368" i="5"/>
  <c r="Y368" i="5"/>
  <c r="W368" i="5"/>
  <c r="V368" i="5"/>
  <c r="U368" i="5"/>
  <c r="S368" i="5"/>
  <c r="R368" i="5"/>
  <c r="P368" i="5"/>
  <c r="O368" i="5"/>
  <c r="L368" i="5"/>
  <c r="J368" i="5"/>
  <c r="H368" i="5"/>
  <c r="F368" i="5"/>
  <c r="AA368" i="5"/>
  <c r="X368" i="5"/>
  <c r="T368" i="5"/>
  <c r="Q368" i="5"/>
  <c r="N368" i="5"/>
  <c r="G368" i="5"/>
  <c r="E368" i="5"/>
  <c r="AD368" i="5"/>
  <c r="AC368" i="5"/>
  <c r="M368" i="5"/>
  <c r="K368" i="5"/>
  <c r="I368" i="5"/>
  <c r="D368" i="5"/>
  <c r="AE368" i="5"/>
  <c r="AD369" i="5"/>
  <c r="AC369" i="5"/>
  <c r="AB369" i="5"/>
  <c r="AA369" i="5"/>
  <c r="Z369" i="5"/>
  <c r="Y369" i="5"/>
  <c r="X369" i="5"/>
  <c r="V369" i="5"/>
  <c r="U369" i="5"/>
  <c r="T369" i="5"/>
  <c r="R369" i="5"/>
  <c r="Q369" i="5"/>
  <c r="M369" i="5"/>
  <c r="H369" i="5"/>
  <c r="E369" i="5"/>
  <c r="D369" i="5"/>
  <c r="AE369" i="5"/>
  <c r="O369" i="5"/>
  <c r="J369" i="5"/>
  <c r="W369" i="5"/>
  <c r="S369" i="5"/>
  <c r="P369" i="5"/>
  <c r="N369" i="5"/>
  <c r="L369" i="5"/>
  <c r="K369" i="5"/>
  <c r="I369" i="5"/>
  <c r="G369" i="5"/>
  <c r="F369" i="5"/>
  <c r="K345" i="4"/>
  <c r="G345" i="4"/>
  <c r="O345" i="4"/>
  <c r="P345" i="4"/>
  <c r="AE345" i="4"/>
  <c r="AC345" i="4"/>
  <c r="T345" i="4"/>
  <c r="W345" i="4"/>
  <c r="M345" i="4"/>
  <c r="E345" i="4"/>
  <c r="Q345" i="4"/>
  <c r="AB345" i="4"/>
  <c r="F345" i="4"/>
  <c r="Y345" i="4"/>
  <c r="U345" i="4"/>
  <c r="I345" i="4"/>
  <c r="N345" i="4"/>
  <c r="D345" i="4"/>
  <c r="R345" i="4"/>
  <c r="AD345" i="4"/>
  <c r="AA345" i="4"/>
  <c r="Z345" i="4"/>
  <c r="X345" i="4"/>
  <c r="H345" i="4"/>
  <c r="L345" i="4"/>
  <c r="S345" i="4"/>
  <c r="V345" i="4"/>
  <c r="J345" i="4"/>
  <c r="AE366" i="4"/>
  <c r="X366" i="4"/>
  <c r="T366" i="4"/>
  <c r="R366" i="4"/>
  <c r="M366" i="4"/>
  <c r="L366" i="4"/>
  <c r="I366" i="4"/>
  <c r="G366" i="4"/>
  <c r="D366" i="4"/>
  <c r="AD366" i="4"/>
  <c r="AC366" i="4"/>
  <c r="AB366" i="4"/>
  <c r="AA366" i="4"/>
  <c r="W366" i="4"/>
  <c r="V366" i="4"/>
  <c r="U366" i="4"/>
  <c r="S366" i="4"/>
  <c r="P366" i="4"/>
  <c r="O366" i="4"/>
  <c r="N366" i="4"/>
  <c r="K366" i="4"/>
  <c r="H366" i="4"/>
  <c r="E366" i="4"/>
  <c r="Z366" i="4"/>
  <c r="Y366" i="4"/>
  <c r="Q366" i="4"/>
  <c r="J366" i="4"/>
  <c r="F366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AK43" i="2"/>
  <c r="C337" i="4"/>
  <c r="AE340" i="4"/>
  <c r="H340" i="4"/>
  <c r="K340" i="4"/>
  <c r="P340" i="4"/>
  <c r="W340" i="4"/>
  <c r="Y340" i="4"/>
  <c r="AB340" i="4"/>
  <c r="AC340" i="4"/>
  <c r="F340" i="4"/>
  <c r="U340" i="4"/>
  <c r="S340" i="4"/>
  <c r="T340" i="4"/>
  <c r="AA340" i="4"/>
  <c r="AD340" i="4"/>
  <c r="E340" i="4"/>
  <c r="G340" i="4"/>
  <c r="I340" i="4"/>
  <c r="M340" i="4"/>
  <c r="O340" i="4"/>
  <c r="R340" i="4"/>
  <c r="V340" i="4"/>
  <c r="Z340" i="4"/>
  <c r="D340" i="4"/>
  <c r="J340" i="4"/>
  <c r="L340" i="4"/>
  <c r="N340" i="4"/>
  <c r="Q340" i="4"/>
  <c r="X340" i="4"/>
  <c r="AB349" i="4"/>
  <c r="Z349" i="4"/>
  <c r="V349" i="4"/>
  <c r="N349" i="4"/>
  <c r="K349" i="4"/>
  <c r="G349" i="4"/>
  <c r="AE349" i="4"/>
  <c r="AC349" i="4"/>
  <c r="Y349" i="4"/>
  <c r="U349" i="4"/>
  <c r="S349" i="4"/>
  <c r="O349" i="4"/>
  <c r="L349" i="4"/>
  <c r="I349" i="4"/>
  <c r="F349" i="4"/>
  <c r="AD349" i="4"/>
  <c r="X349" i="4"/>
  <c r="W349" i="4"/>
  <c r="R349" i="4"/>
  <c r="Q349" i="4"/>
  <c r="P349" i="4"/>
  <c r="J349" i="4"/>
  <c r="E349" i="4"/>
  <c r="AA349" i="4"/>
  <c r="T349" i="4"/>
  <c r="M349" i="4"/>
  <c r="H349" i="4"/>
  <c r="D349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U338" i="4"/>
  <c r="M338" i="4"/>
  <c r="AD338" i="4"/>
  <c r="S338" i="4"/>
  <c r="G338" i="4"/>
  <c r="Z338" i="4"/>
  <c r="P338" i="4"/>
  <c r="R338" i="4"/>
  <c r="V338" i="4"/>
  <c r="K338" i="4"/>
  <c r="W338" i="4"/>
  <c r="F338" i="4"/>
  <c r="E338" i="4"/>
  <c r="Y338" i="4"/>
  <c r="AA338" i="4"/>
  <c r="T338" i="4"/>
  <c r="N338" i="4"/>
  <c r="I338" i="4"/>
  <c r="D338" i="4"/>
  <c r="X338" i="4"/>
  <c r="O338" i="4"/>
  <c r="L338" i="4"/>
  <c r="J338" i="4"/>
  <c r="H338" i="4"/>
  <c r="AE338" i="4"/>
  <c r="AB338" i="4"/>
  <c r="AC338" i="4"/>
  <c r="Q338" i="4"/>
  <c r="O347" i="4"/>
  <c r="M347" i="4"/>
  <c r="U347" i="4"/>
  <c r="Y347" i="4"/>
  <c r="AC347" i="4"/>
  <c r="AE347" i="4"/>
  <c r="F347" i="4"/>
  <c r="G347" i="4"/>
  <c r="AB347" i="4"/>
  <c r="E347" i="4"/>
  <c r="J347" i="4"/>
  <c r="K347" i="4"/>
  <c r="S347" i="4"/>
  <c r="N347" i="4"/>
  <c r="Z347" i="4"/>
  <c r="AA347" i="4"/>
  <c r="D347" i="4"/>
  <c r="I347" i="4"/>
  <c r="L347" i="4"/>
  <c r="P347" i="4"/>
  <c r="T347" i="4"/>
  <c r="V347" i="4"/>
  <c r="AD347" i="4"/>
  <c r="Q347" i="4"/>
  <c r="W347" i="4"/>
  <c r="X347" i="4"/>
  <c r="H347" i="4"/>
  <c r="R347" i="4"/>
  <c r="AA342" i="4"/>
  <c r="Q342" i="4"/>
  <c r="O342" i="4"/>
  <c r="L342" i="4"/>
  <c r="J342" i="4"/>
  <c r="G342" i="4"/>
  <c r="T342" i="4"/>
  <c r="M342" i="4"/>
  <c r="X342" i="4"/>
  <c r="Y342" i="4"/>
  <c r="AC342" i="4"/>
  <c r="V342" i="4"/>
  <c r="W342" i="4"/>
  <c r="D342" i="4"/>
  <c r="N342" i="4"/>
  <c r="I342" i="4"/>
  <c r="E342" i="4"/>
  <c r="Z342" i="4"/>
  <c r="AD342" i="4"/>
  <c r="AE342" i="4"/>
  <c r="S342" i="4"/>
  <c r="P342" i="4"/>
  <c r="K342" i="4"/>
  <c r="U342" i="4"/>
  <c r="AB342" i="4"/>
  <c r="R342" i="4"/>
  <c r="H342" i="4"/>
  <c r="F34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AE353" i="4"/>
  <c r="W353" i="4"/>
  <c r="P353" i="4"/>
  <c r="O353" i="4"/>
  <c r="J353" i="4"/>
  <c r="D353" i="4"/>
  <c r="AD353" i="4"/>
  <c r="AC353" i="4"/>
  <c r="AB353" i="4"/>
  <c r="AA353" i="4"/>
  <c r="Z353" i="4"/>
  <c r="Y353" i="4"/>
  <c r="X353" i="4"/>
  <c r="V353" i="4"/>
  <c r="U353" i="4"/>
  <c r="T353" i="4"/>
  <c r="S353" i="4"/>
  <c r="R353" i="4"/>
  <c r="Q353" i="4"/>
  <c r="N353" i="4"/>
  <c r="M353" i="4"/>
  <c r="L353" i="4"/>
  <c r="K353" i="4"/>
  <c r="I353" i="4"/>
  <c r="H353" i="4"/>
  <c r="G353" i="4"/>
  <c r="F353" i="4"/>
  <c r="E353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AE355" i="4"/>
  <c r="AD355" i="4"/>
  <c r="AC355" i="4"/>
  <c r="AB355" i="4"/>
  <c r="AA355" i="4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AE357" i="4"/>
  <c r="AD357" i="4"/>
  <c r="AC357" i="4"/>
  <c r="AB357" i="4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AE358" i="4"/>
  <c r="AC358" i="4"/>
  <c r="AB358" i="4"/>
  <c r="AA358" i="4"/>
  <c r="Q358" i="4"/>
  <c r="P358" i="4"/>
  <c r="O358" i="4"/>
  <c r="N358" i="4"/>
  <c r="L358" i="4"/>
  <c r="I358" i="4"/>
  <c r="E358" i="4"/>
  <c r="AD358" i="4"/>
  <c r="Z358" i="4"/>
  <c r="Y358" i="4"/>
  <c r="X358" i="4"/>
  <c r="W358" i="4"/>
  <c r="V358" i="4"/>
  <c r="U358" i="4"/>
  <c r="T358" i="4"/>
  <c r="S358" i="4"/>
  <c r="R358" i="4"/>
  <c r="M358" i="4"/>
  <c r="K358" i="4"/>
  <c r="J358" i="4"/>
  <c r="H358" i="4"/>
  <c r="G358" i="4"/>
  <c r="F358" i="4"/>
  <c r="D358" i="4"/>
  <c r="AE359" i="4"/>
  <c r="AD359" i="4"/>
  <c r="AC359" i="4"/>
  <c r="AB359" i="4"/>
  <c r="AA359" i="4"/>
  <c r="Z359" i="4"/>
  <c r="Y359" i="4"/>
  <c r="X359" i="4"/>
  <c r="W359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AE360" i="4"/>
  <c r="AD360" i="4"/>
  <c r="AC360" i="4"/>
  <c r="AB360" i="4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AE361" i="4"/>
  <c r="AD361" i="4"/>
  <c r="AC361" i="4"/>
  <c r="AB361" i="4"/>
  <c r="AA361" i="4"/>
  <c r="Z361" i="4"/>
  <c r="Y361" i="4"/>
  <c r="X361" i="4"/>
  <c r="W361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AC343" i="4"/>
  <c r="S343" i="4"/>
  <c r="Q343" i="4"/>
  <c r="O343" i="4"/>
  <c r="AD343" i="4"/>
  <c r="L343" i="4"/>
  <c r="F343" i="4"/>
  <c r="G343" i="4"/>
  <c r="P343" i="4"/>
  <c r="J343" i="4"/>
  <c r="H343" i="4"/>
  <c r="W343" i="4"/>
  <c r="I343" i="4"/>
  <c r="AA343" i="4"/>
  <c r="X343" i="4"/>
  <c r="U343" i="4"/>
  <c r="R343" i="4"/>
  <c r="N343" i="4"/>
  <c r="AE343" i="4"/>
  <c r="AB343" i="4"/>
  <c r="D343" i="4"/>
  <c r="Z343" i="4"/>
  <c r="Y343" i="4"/>
  <c r="V343" i="4"/>
  <c r="T343" i="4"/>
  <c r="M343" i="4"/>
  <c r="K343" i="4"/>
  <c r="E343" i="4"/>
  <c r="AB351" i="4"/>
  <c r="Z351" i="4"/>
  <c r="O351" i="4"/>
  <c r="J351" i="4"/>
  <c r="AD351" i="4"/>
  <c r="AA351" i="4"/>
  <c r="X351" i="4"/>
  <c r="W351" i="4"/>
  <c r="V351" i="4"/>
  <c r="N351" i="4"/>
  <c r="L351" i="4"/>
  <c r="I351" i="4"/>
  <c r="H351" i="4"/>
  <c r="G351" i="4"/>
  <c r="D351" i="4"/>
  <c r="AE351" i="4"/>
  <c r="T351" i="4"/>
  <c r="S351" i="4"/>
  <c r="R351" i="4"/>
  <c r="Q351" i="4"/>
  <c r="P351" i="4"/>
  <c r="E351" i="4"/>
  <c r="AC351" i="4"/>
  <c r="Y351" i="4"/>
  <c r="U351" i="4"/>
  <c r="M351" i="4"/>
  <c r="K351" i="4"/>
  <c r="F351" i="4"/>
  <c r="AD341" i="4"/>
  <c r="AE341" i="4"/>
  <c r="Z341" i="4"/>
  <c r="W341" i="4"/>
  <c r="E341" i="4"/>
  <c r="L341" i="4"/>
  <c r="Q341" i="4"/>
  <c r="N341" i="4"/>
  <c r="F341" i="4"/>
  <c r="AA341" i="4"/>
  <c r="D341" i="4"/>
  <c r="J341" i="4"/>
  <c r="O341" i="4"/>
  <c r="R341" i="4"/>
  <c r="S341" i="4"/>
  <c r="Y341" i="4"/>
  <c r="T341" i="4"/>
  <c r="G341" i="4"/>
  <c r="I341" i="4"/>
  <c r="M341" i="4"/>
  <c r="P341" i="4"/>
  <c r="AB341" i="4"/>
  <c r="X341" i="4"/>
  <c r="V341" i="4"/>
  <c r="U341" i="4"/>
  <c r="H341" i="4"/>
  <c r="K341" i="4"/>
  <c r="AC341" i="4"/>
  <c r="R59" i="1"/>
  <c r="R93" i="1" s="1"/>
  <c r="D59" i="1"/>
  <c r="D93" i="1" s="1"/>
  <c r="E59" i="1"/>
  <c r="E93" i="1" s="1"/>
  <c r="F59" i="1"/>
  <c r="F93" i="1" s="1"/>
  <c r="G59" i="1"/>
  <c r="G93" i="1" s="1"/>
  <c r="H59" i="1"/>
  <c r="H93" i="1" s="1"/>
  <c r="I59" i="1"/>
  <c r="I93" i="1" s="1"/>
  <c r="J59" i="1"/>
  <c r="J93" i="1" s="1"/>
  <c r="K59" i="1"/>
  <c r="K93" i="1" s="1"/>
  <c r="L59" i="1"/>
  <c r="L93" i="1" s="1"/>
  <c r="M59" i="1"/>
  <c r="M93" i="1" s="1"/>
  <c r="N59" i="1"/>
  <c r="N93" i="1" s="1"/>
  <c r="AE59" i="1"/>
  <c r="AE93" i="1" s="1"/>
  <c r="AD59" i="1"/>
  <c r="AD93" i="1" s="1"/>
  <c r="AC59" i="1"/>
  <c r="AC93" i="1" s="1"/>
  <c r="O59" i="1"/>
  <c r="O93" i="1" s="1"/>
  <c r="P59" i="1"/>
  <c r="P93" i="1" s="1"/>
  <c r="AB59" i="1"/>
  <c r="AB93" i="1" s="1"/>
  <c r="AA59" i="1"/>
  <c r="AA93" i="1" s="1"/>
  <c r="Z59" i="1"/>
  <c r="Z93" i="1" s="1"/>
  <c r="Y59" i="1"/>
  <c r="Y93" i="1" s="1"/>
  <c r="X59" i="1"/>
  <c r="X93" i="1" s="1"/>
  <c r="W59" i="1"/>
  <c r="W93" i="1" s="1"/>
  <c r="V59" i="1"/>
  <c r="V93" i="1" s="1"/>
  <c r="U59" i="1"/>
  <c r="U93" i="1" s="1"/>
  <c r="T59" i="1"/>
  <c r="T93" i="1" s="1"/>
  <c r="S59" i="1"/>
  <c r="S93" i="1" s="1"/>
  <c r="Q59" i="1"/>
  <c r="Q93" i="1" s="1"/>
  <c r="I339" i="4"/>
  <c r="AB339" i="4"/>
  <c r="G339" i="4"/>
  <c r="Q339" i="4"/>
  <c r="T339" i="4"/>
  <c r="AD339" i="4"/>
  <c r="X339" i="4"/>
  <c r="K339" i="4"/>
  <c r="D339" i="4"/>
  <c r="Z339" i="4"/>
  <c r="O339" i="4"/>
  <c r="N339" i="4"/>
  <c r="E339" i="4"/>
  <c r="Y339" i="4"/>
  <c r="AA339" i="4"/>
  <c r="AC339" i="4"/>
  <c r="H339" i="4"/>
  <c r="S339" i="4"/>
  <c r="U339" i="4"/>
  <c r="AE339" i="4"/>
  <c r="W339" i="4"/>
  <c r="L339" i="4"/>
  <c r="F339" i="4"/>
  <c r="M339" i="4"/>
  <c r="P339" i="4"/>
  <c r="R339" i="4"/>
  <c r="V339" i="4"/>
  <c r="J339" i="4"/>
  <c r="AC363" i="4"/>
  <c r="AA363" i="4"/>
  <c r="P363" i="4"/>
  <c r="F363" i="4"/>
  <c r="AD363" i="4"/>
  <c r="X363" i="4"/>
  <c r="J363" i="4"/>
  <c r="D363" i="4"/>
  <c r="W363" i="4"/>
  <c r="Z363" i="4"/>
  <c r="T363" i="4"/>
  <c r="Q363" i="4"/>
  <c r="O363" i="4"/>
  <c r="M363" i="4"/>
  <c r="I363" i="4"/>
  <c r="G363" i="4"/>
  <c r="V363" i="4"/>
  <c r="K363" i="4"/>
  <c r="AE363" i="4"/>
  <c r="Y363" i="4"/>
  <c r="U363" i="4"/>
  <c r="S363" i="4"/>
  <c r="N363" i="4"/>
  <c r="L363" i="4"/>
  <c r="H363" i="4"/>
  <c r="AB363" i="4"/>
  <c r="R363" i="4"/>
  <c r="E363" i="4"/>
  <c r="AE367" i="4"/>
  <c r="AC367" i="4"/>
  <c r="V367" i="4"/>
  <c r="U367" i="4"/>
  <c r="T367" i="4"/>
  <c r="S367" i="4"/>
  <c r="Q367" i="4"/>
  <c r="O367" i="4"/>
  <c r="L367" i="4"/>
  <c r="K367" i="4"/>
  <c r="H367" i="4"/>
  <c r="AB367" i="4"/>
  <c r="Z367" i="4"/>
  <c r="Y367" i="4"/>
  <c r="X367" i="4"/>
  <c r="N367" i="4"/>
  <c r="I367" i="4"/>
  <c r="G367" i="4"/>
  <c r="F367" i="4"/>
  <c r="D367" i="4"/>
  <c r="AD367" i="4"/>
  <c r="AA367" i="4"/>
  <c r="W367" i="4"/>
  <c r="R367" i="4"/>
  <c r="P367" i="4"/>
  <c r="M367" i="4"/>
  <c r="J367" i="4"/>
  <c r="E367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AE375" i="4"/>
  <c r="AD375" i="4"/>
  <c r="AC375" i="4"/>
  <c r="AB375" i="4"/>
  <c r="AA375" i="4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AD346" i="4"/>
  <c r="J346" i="4"/>
  <c r="K346" i="4"/>
  <c r="N346" i="4"/>
  <c r="P346" i="4"/>
  <c r="Y346" i="4"/>
  <c r="V346" i="4"/>
  <c r="AB346" i="4"/>
  <c r="D346" i="4"/>
  <c r="H346" i="4"/>
  <c r="R346" i="4"/>
  <c r="U346" i="4"/>
  <c r="AE346" i="4"/>
  <c r="G346" i="4"/>
  <c r="M346" i="4"/>
  <c r="E346" i="4"/>
  <c r="O346" i="4"/>
  <c r="Z346" i="4"/>
  <c r="X346" i="4"/>
  <c r="T346" i="4"/>
  <c r="S346" i="4"/>
  <c r="F346" i="4"/>
  <c r="I346" i="4"/>
  <c r="L346" i="4"/>
  <c r="Q346" i="4"/>
  <c r="AA346" i="4"/>
  <c r="W346" i="4"/>
  <c r="AC346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AE365" i="4"/>
  <c r="P365" i="4"/>
  <c r="K365" i="4"/>
  <c r="AD365" i="4"/>
  <c r="Y365" i="4"/>
  <c r="V365" i="4"/>
  <c r="R365" i="4"/>
  <c r="F365" i="4"/>
  <c r="AA365" i="4"/>
  <c r="X365" i="4"/>
  <c r="U365" i="4"/>
  <c r="G365" i="4"/>
  <c r="AC365" i="4"/>
  <c r="S365" i="4"/>
  <c r="O365" i="4"/>
  <c r="J365" i="4"/>
  <c r="Z365" i="4"/>
  <c r="W365" i="4"/>
  <c r="H365" i="4"/>
  <c r="T365" i="4"/>
  <c r="Q365" i="4"/>
  <c r="M365" i="4"/>
  <c r="D365" i="4"/>
  <c r="AB365" i="4"/>
  <c r="N365" i="4"/>
  <c r="L365" i="4"/>
  <c r="I365" i="4"/>
  <c r="E365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AE376" i="4"/>
  <c r="AD376" i="4"/>
  <c r="AC376" i="4"/>
  <c r="AB376" i="4"/>
  <c r="AA376" i="4"/>
  <c r="Z376" i="4"/>
  <c r="Y376" i="4"/>
  <c r="X376" i="4"/>
  <c r="W376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AB344" i="4"/>
  <c r="W344" i="4"/>
  <c r="D344" i="4"/>
  <c r="H344" i="4"/>
  <c r="T344" i="4"/>
  <c r="R344" i="4"/>
  <c r="N344" i="4"/>
  <c r="Z344" i="4"/>
  <c r="X344" i="4"/>
  <c r="L344" i="4"/>
  <c r="O344" i="4"/>
  <c r="AA344" i="4"/>
  <c r="Y344" i="4"/>
  <c r="U344" i="4"/>
  <c r="P344" i="4"/>
  <c r="AE344" i="4"/>
  <c r="M344" i="4"/>
  <c r="F344" i="4"/>
  <c r="K344" i="4"/>
  <c r="AC344" i="4"/>
  <c r="V344" i="4"/>
  <c r="E344" i="4"/>
  <c r="G344" i="4"/>
  <c r="I344" i="4"/>
  <c r="J344" i="4"/>
  <c r="S344" i="4"/>
  <c r="Q344" i="4"/>
  <c r="AD344" i="4"/>
  <c r="K348" i="4"/>
  <c r="H348" i="4"/>
  <c r="D348" i="4"/>
  <c r="AD348" i="4"/>
  <c r="O348" i="4"/>
  <c r="W348" i="4"/>
  <c r="Z348" i="4"/>
  <c r="N348" i="4"/>
  <c r="P348" i="4"/>
  <c r="F348" i="4"/>
  <c r="E348" i="4"/>
  <c r="R348" i="4"/>
  <c r="V348" i="4"/>
  <c r="X348" i="4"/>
  <c r="AA348" i="4"/>
  <c r="AE348" i="4"/>
  <c r="M348" i="4"/>
  <c r="AC348" i="4"/>
  <c r="J348" i="4"/>
  <c r="T348" i="4"/>
  <c r="Y348" i="4"/>
  <c r="L348" i="4"/>
  <c r="I348" i="4"/>
  <c r="G348" i="4"/>
  <c r="Q348" i="4"/>
  <c r="S348" i="4"/>
  <c r="U348" i="4"/>
  <c r="AB348" i="4"/>
  <c r="AE350" i="4"/>
  <c r="AB350" i="4"/>
  <c r="Z350" i="4"/>
  <c r="T350" i="4"/>
  <c r="Q350" i="4"/>
  <c r="M350" i="4"/>
  <c r="I350" i="4"/>
  <c r="D350" i="4"/>
  <c r="AD350" i="4"/>
  <c r="AA350" i="4"/>
  <c r="X350" i="4"/>
  <c r="V350" i="4"/>
  <c r="S350" i="4"/>
  <c r="P350" i="4"/>
  <c r="N350" i="4"/>
  <c r="K350" i="4"/>
  <c r="F350" i="4"/>
  <c r="AC350" i="4"/>
  <c r="Y350" i="4"/>
  <c r="W350" i="4"/>
  <c r="U350" i="4"/>
  <c r="R350" i="4"/>
  <c r="O350" i="4"/>
  <c r="L350" i="4"/>
  <c r="J350" i="4"/>
  <c r="H350" i="4"/>
  <c r="G350" i="4"/>
  <c r="E350" i="4"/>
  <c r="AE364" i="4"/>
  <c r="AA364" i="4"/>
  <c r="X364" i="4"/>
  <c r="U364" i="4"/>
  <c r="R364" i="4"/>
  <c r="N364" i="4"/>
  <c r="L364" i="4"/>
  <c r="D364" i="4"/>
  <c r="V364" i="4"/>
  <c r="H364" i="4"/>
  <c r="W364" i="4"/>
  <c r="G364" i="4"/>
  <c r="AD364" i="4"/>
  <c r="AB364" i="4"/>
  <c r="T364" i="4"/>
  <c r="Q364" i="4"/>
  <c r="M364" i="4"/>
  <c r="K364" i="4"/>
  <c r="E364" i="4"/>
  <c r="F364" i="4"/>
  <c r="AC364" i="4"/>
  <c r="Y364" i="4"/>
  <c r="O364" i="4"/>
  <c r="J364" i="4"/>
  <c r="Z364" i="4"/>
  <c r="S364" i="4"/>
  <c r="P364" i="4"/>
  <c r="I364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AA56" i="1"/>
  <c r="AA90" i="1" s="1"/>
  <c r="O56" i="1"/>
  <c r="O90" i="1" s="1"/>
  <c r="Z56" i="1"/>
  <c r="Z90" i="1" s="1"/>
  <c r="P56" i="1"/>
  <c r="P90" i="1" s="1"/>
  <c r="AE56" i="1"/>
  <c r="AE90" i="1" s="1"/>
  <c r="Y56" i="1"/>
  <c r="Y90" i="1" s="1"/>
  <c r="X56" i="1"/>
  <c r="X90" i="1" s="1"/>
  <c r="W56" i="1"/>
  <c r="W90" i="1" s="1"/>
  <c r="V56" i="1"/>
  <c r="V90" i="1" s="1"/>
  <c r="U56" i="1"/>
  <c r="U90" i="1" s="1"/>
  <c r="T56" i="1"/>
  <c r="T90" i="1" s="1"/>
  <c r="S56" i="1"/>
  <c r="S90" i="1" s="1"/>
  <c r="R56" i="1"/>
  <c r="R90" i="1" s="1"/>
  <c r="Q56" i="1"/>
  <c r="Q90" i="1" s="1"/>
  <c r="D56" i="1"/>
  <c r="D90" i="1" s="1"/>
  <c r="E56" i="1"/>
  <c r="E90" i="1" s="1"/>
  <c r="F56" i="1"/>
  <c r="F90" i="1" s="1"/>
  <c r="G56" i="1"/>
  <c r="G90" i="1" s="1"/>
  <c r="H56" i="1"/>
  <c r="H90" i="1" s="1"/>
  <c r="I56" i="1"/>
  <c r="I90" i="1" s="1"/>
  <c r="J56" i="1"/>
  <c r="J90" i="1" s="1"/>
  <c r="AB56" i="1"/>
  <c r="AB90" i="1" s="1"/>
  <c r="K56" i="1"/>
  <c r="K90" i="1" s="1"/>
  <c r="AC56" i="1"/>
  <c r="AC90" i="1" s="1"/>
  <c r="AD56" i="1"/>
  <c r="AD90" i="1" s="1"/>
  <c r="L56" i="1"/>
  <c r="L90" i="1" s="1"/>
  <c r="M56" i="1"/>
  <c r="M90" i="1" s="1"/>
  <c r="N56" i="1"/>
  <c r="N90" i="1" s="1"/>
  <c r="AE57" i="1"/>
  <c r="AE91" i="1" s="1"/>
  <c r="N57" i="1"/>
  <c r="N91" i="1" s="1"/>
  <c r="M57" i="1"/>
  <c r="M91" i="1" s="1"/>
  <c r="L57" i="1"/>
  <c r="L91" i="1" s="1"/>
  <c r="K57" i="1"/>
  <c r="K91" i="1" s="1"/>
  <c r="J57" i="1"/>
  <c r="J91" i="1" s="1"/>
  <c r="I57" i="1"/>
  <c r="I91" i="1" s="1"/>
  <c r="H57" i="1"/>
  <c r="H91" i="1" s="1"/>
  <c r="G57" i="1"/>
  <c r="G91" i="1" s="1"/>
  <c r="F57" i="1"/>
  <c r="F91" i="1" s="1"/>
  <c r="E57" i="1"/>
  <c r="E91" i="1" s="1"/>
  <c r="D57" i="1"/>
  <c r="D91" i="1" s="1"/>
  <c r="R57" i="1"/>
  <c r="R91" i="1" s="1"/>
  <c r="S57" i="1"/>
  <c r="S91" i="1" s="1"/>
  <c r="T57" i="1"/>
  <c r="T91" i="1" s="1"/>
  <c r="U57" i="1"/>
  <c r="U91" i="1" s="1"/>
  <c r="V57" i="1"/>
  <c r="V91" i="1" s="1"/>
  <c r="W57" i="1"/>
  <c r="W91" i="1" s="1"/>
  <c r="X57" i="1"/>
  <c r="X91" i="1" s="1"/>
  <c r="Y57" i="1"/>
  <c r="Y91" i="1" s="1"/>
  <c r="Z57" i="1"/>
  <c r="Z91" i="1" s="1"/>
  <c r="AA57" i="1"/>
  <c r="AA91" i="1" s="1"/>
  <c r="AB57" i="1"/>
  <c r="AB91" i="1" s="1"/>
  <c r="Q57" i="1"/>
  <c r="Q91" i="1" s="1"/>
  <c r="AC57" i="1"/>
  <c r="AC91" i="1" s="1"/>
  <c r="AD57" i="1"/>
  <c r="AD91" i="1" s="1"/>
  <c r="O57" i="1"/>
  <c r="O91" i="1" s="1"/>
  <c r="P57" i="1"/>
  <c r="P91" i="1" s="1"/>
  <c r="AE287" i="5"/>
  <c r="AB287" i="5"/>
  <c r="Z287" i="5"/>
  <c r="T287" i="5"/>
  <c r="O287" i="5"/>
  <c r="K287" i="5"/>
  <c r="I287" i="5"/>
  <c r="E287" i="5"/>
  <c r="AD287" i="5"/>
  <c r="Y287" i="5"/>
  <c r="W287" i="5"/>
  <c r="V287" i="5"/>
  <c r="U287" i="5"/>
  <c r="R287" i="5"/>
  <c r="N287" i="5"/>
  <c r="AC287" i="5"/>
  <c r="AA287" i="5"/>
  <c r="X287" i="5"/>
  <c r="S287" i="5"/>
  <c r="Q287" i="5"/>
  <c r="P287" i="5"/>
  <c r="M287" i="5"/>
  <c r="L287" i="5"/>
  <c r="J287" i="5"/>
  <c r="H287" i="5"/>
  <c r="G287" i="5"/>
  <c r="F287" i="5"/>
  <c r="D287" i="5"/>
  <c r="AE288" i="5"/>
  <c r="AD288" i="5"/>
  <c r="AC288" i="5"/>
  <c r="AB288" i="5"/>
  <c r="AA288" i="5"/>
  <c r="R288" i="5"/>
  <c r="P288" i="5"/>
  <c r="F288" i="5"/>
  <c r="Z288" i="5"/>
  <c r="Y288" i="5"/>
  <c r="X288" i="5"/>
  <c r="W288" i="5"/>
  <c r="V288" i="5"/>
  <c r="U288" i="5"/>
  <c r="T288" i="5"/>
  <c r="S288" i="5"/>
  <c r="Q288" i="5"/>
  <c r="O288" i="5"/>
  <c r="N288" i="5"/>
  <c r="M288" i="5"/>
  <c r="L288" i="5"/>
  <c r="K288" i="5"/>
  <c r="J288" i="5"/>
  <c r="I288" i="5"/>
  <c r="H288" i="5"/>
  <c r="G288" i="5"/>
  <c r="E288" i="5"/>
  <c r="D288" i="5"/>
  <c r="AE289" i="5"/>
  <c r="AD289" i="5"/>
  <c r="AC289" i="5"/>
  <c r="AB289" i="5"/>
  <c r="AA289" i="5"/>
  <c r="Z289" i="5"/>
  <c r="Y289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AE290" i="5"/>
  <c r="AD290" i="5"/>
  <c r="AC290" i="5"/>
  <c r="AB290" i="5"/>
  <c r="AA290" i="5"/>
  <c r="Z290" i="5"/>
  <c r="Y290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D290" i="5"/>
  <c r="AE293" i="5"/>
  <c r="AD293" i="5"/>
  <c r="AC293" i="5"/>
  <c r="AB293" i="5"/>
  <c r="AA293" i="5"/>
  <c r="Z293" i="5"/>
  <c r="Y293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D293" i="5"/>
  <c r="AE294" i="5"/>
  <c r="AD294" i="5"/>
  <c r="AC294" i="5"/>
  <c r="AB294" i="5"/>
  <c r="AA294" i="5"/>
  <c r="Z294" i="5"/>
  <c r="Y294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D294" i="5"/>
  <c r="AE295" i="5"/>
  <c r="AD295" i="5"/>
  <c r="AC295" i="5"/>
  <c r="AB295" i="5"/>
  <c r="AA295" i="5"/>
  <c r="Z295" i="5"/>
  <c r="Y295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AE266" i="5"/>
  <c r="AD266" i="5"/>
  <c r="AC266" i="5"/>
  <c r="AB266" i="5"/>
  <c r="AA266" i="5"/>
  <c r="Z266" i="5"/>
  <c r="Y266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D266" i="5"/>
  <c r="Z268" i="5"/>
  <c r="W268" i="5"/>
  <c r="S268" i="5"/>
  <c r="J268" i="5"/>
  <c r="E268" i="5"/>
  <c r="AE268" i="5"/>
  <c r="AD268" i="5"/>
  <c r="Y268" i="5"/>
  <c r="U268" i="5"/>
  <c r="R268" i="5"/>
  <c r="P268" i="5"/>
  <c r="M268" i="5"/>
  <c r="L268" i="5"/>
  <c r="G268" i="5"/>
  <c r="AC268" i="5"/>
  <c r="AB268" i="5"/>
  <c r="AA268" i="5"/>
  <c r="X268" i="5"/>
  <c r="O268" i="5"/>
  <c r="K268" i="5"/>
  <c r="H268" i="5"/>
  <c r="D268" i="5"/>
  <c r="V268" i="5"/>
  <c r="T268" i="5"/>
  <c r="Q268" i="5"/>
  <c r="N268" i="5"/>
  <c r="I268" i="5"/>
  <c r="F268" i="5"/>
  <c r="AC285" i="5"/>
  <c r="Y285" i="5"/>
  <c r="S285" i="5"/>
  <c r="P285" i="5"/>
  <c r="M285" i="5"/>
  <c r="J285" i="5"/>
  <c r="D285" i="5"/>
  <c r="H285" i="5"/>
  <c r="AE285" i="5"/>
  <c r="AB285" i="5"/>
  <c r="X285" i="5"/>
  <c r="T285" i="5"/>
  <c r="K285" i="5"/>
  <c r="F285" i="5"/>
  <c r="G285" i="5"/>
  <c r="AD285" i="5"/>
  <c r="AA285" i="5"/>
  <c r="W285" i="5"/>
  <c r="U285" i="5"/>
  <c r="R285" i="5"/>
  <c r="N285" i="5"/>
  <c r="I285" i="5"/>
  <c r="Z285" i="5"/>
  <c r="V285" i="5"/>
  <c r="Q285" i="5"/>
  <c r="O285" i="5"/>
  <c r="L285" i="5"/>
  <c r="E285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AE264" i="5"/>
  <c r="AD264" i="5"/>
  <c r="AC264" i="5"/>
  <c r="AB264" i="5"/>
  <c r="AA264" i="5"/>
  <c r="Z264" i="5"/>
  <c r="Y264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AC267" i="5"/>
  <c r="O267" i="5"/>
  <c r="M267" i="5"/>
  <c r="I267" i="5"/>
  <c r="F267" i="5"/>
  <c r="AD267" i="5"/>
  <c r="AA267" i="5"/>
  <c r="Z267" i="5"/>
  <c r="W267" i="5"/>
  <c r="U267" i="5"/>
  <c r="P267" i="5"/>
  <c r="L267" i="5"/>
  <c r="H267" i="5"/>
  <c r="D267" i="5"/>
  <c r="AB267" i="5"/>
  <c r="Y267" i="5"/>
  <c r="X267" i="5"/>
  <c r="T267" i="5"/>
  <c r="S267" i="5"/>
  <c r="R267" i="5"/>
  <c r="K267" i="5"/>
  <c r="AE267" i="5"/>
  <c r="V267" i="5"/>
  <c r="Q267" i="5"/>
  <c r="N267" i="5"/>
  <c r="J267" i="5"/>
  <c r="G267" i="5"/>
  <c r="E267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AE265" i="5"/>
  <c r="AD265" i="5"/>
  <c r="AC265" i="5"/>
  <c r="AB265" i="5"/>
  <c r="AA265" i="5"/>
  <c r="Z265" i="5"/>
  <c r="Y265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AE271" i="5"/>
  <c r="AC271" i="5"/>
  <c r="W271" i="5"/>
  <c r="R271" i="5"/>
  <c r="O271" i="5"/>
  <c r="L271" i="5"/>
  <c r="E271" i="5"/>
  <c r="AA271" i="5"/>
  <c r="X271" i="5"/>
  <c r="P271" i="5"/>
  <c r="H271" i="5"/>
  <c r="AD271" i="5"/>
  <c r="V271" i="5"/>
  <c r="T271" i="5"/>
  <c r="S271" i="5"/>
  <c r="K271" i="5"/>
  <c r="J271" i="5"/>
  <c r="I271" i="5"/>
  <c r="G271" i="5"/>
  <c r="D271" i="5"/>
  <c r="AB271" i="5"/>
  <c r="Z271" i="5"/>
  <c r="Y271" i="5"/>
  <c r="U271" i="5"/>
  <c r="Q271" i="5"/>
  <c r="N271" i="5"/>
  <c r="M271" i="5"/>
  <c r="F271" i="5"/>
  <c r="I272" i="5"/>
  <c r="H272" i="5"/>
  <c r="G272" i="5"/>
  <c r="F272" i="5"/>
  <c r="E272" i="5"/>
  <c r="D272" i="5"/>
  <c r="AE272" i="5"/>
  <c r="V272" i="5"/>
  <c r="R272" i="5"/>
  <c r="O272" i="5"/>
  <c r="L272" i="5"/>
  <c r="J272" i="5"/>
  <c r="AD272" i="5"/>
  <c r="AC272" i="5"/>
  <c r="AB272" i="5"/>
  <c r="AA272" i="5"/>
  <c r="Z272" i="5"/>
  <c r="Y272" i="5"/>
  <c r="X272" i="5"/>
  <c r="W272" i="5"/>
  <c r="U272" i="5"/>
  <c r="T272" i="5"/>
  <c r="S272" i="5"/>
  <c r="Q272" i="5"/>
  <c r="P272" i="5"/>
  <c r="N272" i="5"/>
  <c r="M272" i="5"/>
  <c r="K272" i="5"/>
  <c r="Y273" i="5"/>
  <c r="N273" i="5"/>
  <c r="I273" i="5"/>
  <c r="E273" i="5"/>
  <c r="AE273" i="5"/>
  <c r="AD273" i="5"/>
  <c r="AC273" i="5"/>
  <c r="AB273" i="5"/>
  <c r="AA273" i="5"/>
  <c r="Z273" i="5"/>
  <c r="X273" i="5"/>
  <c r="W273" i="5"/>
  <c r="V273" i="5"/>
  <c r="U273" i="5"/>
  <c r="T273" i="5"/>
  <c r="S273" i="5"/>
  <c r="R273" i="5"/>
  <c r="Q273" i="5"/>
  <c r="P273" i="5"/>
  <c r="O273" i="5"/>
  <c r="M273" i="5"/>
  <c r="L273" i="5"/>
  <c r="K273" i="5"/>
  <c r="J273" i="5"/>
  <c r="H273" i="5"/>
  <c r="G273" i="5"/>
  <c r="F273" i="5"/>
  <c r="D273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AE275" i="5"/>
  <c r="AD275" i="5"/>
  <c r="AC275" i="5"/>
  <c r="AB275" i="5"/>
  <c r="AA275" i="5"/>
  <c r="Z275" i="5"/>
  <c r="Y275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AE276" i="5"/>
  <c r="AD276" i="5"/>
  <c r="AC276" i="5"/>
  <c r="AB276" i="5"/>
  <c r="AA276" i="5"/>
  <c r="Z276" i="5"/>
  <c r="Y276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AE277" i="5"/>
  <c r="AD277" i="5"/>
  <c r="AC277" i="5"/>
  <c r="AB277" i="5"/>
  <c r="AA277" i="5"/>
  <c r="Z277" i="5"/>
  <c r="Y277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AE278" i="5"/>
  <c r="AD278" i="5"/>
  <c r="AC278" i="5"/>
  <c r="AB278" i="5"/>
  <c r="AA278" i="5"/>
  <c r="Z278" i="5"/>
  <c r="Y278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E278" i="5"/>
  <c r="H278" i="5"/>
  <c r="G278" i="5"/>
  <c r="F278" i="5"/>
  <c r="D278" i="5"/>
  <c r="AE279" i="5"/>
  <c r="AD279" i="5"/>
  <c r="AC279" i="5"/>
  <c r="AB279" i="5"/>
  <c r="AA279" i="5"/>
  <c r="Z279" i="5"/>
  <c r="Y279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AE280" i="5"/>
  <c r="AD280" i="5"/>
  <c r="AC280" i="5"/>
  <c r="AB280" i="5"/>
  <c r="AA280" i="5"/>
  <c r="Z280" i="5"/>
  <c r="Y280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AE281" i="5"/>
  <c r="AD281" i="5"/>
  <c r="AC281" i="5"/>
  <c r="AB281" i="5"/>
  <c r="AA281" i="5"/>
  <c r="Z281" i="5"/>
  <c r="Y281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AE282" i="5"/>
  <c r="AD282" i="5"/>
  <c r="AC282" i="5"/>
  <c r="AB282" i="5"/>
  <c r="AA282" i="5"/>
  <c r="Z282" i="5"/>
  <c r="Y282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V54" i="1"/>
  <c r="V88" i="1" s="1"/>
  <c r="X54" i="1"/>
  <c r="X88" i="1" s="1"/>
  <c r="R54" i="1"/>
  <c r="R88" i="1" s="1"/>
  <c r="Y54" i="1"/>
  <c r="Y88" i="1" s="1"/>
  <c r="Z54" i="1"/>
  <c r="Z88" i="1" s="1"/>
  <c r="AA54" i="1"/>
  <c r="AA88" i="1" s="1"/>
  <c r="AB54" i="1"/>
  <c r="AB88" i="1" s="1"/>
  <c r="AC54" i="1"/>
  <c r="AC88" i="1" s="1"/>
  <c r="AD54" i="1"/>
  <c r="AD88" i="1" s="1"/>
  <c r="AE54" i="1"/>
  <c r="AE88" i="1" s="1"/>
  <c r="D54" i="1"/>
  <c r="D88" i="1" s="1"/>
  <c r="F54" i="1"/>
  <c r="F88" i="1" s="1"/>
  <c r="U54" i="1"/>
  <c r="U88" i="1" s="1"/>
  <c r="T54" i="1"/>
  <c r="T88" i="1" s="1"/>
  <c r="S54" i="1"/>
  <c r="S88" i="1" s="1"/>
  <c r="G54" i="1"/>
  <c r="G88" i="1" s="1"/>
  <c r="H54" i="1"/>
  <c r="H88" i="1" s="1"/>
  <c r="I54" i="1"/>
  <c r="I88" i="1" s="1"/>
  <c r="J54" i="1"/>
  <c r="J88" i="1" s="1"/>
  <c r="K54" i="1"/>
  <c r="K88" i="1" s="1"/>
  <c r="L54" i="1"/>
  <c r="L88" i="1" s="1"/>
  <c r="M54" i="1"/>
  <c r="M88" i="1" s="1"/>
  <c r="N54" i="1"/>
  <c r="N88" i="1" s="1"/>
  <c r="O54" i="1"/>
  <c r="O88" i="1" s="1"/>
  <c r="P54" i="1"/>
  <c r="P88" i="1" s="1"/>
  <c r="Q54" i="1"/>
  <c r="Q88" i="1" s="1"/>
  <c r="W54" i="1"/>
  <c r="W88" i="1" s="1"/>
  <c r="E54" i="1"/>
  <c r="E88" i="1" s="1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AE258" i="5"/>
  <c r="AD258" i="5"/>
  <c r="AC258" i="5"/>
  <c r="AB258" i="5"/>
  <c r="AA258" i="5"/>
  <c r="Z258" i="5"/>
  <c r="Y258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AB270" i="5"/>
  <c r="Z270" i="5"/>
  <c r="P270" i="5"/>
  <c r="N270" i="5"/>
  <c r="M270" i="5"/>
  <c r="L270" i="5"/>
  <c r="H270" i="5"/>
  <c r="G270" i="5"/>
  <c r="D270" i="5"/>
  <c r="AD270" i="5"/>
  <c r="AA270" i="5"/>
  <c r="X270" i="5"/>
  <c r="W270" i="5"/>
  <c r="V270" i="5"/>
  <c r="U270" i="5"/>
  <c r="T270" i="5"/>
  <c r="S270" i="5"/>
  <c r="R270" i="5"/>
  <c r="O270" i="5"/>
  <c r="J270" i="5"/>
  <c r="F270" i="5"/>
  <c r="AE270" i="5"/>
  <c r="AC270" i="5"/>
  <c r="Y270" i="5"/>
  <c r="Q270" i="5"/>
  <c r="K270" i="5"/>
  <c r="I270" i="5"/>
  <c r="E270" i="5"/>
  <c r="AE257" i="5"/>
  <c r="AD257" i="5"/>
  <c r="AC257" i="5"/>
  <c r="AB257" i="5"/>
  <c r="AA257" i="5"/>
  <c r="Z257" i="5"/>
  <c r="Y257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AB269" i="5"/>
  <c r="W269" i="5"/>
  <c r="Q269" i="5"/>
  <c r="O269" i="5"/>
  <c r="N269" i="5"/>
  <c r="J269" i="5"/>
  <c r="I269" i="5"/>
  <c r="E269" i="5"/>
  <c r="AE269" i="5"/>
  <c r="AD269" i="5"/>
  <c r="AC269" i="5"/>
  <c r="Z269" i="5"/>
  <c r="Y269" i="5"/>
  <c r="X269" i="5"/>
  <c r="U269" i="5"/>
  <c r="T269" i="5"/>
  <c r="S269" i="5"/>
  <c r="R269" i="5"/>
  <c r="P269" i="5"/>
  <c r="K269" i="5"/>
  <c r="G269" i="5"/>
  <c r="D269" i="5"/>
  <c r="AA269" i="5"/>
  <c r="V269" i="5"/>
  <c r="M269" i="5"/>
  <c r="L269" i="5"/>
  <c r="H269" i="5"/>
  <c r="F269" i="5"/>
  <c r="AB283" i="5"/>
  <c r="Y283" i="5"/>
  <c r="W283" i="5"/>
  <c r="S283" i="5"/>
  <c r="N283" i="5"/>
  <c r="K283" i="5"/>
  <c r="D283" i="5"/>
  <c r="H283" i="5"/>
  <c r="T283" i="5"/>
  <c r="G283" i="5"/>
  <c r="AC283" i="5"/>
  <c r="Z283" i="5"/>
  <c r="Q283" i="5"/>
  <c r="L283" i="5"/>
  <c r="I283" i="5"/>
  <c r="AD283" i="5"/>
  <c r="X283" i="5"/>
  <c r="U283" i="5"/>
  <c r="O283" i="5"/>
  <c r="F283" i="5"/>
  <c r="AE283" i="5"/>
  <c r="AA283" i="5"/>
  <c r="V283" i="5"/>
  <c r="R283" i="5"/>
  <c r="P283" i="5"/>
  <c r="M283" i="5"/>
  <c r="J283" i="5"/>
  <c r="E283" i="5"/>
  <c r="Z284" i="5"/>
  <c r="R284" i="5"/>
  <c r="G284" i="5"/>
  <c r="L284" i="5"/>
  <c r="K284" i="5"/>
  <c r="D284" i="5"/>
  <c r="AD284" i="5"/>
  <c r="AB284" i="5"/>
  <c r="W284" i="5"/>
  <c r="T284" i="5"/>
  <c r="Q284" i="5"/>
  <c r="O284" i="5"/>
  <c r="N284" i="5"/>
  <c r="E284" i="5"/>
  <c r="J284" i="5"/>
  <c r="AC284" i="5"/>
  <c r="AA284" i="5"/>
  <c r="X284" i="5"/>
  <c r="U284" i="5"/>
  <c r="S284" i="5"/>
  <c r="M284" i="5"/>
  <c r="I284" i="5"/>
  <c r="F284" i="5"/>
  <c r="AE284" i="5"/>
  <c r="Y284" i="5"/>
  <c r="V284" i="5"/>
  <c r="P284" i="5"/>
  <c r="H284" i="5"/>
  <c r="AE292" i="5"/>
  <c r="AD292" i="5"/>
  <c r="AC292" i="5"/>
  <c r="AB292" i="5"/>
  <c r="AA292" i="5"/>
  <c r="Z292" i="5"/>
  <c r="Y292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AE291" i="5"/>
  <c r="AD291" i="5"/>
  <c r="AC291" i="5"/>
  <c r="AB291" i="5"/>
  <c r="AA291" i="5"/>
  <c r="Z291" i="5"/>
  <c r="Y291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AE296" i="5"/>
  <c r="AD296" i="5"/>
  <c r="AC296" i="5"/>
  <c r="AB296" i="5"/>
  <c r="AA296" i="5"/>
  <c r="Z296" i="5"/>
  <c r="Y296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D296" i="5"/>
  <c r="AB286" i="5"/>
  <c r="Z286" i="5"/>
  <c r="Y286" i="5"/>
  <c r="U286" i="5"/>
  <c r="T286" i="5"/>
  <c r="O286" i="5"/>
  <c r="L286" i="5"/>
  <c r="H286" i="5"/>
  <c r="G286" i="5"/>
  <c r="E286" i="5"/>
  <c r="AE286" i="5"/>
  <c r="AD286" i="5"/>
  <c r="AC286" i="5"/>
  <c r="AA286" i="5"/>
  <c r="W286" i="5"/>
  <c r="V286" i="5"/>
  <c r="R286" i="5"/>
  <c r="Q286" i="5"/>
  <c r="P286" i="5"/>
  <c r="M286" i="5"/>
  <c r="J286" i="5"/>
  <c r="I286" i="5"/>
  <c r="D286" i="5"/>
  <c r="X286" i="5"/>
  <c r="S286" i="5"/>
  <c r="N286" i="5"/>
  <c r="K286" i="5"/>
  <c r="F286" i="5"/>
  <c r="AC43" i="2"/>
  <c r="C257" i="4"/>
  <c r="AE284" i="4"/>
  <c r="U284" i="4"/>
  <c r="R284" i="4"/>
  <c r="O284" i="4"/>
  <c r="E284" i="4"/>
  <c r="Z284" i="4"/>
  <c r="W284" i="4"/>
  <c r="L284" i="4"/>
  <c r="H284" i="4"/>
  <c r="AA284" i="4"/>
  <c r="Y284" i="4"/>
  <c r="J284" i="4"/>
  <c r="F284" i="4"/>
  <c r="AB284" i="4"/>
  <c r="S284" i="4"/>
  <c r="P284" i="4"/>
  <c r="X284" i="4"/>
  <c r="K284" i="4"/>
  <c r="G284" i="4"/>
  <c r="AD284" i="4"/>
  <c r="M284" i="4"/>
  <c r="I284" i="4"/>
  <c r="D284" i="4"/>
  <c r="AC284" i="4"/>
  <c r="V284" i="4"/>
  <c r="T284" i="4"/>
  <c r="Q284" i="4"/>
  <c r="N284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AB288" i="4"/>
  <c r="AA288" i="4"/>
  <c r="Y288" i="4"/>
  <c r="X288" i="4"/>
  <c r="W288" i="4"/>
  <c r="T288" i="4"/>
  <c r="S288" i="4"/>
  <c r="R288" i="4"/>
  <c r="Q288" i="4"/>
  <c r="M288" i="4"/>
  <c r="L288" i="4"/>
  <c r="K288" i="4"/>
  <c r="J288" i="4"/>
  <c r="G288" i="4"/>
  <c r="F288" i="4"/>
  <c r="D288" i="4"/>
  <c r="AE288" i="4"/>
  <c r="AD288" i="4"/>
  <c r="AC288" i="4"/>
  <c r="Z288" i="4"/>
  <c r="V288" i="4"/>
  <c r="U288" i="4"/>
  <c r="P288" i="4"/>
  <c r="O288" i="4"/>
  <c r="N288" i="4"/>
  <c r="I288" i="4"/>
  <c r="H288" i="4"/>
  <c r="E288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S53" i="1"/>
  <c r="S87" i="1" s="1"/>
  <c r="W53" i="1"/>
  <c r="W87" i="1" s="1"/>
  <c r="X53" i="1"/>
  <c r="X87" i="1" s="1"/>
  <c r="Y53" i="1"/>
  <c r="Y87" i="1" s="1"/>
  <c r="Z53" i="1"/>
  <c r="Z87" i="1" s="1"/>
  <c r="AA53" i="1"/>
  <c r="AA87" i="1" s="1"/>
  <c r="AB53" i="1"/>
  <c r="AB87" i="1" s="1"/>
  <c r="AC53" i="1"/>
  <c r="AC87" i="1" s="1"/>
  <c r="AD53" i="1"/>
  <c r="AD87" i="1" s="1"/>
  <c r="AE53" i="1"/>
  <c r="AE87" i="1" s="1"/>
  <c r="D53" i="1"/>
  <c r="D87" i="1" s="1"/>
  <c r="E53" i="1"/>
  <c r="E87" i="1" s="1"/>
  <c r="F53" i="1"/>
  <c r="F87" i="1" s="1"/>
  <c r="V53" i="1"/>
  <c r="V87" i="1" s="1"/>
  <c r="H53" i="1"/>
  <c r="H87" i="1" s="1"/>
  <c r="I53" i="1"/>
  <c r="I87" i="1" s="1"/>
  <c r="U53" i="1"/>
  <c r="U87" i="1" s="1"/>
  <c r="J53" i="1"/>
  <c r="J87" i="1" s="1"/>
  <c r="T53" i="1"/>
  <c r="T87" i="1" s="1"/>
  <c r="K53" i="1"/>
  <c r="K87" i="1" s="1"/>
  <c r="L53" i="1"/>
  <c r="L87" i="1" s="1"/>
  <c r="M53" i="1"/>
  <c r="M87" i="1" s="1"/>
  <c r="N53" i="1"/>
  <c r="N87" i="1" s="1"/>
  <c r="O53" i="1"/>
  <c r="O87" i="1" s="1"/>
  <c r="P53" i="1"/>
  <c r="P87" i="1" s="1"/>
  <c r="Q53" i="1"/>
  <c r="Q87" i="1" s="1"/>
  <c r="R53" i="1"/>
  <c r="R87" i="1" s="1"/>
  <c r="G53" i="1"/>
  <c r="G87" i="1" s="1"/>
  <c r="V267" i="4"/>
  <c r="S267" i="4"/>
  <c r="P267" i="4"/>
  <c r="AA267" i="4"/>
  <c r="O267" i="4"/>
  <c r="K267" i="4"/>
  <c r="I267" i="4"/>
  <c r="F267" i="4"/>
  <c r="AC267" i="4"/>
  <c r="D267" i="4"/>
  <c r="X267" i="4"/>
  <c r="N267" i="4"/>
  <c r="H267" i="4"/>
  <c r="W267" i="4"/>
  <c r="AD267" i="4"/>
  <c r="R267" i="4"/>
  <c r="M267" i="4"/>
  <c r="L267" i="4"/>
  <c r="G267" i="4"/>
  <c r="U267" i="4"/>
  <c r="Q267" i="4"/>
  <c r="Z267" i="4"/>
  <c r="E267" i="4"/>
  <c r="AE267" i="4"/>
  <c r="T267" i="4"/>
  <c r="Y267" i="4"/>
  <c r="AB267" i="4"/>
  <c r="J267" i="4"/>
  <c r="AD260" i="4"/>
  <c r="H260" i="4"/>
  <c r="J260" i="4"/>
  <c r="M260" i="4"/>
  <c r="N260" i="4"/>
  <c r="R260" i="4"/>
  <c r="W260" i="4"/>
  <c r="Z260" i="4"/>
  <c r="AB260" i="4"/>
  <c r="E260" i="4"/>
  <c r="X260" i="4"/>
  <c r="O260" i="4"/>
  <c r="P260" i="4"/>
  <c r="T260" i="4"/>
  <c r="Y260" i="4"/>
  <c r="AE260" i="4"/>
  <c r="D260" i="4"/>
  <c r="F260" i="4"/>
  <c r="I260" i="4"/>
  <c r="K260" i="4"/>
  <c r="S260" i="4"/>
  <c r="V260" i="4"/>
  <c r="AC260" i="4"/>
  <c r="G260" i="4"/>
  <c r="L260" i="4"/>
  <c r="Q260" i="4"/>
  <c r="U260" i="4"/>
  <c r="AA260" i="4"/>
  <c r="AC265" i="4"/>
  <c r="Z265" i="4"/>
  <c r="V265" i="4"/>
  <c r="T265" i="4"/>
  <c r="O265" i="4"/>
  <c r="L265" i="4"/>
  <c r="J265" i="4"/>
  <c r="G265" i="4"/>
  <c r="AD265" i="4"/>
  <c r="D265" i="4"/>
  <c r="AE265" i="4"/>
  <c r="W265" i="4"/>
  <c r="X265" i="4"/>
  <c r="N265" i="4"/>
  <c r="F265" i="4"/>
  <c r="E265" i="4"/>
  <c r="AA265" i="4"/>
  <c r="Y265" i="4"/>
  <c r="U265" i="4"/>
  <c r="S265" i="4"/>
  <c r="P265" i="4"/>
  <c r="I265" i="4"/>
  <c r="Q265" i="4"/>
  <c r="AB265" i="4"/>
  <c r="R265" i="4"/>
  <c r="M265" i="4"/>
  <c r="K265" i="4"/>
  <c r="H265" i="4"/>
  <c r="D266" i="4"/>
  <c r="G266" i="4"/>
  <c r="K266" i="4"/>
  <c r="L266" i="4"/>
  <c r="N266" i="4"/>
  <c r="Q266" i="4"/>
  <c r="T266" i="4"/>
  <c r="W266" i="4"/>
  <c r="Y266" i="4"/>
  <c r="AE266" i="4"/>
  <c r="P266" i="4"/>
  <c r="U266" i="4"/>
  <c r="AB266" i="4"/>
  <c r="H266" i="4"/>
  <c r="AA266" i="4"/>
  <c r="E266" i="4"/>
  <c r="J266" i="4"/>
  <c r="F266" i="4"/>
  <c r="O266" i="4"/>
  <c r="R266" i="4"/>
  <c r="V266" i="4"/>
  <c r="X266" i="4"/>
  <c r="I266" i="4"/>
  <c r="AD266" i="4"/>
  <c r="M266" i="4"/>
  <c r="S266" i="4"/>
  <c r="Z266" i="4"/>
  <c r="AC266" i="4"/>
  <c r="D268" i="4"/>
  <c r="AC268" i="4"/>
  <c r="R268" i="4"/>
  <c r="T268" i="4"/>
  <c r="AB268" i="4"/>
  <c r="I268" i="4"/>
  <c r="W268" i="4"/>
  <c r="AD268" i="4"/>
  <c r="K268" i="4"/>
  <c r="G268" i="4"/>
  <c r="AA268" i="4"/>
  <c r="N268" i="4"/>
  <c r="H268" i="4"/>
  <c r="J268" i="4"/>
  <c r="L268" i="4"/>
  <c r="E268" i="4"/>
  <c r="Q268" i="4"/>
  <c r="F268" i="4"/>
  <c r="V268" i="4"/>
  <c r="Y268" i="4"/>
  <c r="M268" i="4"/>
  <c r="P268" i="4"/>
  <c r="S268" i="4"/>
  <c r="U268" i="4"/>
  <c r="AE268" i="4"/>
  <c r="X268" i="4"/>
  <c r="Z268" i="4"/>
  <c r="O268" i="4"/>
  <c r="X272" i="4"/>
  <c r="V272" i="4"/>
  <c r="R272" i="4"/>
  <c r="J272" i="4"/>
  <c r="E272" i="4"/>
  <c r="AE272" i="4"/>
  <c r="AD272" i="4"/>
  <c r="AC272" i="4"/>
  <c r="AB272" i="4"/>
  <c r="AA272" i="4"/>
  <c r="Z272" i="4"/>
  <c r="Y272" i="4"/>
  <c r="W272" i="4"/>
  <c r="U272" i="4"/>
  <c r="T272" i="4"/>
  <c r="S272" i="4"/>
  <c r="Q272" i="4"/>
  <c r="P272" i="4"/>
  <c r="O272" i="4"/>
  <c r="N272" i="4"/>
  <c r="M272" i="4"/>
  <c r="L272" i="4"/>
  <c r="K272" i="4"/>
  <c r="I272" i="4"/>
  <c r="H272" i="4"/>
  <c r="G272" i="4"/>
  <c r="F272" i="4"/>
  <c r="D272" i="4"/>
  <c r="AE273" i="4"/>
  <c r="X273" i="4"/>
  <c r="W273" i="4"/>
  <c r="V273" i="4"/>
  <c r="U273" i="4"/>
  <c r="T273" i="4"/>
  <c r="R273" i="4"/>
  <c r="J273" i="4"/>
  <c r="AD273" i="4"/>
  <c r="AC273" i="4"/>
  <c r="AB273" i="4"/>
  <c r="AA273" i="4"/>
  <c r="Z273" i="4"/>
  <c r="Y273" i="4"/>
  <c r="S273" i="4"/>
  <c r="Q273" i="4"/>
  <c r="P273" i="4"/>
  <c r="O273" i="4"/>
  <c r="N273" i="4"/>
  <c r="M273" i="4"/>
  <c r="L273" i="4"/>
  <c r="K273" i="4"/>
  <c r="I273" i="4"/>
  <c r="H273" i="4"/>
  <c r="G273" i="4"/>
  <c r="F273" i="4"/>
  <c r="E273" i="4"/>
  <c r="D273" i="4"/>
  <c r="U274" i="4"/>
  <c r="S274" i="4"/>
  <c r="R274" i="4"/>
  <c r="Q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AE274" i="4"/>
  <c r="AD274" i="4"/>
  <c r="AC274" i="4"/>
  <c r="AB274" i="4"/>
  <c r="AA274" i="4"/>
  <c r="Z274" i="4"/>
  <c r="Y274" i="4"/>
  <c r="X274" i="4"/>
  <c r="W274" i="4"/>
  <c r="V274" i="4"/>
  <c r="T274" i="4"/>
  <c r="P274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AE261" i="4"/>
  <c r="G261" i="4"/>
  <c r="K261" i="4"/>
  <c r="R261" i="4"/>
  <c r="W261" i="4"/>
  <c r="Z261" i="4"/>
  <c r="AD261" i="4"/>
  <c r="E261" i="4"/>
  <c r="J261" i="4"/>
  <c r="N261" i="4"/>
  <c r="O261" i="4"/>
  <c r="D261" i="4"/>
  <c r="H261" i="4"/>
  <c r="L261" i="4"/>
  <c r="P261" i="4"/>
  <c r="S261" i="4"/>
  <c r="X261" i="4"/>
  <c r="AA261" i="4"/>
  <c r="AC261" i="4"/>
  <c r="V261" i="4"/>
  <c r="F261" i="4"/>
  <c r="I261" i="4"/>
  <c r="M261" i="4"/>
  <c r="Q261" i="4"/>
  <c r="U261" i="4"/>
  <c r="Y261" i="4"/>
  <c r="AB261" i="4"/>
  <c r="T261" i="4"/>
  <c r="AE262" i="4"/>
  <c r="D262" i="4"/>
  <c r="H262" i="4"/>
  <c r="AB262" i="4"/>
  <c r="P262" i="4"/>
  <c r="S262" i="4"/>
  <c r="Y262" i="4"/>
  <c r="Z262" i="4"/>
  <c r="AA262" i="4"/>
  <c r="E262" i="4"/>
  <c r="N262" i="4"/>
  <c r="T262" i="4"/>
  <c r="L262" i="4"/>
  <c r="F262" i="4"/>
  <c r="G262" i="4"/>
  <c r="O262" i="4"/>
  <c r="V262" i="4"/>
  <c r="K262" i="4"/>
  <c r="I262" i="4"/>
  <c r="AC262" i="4"/>
  <c r="Q262" i="4"/>
  <c r="U262" i="4"/>
  <c r="W262" i="4"/>
  <c r="AD262" i="4"/>
  <c r="M262" i="4"/>
  <c r="J262" i="4"/>
  <c r="R262" i="4"/>
  <c r="X262" i="4"/>
  <c r="AC270" i="4"/>
  <c r="Y270" i="4"/>
  <c r="T270" i="4"/>
  <c r="Q270" i="4"/>
  <c r="M270" i="4"/>
  <c r="G270" i="4"/>
  <c r="AA270" i="4"/>
  <c r="X270" i="4"/>
  <c r="W270" i="4"/>
  <c r="N270" i="4"/>
  <c r="K270" i="4"/>
  <c r="I270" i="4"/>
  <c r="H270" i="4"/>
  <c r="F270" i="4"/>
  <c r="D270" i="4"/>
  <c r="AD270" i="4"/>
  <c r="V270" i="4"/>
  <c r="R270" i="4"/>
  <c r="O270" i="4"/>
  <c r="AE270" i="4"/>
  <c r="AB270" i="4"/>
  <c r="Z270" i="4"/>
  <c r="U270" i="4"/>
  <c r="S270" i="4"/>
  <c r="P270" i="4"/>
  <c r="L270" i="4"/>
  <c r="J270" i="4"/>
  <c r="E270" i="4"/>
  <c r="M258" i="4"/>
  <c r="R258" i="4"/>
  <c r="O258" i="4"/>
  <c r="AE258" i="4"/>
  <c r="J258" i="4"/>
  <c r="E258" i="4"/>
  <c r="Z258" i="4"/>
  <c r="AA258" i="4"/>
  <c r="V258" i="4"/>
  <c r="Q258" i="4"/>
  <c r="P258" i="4"/>
  <c r="U258" i="4"/>
  <c r="I258" i="4"/>
  <c r="AB258" i="4"/>
  <c r="AC258" i="4"/>
  <c r="X258" i="4"/>
  <c r="S258" i="4"/>
  <c r="N258" i="4"/>
  <c r="G258" i="4"/>
  <c r="D258" i="4"/>
  <c r="Y258" i="4"/>
  <c r="W258" i="4"/>
  <c r="T258" i="4"/>
  <c r="L258" i="4"/>
  <c r="K258" i="4"/>
  <c r="H258" i="4"/>
  <c r="F258" i="4"/>
  <c r="AD258" i="4"/>
  <c r="O264" i="4"/>
  <c r="R264" i="4"/>
  <c r="S264" i="4"/>
  <c r="U264" i="4"/>
  <c r="X264" i="4"/>
  <c r="AC264" i="4"/>
  <c r="I264" i="4"/>
  <c r="D264" i="4"/>
  <c r="L264" i="4"/>
  <c r="AA264" i="4"/>
  <c r="J264" i="4"/>
  <c r="E264" i="4"/>
  <c r="P264" i="4"/>
  <c r="Z264" i="4"/>
  <c r="AB264" i="4"/>
  <c r="AE264" i="4"/>
  <c r="H264" i="4"/>
  <c r="F264" i="4"/>
  <c r="M264" i="4"/>
  <c r="Q264" i="4"/>
  <c r="W264" i="4"/>
  <c r="K264" i="4"/>
  <c r="G264" i="4"/>
  <c r="N264" i="4"/>
  <c r="T264" i="4"/>
  <c r="V264" i="4"/>
  <c r="Y264" i="4"/>
  <c r="AD264" i="4"/>
  <c r="V263" i="4"/>
  <c r="R263" i="4"/>
  <c r="Q263" i="4"/>
  <c r="N263" i="4"/>
  <c r="AC263" i="4"/>
  <c r="Z263" i="4"/>
  <c r="K263" i="4"/>
  <c r="H263" i="4"/>
  <c r="E263" i="4"/>
  <c r="Y263" i="4"/>
  <c r="X263" i="4"/>
  <c r="J263" i="4"/>
  <c r="I263" i="4"/>
  <c r="F263" i="4"/>
  <c r="D263" i="4"/>
  <c r="T263" i="4"/>
  <c r="P263" i="4"/>
  <c r="L263" i="4"/>
  <c r="G263" i="4"/>
  <c r="AA263" i="4"/>
  <c r="AD263" i="4"/>
  <c r="W263" i="4"/>
  <c r="U263" i="4"/>
  <c r="S263" i="4"/>
  <c r="O263" i="4"/>
  <c r="M263" i="4"/>
  <c r="AB263" i="4"/>
  <c r="AE263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AC269" i="4"/>
  <c r="Z269" i="4"/>
  <c r="R269" i="4"/>
  <c r="O269" i="4"/>
  <c r="L269" i="4"/>
  <c r="AD269" i="4"/>
  <c r="AA269" i="4"/>
  <c r="Y269" i="4"/>
  <c r="X269" i="4"/>
  <c r="W269" i="4"/>
  <c r="V269" i="4"/>
  <c r="Q269" i="4"/>
  <c r="N269" i="4"/>
  <c r="M269" i="4"/>
  <c r="E269" i="4"/>
  <c r="U269" i="4"/>
  <c r="T269" i="4"/>
  <c r="J269" i="4"/>
  <c r="I269" i="4"/>
  <c r="H269" i="4"/>
  <c r="G269" i="4"/>
  <c r="D269" i="4"/>
  <c r="AE269" i="4"/>
  <c r="AB269" i="4"/>
  <c r="S269" i="4"/>
  <c r="P269" i="4"/>
  <c r="K269" i="4"/>
  <c r="F269" i="4"/>
  <c r="AC283" i="4"/>
  <c r="Y283" i="4"/>
  <c r="U283" i="4"/>
  <c r="S283" i="4"/>
  <c r="Q283" i="4"/>
  <c r="M283" i="4"/>
  <c r="F283" i="4"/>
  <c r="D283" i="4"/>
  <c r="W283" i="4"/>
  <c r="X283" i="4"/>
  <c r="AD283" i="4"/>
  <c r="AB283" i="4"/>
  <c r="P283" i="4"/>
  <c r="K283" i="4"/>
  <c r="E283" i="4"/>
  <c r="V283" i="4"/>
  <c r="I283" i="4"/>
  <c r="AA283" i="4"/>
  <c r="T283" i="4"/>
  <c r="O283" i="4"/>
  <c r="L283" i="4"/>
  <c r="H283" i="4"/>
  <c r="AE283" i="4"/>
  <c r="Z283" i="4"/>
  <c r="R283" i="4"/>
  <c r="N283" i="4"/>
  <c r="J283" i="4"/>
  <c r="G283" i="4"/>
  <c r="AD286" i="4"/>
  <c r="AC286" i="4"/>
  <c r="AB286" i="4"/>
  <c r="Y286" i="4"/>
  <c r="X286" i="4"/>
  <c r="T286" i="4"/>
  <c r="S286" i="4"/>
  <c r="R286" i="4"/>
  <c r="N286" i="4"/>
  <c r="L286" i="4"/>
  <c r="J286" i="4"/>
  <c r="H286" i="4"/>
  <c r="G286" i="4"/>
  <c r="E286" i="4"/>
  <c r="AE286" i="4"/>
  <c r="AA286" i="4"/>
  <c r="Z286" i="4"/>
  <c r="V286" i="4"/>
  <c r="Q286" i="4"/>
  <c r="O286" i="4"/>
  <c r="K286" i="4"/>
  <c r="F286" i="4"/>
  <c r="W286" i="4"/>
  <c r="U286" i="4"/>
  <c r="P286" i="4"/>
  <c r="M286" i="4"/>
  <c r="I286" i="4"/>
  <c r="D286" i="4"/>
  <c r="AC287" i="4"/>
  <c r="X287" i="4"/>
  <c r="W287" i="4"/>
  <c r="T287" i="4"/>
  <c r="R287" i="4"/>
  <c r="M287" i="4"/>
  <c r="K287" i="4"/>
  <c r="F287" i="4"/>
  <c r="AE287" i="4"/>
  <c r="AD287" i="4"/>
  <c r="AB287" i="4"/>
  <c r="AA287" i="4"/>
  <c r="Z287" i="4"/>
  <c r="Y287" i="4"/>
  <c r="U287" i="4"/>
  <c r="Q287" i="4"/>
  <c r="P287" i="4"/>
  <c r="O287" i="4"/>
  <c r="J287" i="4"/>
  <c r="I287" i="4"/>
  <c r="G287" i="4"/>
  <c r="D287" i="4"/>
  <c r="V287" i="4"/>
  <c r="S287" i="4"/>
  <c r="N287" i="4"/>
  <c r="L287" i="4"/>
  <c r="H287" i="4"/>
  <c r="E287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X271" i="4"/>
  <c r="W271" i="4"/>
  <c r="Q271" i="4"/>
  <c r="J271" i="4"/>
  <c r="G271" i="4"/>
  <c r="AE271" i="4"/>
  <c r="AB271" i="4"/>
  <c r="V271" i="4"/>
  <c r="P271" i="4"/>
  <c r="O271" i="4"/>
  <c r="N271" i="4"/>
  <c r="H271" i="4"/>
  <c r="D271" i="4"/>
  <c r="AD271" i="4"/>
  <c r="AA271" i="4"/>
  <c r="Z271" i="4"/>
  <c r="T271" i="4"/>
  <c r="S271" i="4"/>
  <c r="R271" i="4"/>
  <c r="M271" i="4"/>
  <c r="L271" i="4"/>
  <c r="K271" i="4"/>
  <c r="E271" i="4"/>
  <c r="AC271" i="4"/>
  <c r="Y271" i="4"/>
  <c r="U271" i="4"/>
  <c r="I271" i="4"/>
  <c r="F271" i="4"/>
  <c r="AC285" i="4"/>
  <c r="Z285" i="4"/>
  <c r="W285" i="4"/>
  <c r="Q285" i="4"/>
  <c r="M285" i="4"/>
  <c r="D285" i="4"/>
  <c r="R285" i="4"/>
  <c r="J285" i="4"/>
  <c r="G285" i="4"/>
  <c r="L285" i="4"/>
  <c r="K285" i="4"/>
  <c r="H285" i="4"/>
  <c r="AB285" i="4"/>
  <c r="X285" i="4"/>
  <c r="U285" i="4"/>
  <c r="S285" i="4"/>
  <c r="O285" i="4"/>
  <c r="E285" i="4"/>
  <c r="I285" i="4"/>
  <c r="AD285" i="4"/>
  <c r="AA285" i="4"/>
  <c r="Y285" i="4"/>
  <c r="V285" i="4"/>
  <c r="T285" i="4"/>
  <c r="N285" i="4"/>
  <c r="F285" i="4"/>
  <c r="AE285" i="4"/>
  <c r="P285" i="4"/>
  <c r="AE259" i="4"/>
  <c r="AA259" i="4"/>
  <c r="Z259" i="4"/>
  <c r="W259" i="4"/>
  <c r="D259" i="4"/>
  <c r="E259" i="4"/>
  <c r="P259" i="4"/>
  <c r="S259" i="4"/>
  <c r="U259" i="4"/>
  <c r="AC259" i="4"/>
  <c r="X259" i="4"/>
  <c r="N259" i="4"/>
  <c r="L259" i="4"/>
  <c r="F259" i="4"/>
  <c r="H259" i="4"/>
  <c r="AD259" i="4"/>
  <c r="M259" i="4"/>
  <c r="J259" i="4"/>
  <c r="AB259" i="4"/>
  <c r="T259" i="4"/>
  <c r="R259" i="4"/>
  <c r="O259" i="4"/>
  <c r="K259" i="4"/>
  <c r="Y259" i="4"/>
  <c r="V259" i="4"/>
  <c r="Q259" i="4"/>
  <c r="I259" i="4"/>
  <c r="G259" i="4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AD227" i="5"/>
  <c r="Y227" i="5"/>
  <c r="W227" i="5"/>
  <c r="T227" i="5"/>
  <c r="P227" i="5"/>
  <c r="J227" i="5"/>
  <c r="D227" i="5"/>
  <c r="AB227" i="5"/>
  <c r="S227" i="5"/>
  <c r="Q227" i="5"/>
  <c r="N227" i="5"/>
  <c r="H227" i="5"/>
  <c r="E227" i="5"/>
  <c r="AE227" i="5"/>
  <c r="AA227" i="5"/>
  <c r="Z227" i="5"/>
  <c r="O227" i="5"/>
  <c r="L227" i="5"/>
  <c r="K227" i="5"/>
  <c r="G227" i="5"/>
  <c r="F227" i="5"/>
  <c r="AC227" i="5"/>
  <c r="X227" i="5"/>
  <c r="V227" i="5"/>
  <c r="U227" i="5"/>
  <c r="R227" i="5"/>
  <c r="M227" i="5"/>
  <c r="I227" i="5"/>
  <c r="AD228" i="5"/>
  <c r="V228" i="5"/>
  <c r="R228" i="5"/>
  <c r="Q228" i="5"/>
  <c r="N228" i="5"/>
  <c r="K228" i="5"/>
  <c r="I228" i="5"/>
  <c r="E228" i="5"/>
  <c r="AC228" i="5"/>
  <c r="AA228" i="5"/>
  <c r="Y228" i="5"/>
  <c r="X228" i="5"/>
  <c r="U228" i="5"/>
  <c r="P228" i="5"/>
  <c r="J228" i="5"/>
  <c r="F228" i="5"/>
  <c r="AE228" i="5"/>
  <c r="Z228" i="5"/>
  <c r="T228" i="5"/>
  <c r="O228" i="5"/>
  <c r="G228" i="5"/>
  <c r="AB228" i="5"/>
  <c r="W228" i="5"/>
  <c r="S228" i="5"/>
  <c r="M228" i="5"/>
  <c r="L228" i="5"/>
  <c r="H228" i="5"/>
  <c r="D228" i="5"/>
  <c r="Z231" i="5"/>
  <c r="Y231" i="5"/>
  <c r="S231" i="5"/>
  <c r="R231" i="5"/>
  <c r="L231" i="5"/>
  <c r="X231" i="5"/>
  <c r="W231" i="5"/>
  <c r="T231" i="5"/>
  <c r="M231" i="5"/>
  <c r="E231" i="5"/>
  <c r="AE231" i="5"/>
  <c r="AD231" i="5"/>
  <c r="AC231" i="5"/>
  <c r="AB231" i="5"/>
  <c r="AA231" i="5"/>
  <c r="V231" i="5"/>
  <c r="Q231" i="5"/>
  <c r="P231" i="5"/>
  <c r="O231" i="5"/>
  <c r="N231" i="5"/>
  <c r="J231" i="5"/>
  <c r="I231" i="5"/>
  <c r="G231" i="5"/>
  <c r="U231" i="5"/>
  <c r="K231" i="5"/>
  <c r="H231" i="5"/>
  <c r="F231" i="5"/>
  <c r="D231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AD246" i="5"/>
  <c r="AA246" i="5"/>
  <c r="U246" i="5"/>
  <c r="R246" i="5"/>
  <c r="L246" i="5"/>
  <c r="H246" i="5"/>
  <c r="G246" i="5"/>
  <c r="D246" i="5"/>
  <c r="AC246" i="5"/>
  <c r="AB246" i="5"/>
  <c r="Z246" i="5"/>
  <c r="Y246" i="5"/>
  <c r="X246" i="5"/>
  <c r="W246" i="5"/>
  <c r="T246" i="5"/>
  <c r="Q246" i="5"/>
  <c r="P246" i="5"/>
  <c r="N246" i="5"/>
  <c r="M246" i="5"/>
  <c r="K246" i="5"/>
  <c r="J246" i="5"/>
  <c r="I246" i="5"/>
  <c r="E246" i="5"/>
  <c r="AE246" i="5"/>
  <c r="V246" i="5"/>
  <c r="S246" i="5"/>
  <c r="O246" i="5"/>
  <c r="F246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D51" i="1"/>
  <c r="D85" i="1" s="1"/>
  <c r="F51" i="1"/>
  <c r="F85" i="1" s="1"/>
  <c r="G51" i="1"/>
  <c r="G85" i="1" s="1"/>
  <c r="H51" i="1"/>
  <c r="H85" i="1" s="1"/>
  <c r="I51" i="1"/>
  <c r="I85" i="1" s="1"/>
  <c r="J51" i="1"/>
  <c r="J85" i="1" s="1"/>
  <c r="K51" i="1"/>
  <c r="K85" i="1" s="1"/>
  <c r="L51" i="1"/>
  <c r="L85" i="1" s="1"/>
  <c r="M51" i="1"/>
  <c r="M85" i="1" s="1"/>
  <c r="N51" i="1"/>
  <c r="N85" i="1" s="1"/>
  <c r="O51" i="1"/>
  <c r="O85" i="1" s="1"/>
  <c r="Q51" i="1"/>
  <c r="Q85" i="1" s="1"/>
  <c r="S51" i="1"/>
  <c r="S85" i="1" s="1"/>
  <c r="AE51" i="1"/>
  <c r="AE85" i="1" s="1"/>
  <c r="AD51" i="1"/>
  <c r="AD85" i="1" s="1"/>
  <c r="AC51" i="1"/>
  <c r="AC85" i="1" s="1"/>
  <c r="AB51" i="1"/>
  <c r="AB85" i="1" s="1"/>
  <c r="AA51" i="1"/>
  <c r="AA85" i="1" s="1"/>
  <c r="Z51" i="1"/>
  <c r="Z85" i="1" s="1"/>
  <c r="Y51" i="1"/>
  <c r="Y85" i="1" s="1"/>
  <c r="X51" i="1"/>
  <c r="X85" i="1" s="1"/>
  <c r="W51" i="1"/>
  <c r="W85" i="1" s="1"/>
  <c r="V51" i="1"/>
  <c r="V85" i="1" s="1"/>
  <c r="U51" i="1"/>
  <c r="U85" i="1" s="1"/>
  <c r="T51" i="1"/>
  <c r="T85" i="1" s="1"/>
  <c r="R51" i="1"/>
  <c r="R85" i="1" s="1"/>
  <c r="E51" i="1"/>
  <c r="E85" i="1" s="1"/>
  <c r="P51" i="1"/>
  <c r="P85" i="1" s="1"/>
  <c r="AE232" i="5"/>
  <c r="AA232" i="5"/>
  <c r="V232" i="5"/>
  <c r="S232" i="5"/>
  <c r="O232" i="5"/>
  <c r="L232" i="5"/>
  <c r="K232" i="5"/>
  <c r="I232" i="5"/>
  <c r="E232" i="5"/>
  <c r="AD232" i="5"/>
  <c r="AC232" i="5"/>
  <c r="AB232" i="5"/>
  <c r="Z232" i="5"/>
  <c r="Y232" i="5"/>
  <c r="X232" i="5"/>
  <c r="W232" i="5"/>
  <c r="U232" i="5"/>
  <c r="T232" i="5"/>
  <c r="R232" i="5"/>
  <c r="Q232" i="5"/>
  <c r="P232" i="5"/>
  <c r="N232" i="5"/>
  <c r="M232" i="5"/>
  <c r="J232" i="5"/>
  <c r="H232" i="5"/>
  <c r="G232" i="5"/>
  <c r="F232" i="5"/>
  <c r="D232" i="5"/>
  <c r="AE233" i="5"/>
  <c r="Z233" i="5"/>
  <c r="V233" i="5"/>
  <c r="N233" i="5"/>
  <c r="L233" i="5"/>
  <c r="I233" i="5"/>
  <c r="H233" i="5"/>
  <c r="G233" i="5"/>
  <c r="F233" i="5"/>
  <c r="D233" i="5"/>
  <c r="AD233" i="5"/>
  <c r="AC233" i="5"/>
  <c r="AB233" i="5"/>
  <c r="AA233" i="5"/>
  <c r="Y233" i="5"/>
  <c r="X233" i="5"/>
  <c r="W233" i="5"/>
  <c r="U233" i="5"/>
  <c r="T233" i="5"/>
  <c r="S233" i="5"/>
  <c r="R233" i="5"/>
  <c r="Q233" i="5"/>
  <c r="P233" i="5"/>
  <c r="O233" i="5"/>
  <c r="M233" i="5"/>
  <c r="K233" i="5"/>
  <c r="J233" i="5"/>
  <c r="E233" i="5"/>
  <c r="AD234" i="5"/>
  <c r="AC234" i="5"/>
  <c r="AB234" i="5"/>
  <c r="AA234" i="5"/>
  <c r="Z234" i="5"/>
  <c r="Y234" i="5"/>
  <c r="X234" i="5"/>
  <c r="V234" i="5"/>
  <c r="S234" i="5"/>
  <c r="J234" i="5"/>
  <c r="E234" i="5"/>
  <c r="AE234" i="5"/>
  <c r="W234" i="5"/>
  <c r="U234" i="5"/>
  <c r="T234" i="5"/>
  <c r="R234" i="5"/>
  <c r="Q234" i="5"/>
  <c r="P234" i="5"/>
  <c r="O234" i="5"/>
  <c r="N234" i="5"/>
  <c r="M234" i="5"/>
  <c r="L234" i="5"/>
  <c r="K234" i="5"/>
  <c r="I234" i="5"/>
  <c r="H234" i="5"/>
  <c r="G234" i="5"/>
  <c r="F234" i="5"/>
  <c r="D234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AE238" i="5"/>
  <c r="AD238" i="5"/>
  <c r="AB238" i="5"/>
  <c r="AA238" i="5"/>
  <c r="Y238" i="5"/>
  <c r="X238" i="5"/>
  <c r="W238" i="5"/>
  <c r="V238" i="5"/>
  <c r="U238" i="5"/>
  <c r="T238" i="5"/>
  <c r="S238" i="5"/>
  <c r="R238" i="5"/>
  <c r="Q238" i="5"/>
  <c r="P238" i="5"/>
  <c r="N238" i="5"/>
  <c r="M238" i="5"/>
  <c r="K238" i="5"/>
  <c r="J238" i="5"/>
  <c r="H238" i="5"/>
  <c r="G238" i="5"/>
  <c r="F238" i="5"/>
  <c r="E238" i="5"/>
  <c r="D238" i="5"/>
  <c r="AC238" i="5"/>
  <c r="Z238" i="5"/>
  <c r="O238" i="5"/>
  <c r="L238" i="5"/>
  <c r="I238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AB230" i="5"/>
  <c r="X230" i="5"/>
  <c r="T230" i="5"/>
  <c r="Q230" i="5"/>
  <c r="M230" i="5"/>
  <c r="I230" i="5"/>
  <c r="H230" i="5"/>
  <c r="F230" i="5"/>
  <c r="D230" i="5"/>
  <c r="W230" i="5"/>
  <c r="S230" i="5"/>
  <c r="P230" i="5"/>
  <c r="O230" i="5"/>
  <c r="G230" i="5"/>
  <c r="AD230" i="5"/>
  <c r="AC230" i="5"/>
  <c r="Z230" i="5"/>
  <c r="V230" i="5"/>
  <c r="L230" i="5"/>
  <c r="K230" i="5"/>
  <c r="E230" i="5"/>
  <c r="AE230" i="5"/>
  <c r="AA230" i="5"/>
  <c r="Y230" i="5"/>
  <c r="U230" i="5"/>
  <c r="R230" i="5"/>
  <c r="N230" i="5"/>
  <c r="J23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AB244" i="5"/>
  <c r="Y244" i="5"/>
  <c r="V244" i="5"/>
  <c r="P244" i="5"/>
  <c r="K244" i="5"/>
  <c r="G244" i="5"/>
  <c r="N244" i="5"/>
  <c r="I244" i="5"/>
  <c r="Z244" i="5"/>
  <c r="J244" i="5"/>
  <c r="AE244" i="5"/>
  <c r="T244" i="5"/>
  <c r="M244" i="5"/>
  <c r="E244" i="5"/>
  <c r="R244" i="5"/>
  <c r="AD244" i="5"/>
  <c r="AA244" i="5"/>
  <c r="W244" i="5"/>
  <c r="S244" i="5"/>
  <c r="O244" i="5"/>
  <c r="H244" i="5"/>
  <c r="D244" i="5"/>
  <c r="AC244" i="5"/>
  <c r="X244" i="5"/>
  <c r="U244" i="5"/>
  <c r="Q244" i="5"/>
  <c r="L244" i="5"/>
  <c r="F244" i="5"/>
  <c r="AE254" i="5"/>
  <c r="AD254" i="5"/>
  <c r="AC254" i="5"/>
  <c r="AB254" i="5"/>
  <c r="AA254" i="5"/>
  <c r="Z254" i="5"/>
  <c r="Y254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AD243" i="5"/>
  <c r="X243" i="5"/>
  <c r="R243" i="5"/>
  <c r="J243" i="5"/>
  <c r="G243" i="5"/>
  <c r="AB243" i="5"/>
  <c r="Y243" i="5"/>
  <c r="L243" i="5"/>
  <c r="AC243" i="5"/>
  <c r="Z243" i="5"/>
  <c r="M243" i="5"/>
  <c r="K243" i="5"/>
  <c r="AE243" i="5"/>
  <c r="U243" i="5"/>
  <c r="S243" i="5"/>
  <c r="P243" i="5"/>
  <c r="I243" i="5"/>
  <c r="F243" i="5"/>
  <c r="AA243" i="5"/>
  <c r="N243" i="5"/>
  <c r="D243" i="5"/>
  <c r="W243" i="5"/>
  <c r="Q243" i="5"/>
  <c r="O243" i="5"/>
  <c r="E243" i="5"/>
  <c r="V243" i="5"/>
  <c r="T243" i="5"/>
  <c r="H243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AE255" i="5"/>
  <c r="AD255" i="5"/>
  <c r="AC255" i="5"/>
  <c r="AB255" i="5"/>
  <c r="AA255" i="5"/>
  <c r="Z255" i="5"/>
  <c r="Y255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AE256" i="5"/>
  <c r="AD256" i="5"/>
  <c r="AC256" i="5"/>
  <c r="AB256" i="5"/>
  <c r="AA256" i="5"/>
  <c r="Z256" i="5"/>
  <c r="Y256" i="5"/>
  <c r="X256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AA229" i="5"/>
  <c r="W229" i="5"/>
  <c r="V229" i="5"/>
  <c r="S229" i="5"/>
  <c r="Q229" i="5"/>
  <c r="N229" i="5"/>
  <c r="AE229" i="5"/>
  <c r="AB229" i="5"/>
  <c r="Y229" i="5"/>
  <c r="X229" i="5"/>
  <c r="T229" i="5"/>
  <c r="R229" i="5"/>
  <c r="O229" i="5"/>
  <c r="H229" i="5"/>
  <c r="G229" i="5"/>
  <c r="D229" i="5"/>
  <c r="AD229" i="5"/>
  <c r="U229" i="5"/>
  <c r="L229" i="5"/>
  <c r="K229" i="5"/>
  <c r="J229" i="5"/>
  <c r="F229" i="5"/>
  <c r="AC229" i="5"/>
  <c r="Z229" i="5"/>
  <c r="P229" i="5"/>
  <c r="M229" i="5"/>
  <c r="I229" i="5"/>
  <c r="E229" i="5"/>
  <c r="Z245" i="5"/>
  <c r="V245" i="5"/>
  <c r="Q245" i="5"/>
  <c r="H245" i="5"/>
  <c r="AE245" i="5"/>
  <c r="O245" i="5"/>
  <c r="AD245" i="5"/>
  <c r="R245" i="5"/>
  <c r="N245" i="5"/>
  <c r="AB245" i="5"/>
  <c r="Y245" i="5"/>
  <c r="W245" i="5"/>
  <c r="T245" i="5"/>
  <c r="K245" i="5"/>
  <c r="F245" i="5"/>
  <c r="E245" i="5"/>
  <c r="P245" i="5"/>
  <c r="M245" i="5"/>
  <c r="AA245" i="5"/>
  <c r="X245" i="5"/>
  <c r="U245" i="5"/>
  <c r="S245" i="5"/>
  <c r="J245" i="5"/>
  <c r="AC245" i="5"/>
  <c r="L245" i="5"/>
  <c r="I245" i="5"/>
  <c r="G245" i="5"/>
  <c r="D245" i="5"/>
  <c r="X247" i="5"/>
  <c r="V247" i="5"/>
  <c r="R247" i="5"/>
  <c r="G247" i="5"/>
  <c r="D247" i="5"/>
  <c r="AB247" i="5"/>
  <c r="AA247" i="5"/>
  <c r="Y247" i="5"/>
  <c r="W247" i="5"/>
  <c r="U247" i="5"/>
  <c r="T247" i="5"/>
  <c r="S247" i="5"/>
  <c r="O247" i="5"/>
  <c r="N247" i="5"/>
  <c r="L247" i="5"/>
  <c r="K247" i="5"/>
  <c r="J247" i="5"/>
  <c r="F247" i="5"/>
  <c r="AE247" i="5"/>
  <c r="AD247" i="5"/>
  <c r="AC247" i="5"/>
  <c r="Z247" i="5"/>
  <c r="Q247" i="5"/>
  <c r="P247" i="5"/>
  <c r="M247" i="5"/>
  <c r="I247" i="5"/>
  <c r="H247" i="5"/>
  <c r="E247" i="5"/>
  <c r="V248" i="5"/>
  <c r="U248" i="5"/>
  <c r="S248" i="5"/>
  <c r="R248" i="5"/>
  <c r="Q248" i="5"/>
  <c r="L248" i="5"/>
  <c r="K248" i="5"/>
  <c r="H248" i="5"/>
  <c r="G248" i="5"/>
  <c r="F248" i="5"/>
  <c r="D248" i="5"/>
  <c r="AE248" i="5"/>
  <c r="AD248" i="5"/>
  <c r="AC248" i="5"/>
  <c r="AB248" i="5"/>
  <c r="AA248" i="5"/>
  <c r="Z248" i="5"/>
  <c r="Y248" i="5"/>
  <c r="X248" i="5"/>
  <c r="W248" i="5"/>
  <c r="T248" i="5"/>
  <c r="P248" i="5"/>
  <c r="O248" i="5"/>
  <c r="N248" i="5"/>
  <c r="M248" i="5"/>
  <c r="J248" i="5"/>
  <c r="I248" i="5"/>
  <c r="E248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AC244" i="4"/>
  <c r="AA244" i="4"/>
  <c r="V244" i="4"/>
  <c r="R244" i="4"/>
  <c r="D244" i="4"/>
  <c r="O244" i="4"/>
  <c r="H244" i="4"/>
  <c r="N244" i="4"/>
  <c r="Y244" i="4"/>
  <c r="S244" i="4"/>
  <c r="J244" i="4"/>
  <c r="I244" i="4"/>
  <c r="E244" i="4"/>
  <c r="AE244" i="4"/>
  <c r="Z244" i="4"/>
  <c r="X244" i="4"/>
  <c r="U244" i="4"/>
  <c r="P244" i="4"/>
  <c r="M244" i="4"/>
  <c r="K244" i="4"/>
  <c r="G244" i="4"/>
  <c r="AD244" i="4"/>
  <c r="AB244" i="4"/>
  <c r="W244" i="4"/>
  <c r="T244" i="4"/>
  <c r="Q244" i="4"/>
  <c r="L244" i="4"/>
  <c r="F244" i="4"/>
  <c r="AC246" i="4"/>
  <c r="AA246" i="4"/>
  <c r="W246" i="4"/>
  <c r="P246" i="4"/>
  <c r="O246" i="4"/>
  <c r="L246" i="4"/>
  <c r="I246" i="4"/>
  <c r="D246" i="4"/>
  <c r="AE246" i="4"/>
  <c r="Z246" i="4"/>
  <c r="Y246" i="4"/>
  <c r="X246" i="4"/>
  <c r="V246" i="4"/>
  <c r="T246" i="4"/>
  <c r="S246" i="4"/>
  <c r="R246" i="4"/>
  <c r="Q246" i="4"/>
  <c r="N246" i="4"/>
  <c r="M246" i="4"/>
  <c r="H246" i="4"/>
  <c r="G246" i="4"/>
  <c r="E246" i="4"/>
  <c r="AD246" i="4"/>
  <c r="AB246" i="4"/>
  <c r="U246" i="4"/>
  <c r="K246" i="4"/>
  <c r="J246" i="4"/>
  <c r="F246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AC227" i="4"/>
  <c r="AB227" i="4"/>
  <c r="AA227" i="4"/>
  <c r="Z227" i="4"/>
  <c r="Y227" i="4"/>
  <c r="X227" i="4"/>
  <c r="U227" i="4"/>
  <c r="Q227" i="4"/>
  <c r="P227" i="4"/>
  <c r="M227" i="4"/>
  <c r="J227" i="4"/>
  <c r="E227" i="4"/>
  <c r="AD227" i="4"/>
  <c r="W227" i="4"/>
  <c r="N227" i="4"/>
  <c r="I227" i="4"/>
  <c r="D227" i="4"/>
  <c r="AE227" i="4"/>
  <c r="T227" i="4"/>
  <c r="S227" i="4"/>
  <c r="R227" i="4"/>
  <c r="L227" i="4"/>
  <c r="G227" i="4"/>
  <c r="V227" i="4"/>
  <c r="O227" i="4"/>
  <c r="K227" i="4"/>
  <c r="H227" i="4"/>
  <c r="F227" i="4"/>
  <c r="J228" i="4"/>
  <c r="F228" i="4"/>
  <c r="AE228" i="4"/>
  <c r="Z228" i="4"/>
  <c r="Y228" i="4"/>
  <c r="S228" i="4"/>
  <c r="O228" i="4"/>
  <c r="L228" i="4"/>
  <c r="G228" i="4"/>
  <c r="AC228" i="4"/>
  <c r="AB228" i="4"/>
  <c r="AA228" i="4"/>
  <c r="V228" i="4"/>
  <c r="Q228" i="4"/>
  <c r="P228" i="4"/>
  <c r="M228" i="4"/>
  <c r="I228" i="4"/>
  <c r="H228" i="4"/>
  <c r="D228" i="4"/>
  <c r="AD228" i="4"/>
  <c r="X228" i="4"/>
  <c r="W228" i="4"/>
  <c r="U228" i="4"/>
  <c r="T228" i="4"/>
  <c r="R228" i="4"/>
  <c r="N228" i="4"/>
  <c r="K228" i="4"/>
  <c r="E228" i="4"/>
  <c r="Z229" i="4"/>
  <c r="W229" i="4"/>
  <c r="U229" i="4"/>
  <c r="S229" i="4"/>
  <c r="R229" i="4"/>
  <c r="P229" i="4"/>
  <c r="N229" i="4"/>
  <c r="J229" i="4"/>
  <c r="F229" i="4"/>
  <c r="AB229" i="4"/>
  <c r="Y229" i="4"/>
  <c r="V229" i="4"/>
  <c r="O229" i="4"/>
  <c r="M229" i="4"/>
  <c r="K229" i="4"/>
  <c r="I229" i="4"/>
  <c r="AE229" i="4"/>
  <c r="AD229" i="4"/>
  <c r="AC229" i="4"/>
  <c r="X229" i="4"/>
  <c r="Q229" i="4"/>
  <c r="H229" i="4"/>
  <c r="E229" i="4"/>
  <c r="AA229" i="4"/>
  <c r="T229" i="4"/>
  <c r="L229" i="4"/>
  <c r="G229" i="4"/>
  <c r="D229" i="4"/>
  <c r="AC231" i="4"/>
  <c r="W231" i="4"/>
  <c r="K231" i="4"/>
  <c r="H231" i="4"/>
  <c r="D231" i="4"/>
  <c r="AE231" i="4"/>
  <c r="AB231" i="4"/>
  <c r="Y231" i="4"/>
  <c r="T231" i="4"/>
  <c r="J231" i="4"/>
  <c r="G231" i="4"/>
  <c r="AA231" i="4"/>
  <c r="V231" i="4"/>
  <c r="U231" i="4"/>
  <c r="R231" i="4"/>
  <c r="Q231" i="4"/>
  <c r="P231" i="4"/>
  <c r="L231" i="4"/>
  <c r="F231" i="4"/>
  <c r="AD231" i="4"/>
  <c r="Z231" i="4"/>
  <c r="X231" i="4"/>
  <c r="S231" i="4"/>
  <c r="O231" i="4"/>
  <c r="N231" i="4"/>
  <c r="M231" i="4"/>
  <c r="I231" i="4"/>
  <c r="E231" i="4"/>
  <c r="AE243" i="4"/>
  <c r="Z243" i="4"/>
  <c r="X243" i="4"/>
  <c r="U243" i="4"/>
  <c r="R243" i="4"/>
  <c r="P243" i="4"/>
  <c r="K243" i="4"/>
  <c r="G243" i="4"/>
  <c r="AB243" i="4"/>
  <c r="T243" i="4"/>
  <c r="Y243" i="4"/>
  <c r="V243" i="4"/>
  <c r="Q243" i="4"/>
  <c r="O243" i="4"/>
  <c r="J243" i="4"/>
  <c r="E243" i="4"/>
  <c r="N243" i="4"/>
  <c r="AC243" i="4"/>
  <c r="AA243" i="4"/>
  <c r="S243" i="4"/>
  <c r="M243" i="4"/>
  <c r="I243" i="4"/>
  <c r="AD243" i="4"/>
  <c r="W243" i="4"/>
  <c r="L243" i="4"/>
  <c r="H243" i="4"/>
  <c r="F243" i="4"/>
  <c r="D243" i="4"/>
  <c r="Y43" i="2"/>
  <c r="C217" i="4"/>
  <c r="Y230" i="4"/>
  <c r="T230" i="4"/>
  <c r="S230" i="4"/>
  <c r="M230" i="4"/>
  <c r="L230" i="4"/>
  <c r="H230" i="4"/>
  <c r="E230" i="4"/>
  <c r="AA230" i="4"/>
  <c r="X230" i="4"/>
  <c r="R230" i="4"/>
  <c r="N230" i="4"/>
  <c r="J230" i="4"/>
  <c r="G230" i="4"/>
  <c r="D230" i="4"/>
  <c r="AD230" i="4"/>
  <c r="AC230" i="4"/>
  <c r="AB230" i="4"/>
  <c r="W230" i="4"/>
  <c r="V230" i="4"/>
  <c r="P230" i="4"/>
  <c r="K230" i="4"/>
  <c r="F230" i="4"/>
  <c r="AE230" i="4"/>
  <c r="Z230" i="4"/>
  <c r="U230" i="4"/>
  <c r="Q230" i="4"/>
  <c r="O230" i="4"/>
  <c r="I230" i="4"/>
  <c r="AE232" i="4"/>
  <c r="AC232" i="4"/>
  <c r="Y232" i="4"/>
  <c r="U232" i="4"/>
  <c r="R232" i="4"/>
  <c r="Q232" i="4"/>
  <c r="O232" i="4"/>
  <c r="I232" i="4"/>
  <c r="G232" i="4"/>
  <c r="F232" i="4"/>
  <c r="D232" i="4"/>
  <c r="AD232" i="4"/>
  <c r="AB232" i="4"/>
  <c r="AA232" i="4"/>
  <c r="Z232" i="4"/>
  <c r="X232" i="4"/>
  <c r="W232" i="4"/>
  <c r="V232" i="4"/>
  <c r="T232" i="4"/>
  <c r="S232" i="4"/>
  <c r="P232" i="4"/>
  <c r="N232" i="4"/>
  <c r="M232" i="4"/>
  <c r="L232" i="4"/>
  <c r="K232" i="4"/>
  <c r="J232" i="4"/>
  <c r="H232" i="4"/>
  <c r="E232" i="4"/>
  <c r="AE233" i="4"/>
  <c r="AB233" i="4"/>
  <c r="AA233" i="4"/>
  <c r="U233" i="4"/>
  <c r="Q233" i="4"/>
  <c r="M233" i="4"/>
  <c r="K233" i="4"/>
  <c r="I233" i="4"/>
  <c r="H233" i="4"/>
  <c r="G233" i="4"/>
  <c r="F233" i="4"/>
  <c r="D233" i="4"/>
  <c r="AD233" i="4"/>
  <c r="AC233" i="4"/>
  <c r="Z233" i="4"/>
  <c r="Y233" i="4"/>
  <c r="X233" i="4"/>
  <c r="W233" i="4"/>
  <c r="V233" i="4"/>
  <c r="T233" i="4"/>
  <c r="S233" i="4"/>
  <c r="R233" i="4"/>
  <c r="P233" i="4"/>
  <c r="O233" i="4"/>
  <c r="N233" i="4"/>
  <c r="L233" i="4"/>
  <c r="J233" i="4"/>
  <c r="E233" i="4"/>
  <c r="AE234" i="4"/>
  <c r="AD234" i="4"/>
  <c r="AC234" i="4"/>
  <c r="AB234" i="4"/>
  <c r="AA234" i="4"/>
  <c r="Y234" i="4"/>
  <c r="X234" i="4"/>
  <c r="W234" i="4"/>
  <c r="V234" i="4"/>
  <c r="U234" i="4"/>
  <c r="T234" i="4"/>
  <c r="S234" i="4"/>
  <c r="R234" i="4"/>
  <c r="Q234" i="4"/>
  <c r="P234" i="4"/>
  <c r="O234" i="4"/>
  <c r="M234" i="4"/>
  <c r="I234" i="4"/>
  <c r="E234" i="4"/>
  <c r="Z234" i="4"/>
  <c r="N234" i="4"/>
  <c r="L234" i="4"/>
  <c r="K234" i="4"/>
  <c r="J234" i="4"/>
  <c r="H234" i="4"/>
  <c r="G234" i="4"/>
  <c r="F234" i="4"/>
  <c r="D234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E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D238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AA245" i="4"/>
  <c r="S245" i="4"/>
  <c r="P245" i="4"/>
  <c r="H245" i="4"/>
  <c r="AC245" i="4"/>
  <c r="J245" i="4"/>
  <c r="AD245" i="4"/>
  <c r="V245" i="4"/>
  <c r="K245" i="4"/>
  <c r="D245" i="4"/>
  <c r="Z245" i="4"/>
  <c r="Q245" i="4"/>
  <c r="N245" i="4"/>
  <c r="G245" i="4"/>
  <c r="AB245" i="4"/>
  <c r="U245" i="4"/>
  <c r="L245" i="4"/>
  <c r="AE245" i="4"/>
  <c r="X245" i="4"/>
  <c r="R245" i="4"/>
  <c r="O245" i="4"/>
  <c r="F245" i="4"/>
  <c r="Y245" i="4"/>
  <c r="W245" i="4"/>
  <c r="T245" i="4"/>
  <c r="M245" i="4"/>
  <c r="I245" i="4"/>
  <c r="E245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AC247" i="4"/>
  <c r="AA247" i="4"/>
  <c r="X247" i="4"/>
  <c r="T247" i="4"/>
  <c r="R247" i="4"/>
  <c r="Q247" i="4"/>
  <c r="P247" i="4"/>
  <c r="O247" i="4"/>
  <c r="M247" i="4"/>
  <c r="K247" i="4"/>
  <c r="J247" i="4"/>
  <c r="G247" i="4"/>
  <c r="D247" i="4"/>
  <c r="AE247" i="4"/>
  <c r="Z247" i="4"/>
  <c r="W247" i="4"/>
  <c r="V247" i="4"/>
  <c r="U247" i="4"/>
  <c r="S247" i="4"/>
  <c r="H247" i="4"/>
  <c r="F247" i="4"/>
  <c r="AD247" i="4"/>
  <c r="AB247" i="4"/>
  <c r="Y247" i="4"/>
  <c r="N247" i="4"/>
  <c r="L247" i="4"/>
  <c r="I247" i="4"/>
  <c r="E247" i="4"/>
  <c r="AD248" i="4"/>
  <c r="AC248" i="4"/>
  <c r="AA248" i="4"/>
  <c r="Z248" i="4"/>
  <c r="Y248" i="4"/>
  <c r="X248" i="4"/>
  <c r="W248" i="4"/>
  <c r="V248" i="4"/>
  <c r="U248" i="4"/>
  <c r="T248" i="4"/>
  <c r="P248" i="4"/>
  <c r="O248" i="4"/>
  <c r="N248" i="4"/>
  <c r="K248" i="4"/>
  <c r="E248" i="4"/>
  <c r="AE248" i="4"/>
  <c r="AB248" i="4"/>
  <c r="S248" i="4"/>
  <c r="R248" i="4"/>
  <c r="Q248" i="4"/>
  <c r="M248" i="4"/>
  <c r="L248" i="4"/>
  <c r="J248" i="4"/>
  <c r="I248" i="4"/>
  <c r="H248" i="4"/>
  <c r="G248" i="4"/>
  <c r="F248" i="4"/>
  <c r="D248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P50" i="1"/>
  <c r="P84" i="1" s="1"/>
  <c r="D50" i="1"/>
  <c r="D84" i="1" s="1"/>
  <c r="E50" i="1"/>
  <c r="E84" i="1" s="1"/>
  <c r="F50" i="1"/>
  <c r="F84" i="1" s="1"/>
  <c r="G50" i="1"/>
  <c r="G84" i="1" s="1"/>
  <c r="H50" i="1"/>
  <c r="H84" i="1" s="1"/>
  <c r="I50" i="1"/>
  <c r="I84" i="1" s="1"/>
  <c r="J50" i="1"/>
  <c r="J84" i="1" s="1"/>
  <c r="K50" i="1"/>
  <c r="K84" i="1" s="1"/>
  <c r="L50" i="1"/>
  <c r="L84" i="1" s="1"/>
  <c r="AE50" i="1"/>
  <c r="AE84" i="1" s="1"/>
  <c r="AD50" i="1"/>
  <c r="AD84" i="1" s="1"/>
  <c r="AC50" i="1"/>
  <c r="AC84" i="1" s="1"/>
  <c r="AB50" i="1"/>
  <c r="AB84" i="1" s="1"/>
  <c r="AA50" i="1"/>
  <c r="AA84" i="1" s="1"/>
  <c r="Z50" i="1"/>
  <c r="Z84" i="1" s="1"/>
  <c r="Y50" i="1"/>
  <c r="Y84" i="1" s="1"/>
  <c r="X50" i="1"/>
  <c r="X84" i="1" s="1"/>
  <c r="W50" i="1"/>
  <c r="W84" i="1" s="1"/>
  <c r="V50" i="1"/>
  <c r="V84" i="1" s="1"/>
  <c r="U50" i="1"/>
  <c r="U84" i="1" s="1"/>
  <c r="M50" i="1"/>
  <c r="M84" i="1" s="1"/>
  <c r="N50" i="1"/>
  <c r="N84" i="1" s="1"/>
  <c r="O50" i="1"/>
  <c r="O84" i="1" s="1"/>
  <c r="S50" i="1"/>
  <c r="S84" i="1" s="1"/>
  <c r="T50" i="1"/>
  <c r="T84" i="1" s="1"/>
  <c r="R50" i="1"/>
  <c r="R84" i="1" s="1"/>
  <c r="Q50" i="1"/>
  <c r="Q84" i="1" s="1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I185" i="4"/>
  <c r="J185" i="4"/>
  <c r="O185" i="4"/>
  <c r="R185" i="4"/>
  <c r="U185" i="4"/>
  <c r="AD185" i="4"/>
  <c r="Z185" i="4"/>
  <c r="E185" i="4"/>
  <c r="L185" i="4"/>
  <c r="S185" i="4"/>
  <c r="W185" i="4"/>
  <c r="D185" i="4"/>
  <c r="H185" i="4"/>
  <c r="M185" i="4"/>
  <c r="X185" i="4"/>
  <c r="AE185" i="4"/>
  <c r="AA185" i="4"/>
  <c r="G185" i="4"/>
  <c r="N185" i="4"/>
  <c r="Q185" i="4"/>
  <c r="T185" i="4"/>
  <c r="AB185" i="4"/>
  <c r="Y185" i="4"/>
  <c r="F185" i="4"/>
  <c r="K185" i="4"/>
  <c r="P185" i="4"/>
  <c r="V185" i="4"/>
  <c r="AC185" i="4"/>
  <c r="AD189" i="4"/>
  <c r="Z189" i="4"/>
  <c r="T189" i="4"/>
  <c r="L189" i="4"/>
  <c r="H189" i="4"/>
  <c r="AC189" i="4"/>
  <c r="Y189" i="4"/>
  <c r="W189" i="4"/>
  <c r="V189" i="4"/>
  <c r="Q189" i="4"/>
  <c r="K189" i="4"/>
  <c r="G189" i="4"/>
  <c r="AA189" i="4"/>
  <c r="S189" i="4"/>
  <c r="P189" i="4"/>
  <c r="O189" i="4"/>
  <c r="N189" i="4"/>
  <c r="M189" i="4"/>
  <c r="I189" i="4"/>
  <c r="E189" i="4"/>
  <c r="D189" i="4"/>
  <c r="AE189" i="4"/>
  <c r="AB189" i="4"/>
  <c r="X189" i="4"/>
  <c r="U189" i="4"/>
  <c r="R189" i="4"/>
  <c r="J189" i="4"/>
  <c r="F189" i="4"/>
  <c r="AD190" i="4"/>
  <c r="AA190" i="4"/>
  <c r="Y190" i="4"/>
  <c r="U190" i="4"/>
  <c r="R190" i="4"/>
  <c r="L190" i="4"/>
  <c r="I190" i="4"/>
  <c r="G190" i="4"/>
  <c r="AB190" i="4"/>
  <c r="Z190" i="4"/>
  <c r="W190" i="4"/>
  <c r="V190" i="4"/>
  <c r="Q190" i="4"/>
  <c r="P190" i="4"/>
  <c r="M190" i="4"/>
  <c r="K190" i="4"/>
  <c r="H190" i="4"/>
  <c r="D190" i="4"/>
  <c r="T190" i="4"/>
  <c r="S190" i="4"/>
  <c r="O190" i="4"/>
  <c r="F190" i="4"/>
  <c r="AE190" i="4"/>
  <c r="AC190" i="4"/>
  <c r="X190" i="4"/>
  <c r="N190" i="4"/>
  <c r="J190" i="4"/>
  <c r="E190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AA207" i="4"/>
  <c r="Z207" i="4"/>
  <c r="W207" i="4"/>
  <c r="U207" i="4"/>
  <c r="S207" i="4"/>
  <c r="H207" i="4"/>
  <c r="G207" i="4"/>
  <c r="D207" i="4"/>
  <c r="AE207" i="4"/>
  <c r="AD207" i="4"/>
  <c r="AB207" i="4"/>
  <c r="X207" i="4"/>
  <c r="Q207" i="4"/>
  <c r="P207" i="4"/>
  <c r="N207" i="4"/>
  <c r="M207" i="4"/>
  <c r="L207" i="4"/>
  <c r="J207" i="4"/>
  <c r="I207" i="4"/>
  <c r="F207" i="4"/>
  <c r="AC207" i="4"/>
  <c r="Y207" i="4"/>
  <c r="V207" i="4"/>
  <c r="T207" i="4"/>
  <c r="R207" i="4"/>
  <c r="O207" i="4"/>
  <c r="K207" i="4"/>
  <c r="E207" i="4"/>
  <c r="AE208" i="4"/>
  <c r="AD208" i="4"/>
  <c r="AC208" i="4"/>
  <c r="AA208" i="4"/>
  <c r="V208" i="4"/>
  <c r="Q208" i="4"/>
  <c r="P208" i="4"/>
  <c r="O208" i="4"/>
  <c r="N208" i="4"/>
  <c r="M208" i="4"/>
  <c r="L208" i="4"/>
  <c r="J208" i="4"/>
  <c r="F208" i="4"/>
  <c r="D208" i="4"/>
  <c r="Y208" i="4"/>
  <c r="X208" i="4"/>
  <c r="U208" i="4"/>
  <c r="T208" i="4"/>
  <c r="S208" i="4"/>
  <c r="I208" i="4"/>
  <c r="H208" i="4"/>
  <c r="G208" i="4"/>
  <c r="E208" i="4"/>
  <c r="AB208" i="4"/>
  <c r="Z208" i="4"/>
  <c r="W208" i="4"/>
  <c r="R208" i="4"/>
  <c r="K208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P47" i="1"/>
  <c r="P81" i="1" s="1"/>
  <c r="D47" i="1"/>
  <c r="D81" i="1" s="1"/>
  <c r="E47" i="1"/>
  <c r="E81" i="1" s="1"/>
  <c r="F47" i="1"/>
  <c r="F81" i="1" s="1"/>
  <c r="G47" i="1"/>
  <c r="G81" i="1" s="1"/>
  <c r="H47" i="1"/>
  <c r="H81" i="1" s="1"/>
  <c r="I47" i="1"/>
  <c r="I81" i="1" s="1"/>
  <c r="J47" i="1"/>
  <c r="J81" i="1" s="1"/>
  <c r="K47" i="1"/>
  <c r="K81" i="1" s="1"/>
  <c r="L47" i="1"/>
  <c r="L81" i="1" s="1"/>
  <c r="M47" i="1"/>
  <c r="M81" i="1" s="1"/>
  <c r="N47" i="1"/>
  <c r="N81" i="1" s="1"/>
  <c r="O47" i="1"/>
  <c r="O81" i="1" s="1"/>
  <c r="AE47" i="1"/>
  <c r="AE81" i="1" s="1"/>
  <c r="AD47" i="1"/>
  <c r="AD81" i="1" s="1"/>
  <c r="R47" i="1"/>
  <c r="R81" i="1" s="1"/>
  <c r="S47" i="1"/>
  <c r="S81" i="1" s="1"/>
  <c r="T47" i="1"/>
  <c r="T81" i="1" s="1"/>
  <c r="U47" i="1"/>
  <c r="U81" i="1" s="1"/>
  <c r="V47" i="1"/>
  <c r="V81" i="1" s="1"/>
  <c r="W47" i="1"/>
  <c r="W81" i="1" s="1"/>
  <c r="X47" i="1"/>
  <c r="X81" i="1" s="1"/>
  <c r="Y47" i="1"/>
  <c r="Y81" i="1" s="1"/>
  <c r="Z47" i="1"/>
  <c r="Z81" i="1" s="1"/>
  <c r="AA47" i="1"/>
  <c r="AA81" i="1" s="1"/>
  <c r="AB47" i="1"/>
  <c r="AB81" i="1" s="1"/>
  <c r="AC47" i="1"/>
  <c r="AC81" i="1" s="1"/>
  <c r="Q47" i="1"/>
  <c r="Q81" i="1" s="1"/>
  <c r="G186" i="4"/>
  <c r="AC186" i="4"/>
  <c r="Y186" i="4"/>
  <c r="V186" i="4"/>
  <c r="R186" i="4"/>
  <c r="P186" i="4"/>
  <c r="L186" i="4"/>
  <c r="I186" i="4"/>
  <c r="D186" i="4"/>
  <c r="U186" i="4"/>
  <c r="AA186" i="4"/>
  <c r="Z186" i="4"/>
  <c r="E186" i="4"/>
  <c r="AD186" i="4"/>
  <c r="AB186" i="4"/>
  <c r="X186" i="4"/>
  <c r="T186" i="4"/>
  <c r="Q186" i="4"/>
  <c r="N186" i="4"/>
  <c r="M186" i="4"/>
  <c r="J186" i="4"/>
  <c r="AE186" i="4"/>
  <c r="W186" i="4"/>
  <c r="S186" i="4"/>
  <c r="O186" i="4"/>
  <c r="K186" i="4"/>
  <c r="F186" i="4"/>
  <c r="H186" i="4"/>
  <c r="AB204" i="4"/>
  <c r="V204" i="4"/>
  <c r="R204" i="4"/>
  <c r="K204" i="4"/>
  <c r="D204" i="4"/>
  <c r="T204" i="4"/>
  <c r="L204" i="4"/>
  <c r="AE204" i="4"/>
  <c r="M204" i="4"/>
  <c r="AC204" i="4"/>
  <c r="Y204" i="4"/>
  <c r="U204" i="4"/>
  <c r="S204" i="4"/>
  <c r="N204" i="4"/>
  <c r="J204" i="4"/>
  <c r="G204" i="4"/>
  <c r="AD204" i="4"/>
  <c r="F204" i="4"/>
  <c r="AA204" i="4"/>
  <c r="W204" i="4"/>
  <c r="Q204" i="4"/>
  <c r="O204" i="4"/>
  <c r="H204" i="4"/>
  <c r="Z204" i="4"/>
  <c r="X204" i="4"/>
  <c r="P204" i="4"/>
  <c r="I204" i="4"/>
  <c r="E204" i="4"/>
  <c r="AE206" i="4"/>
  <c r="AD206" i="4"/>
  <c r="AC206" i="4"/>
  <c r="AB206" i="4"/>
  <c r="AA206" i="4"/>
  <c r="Z206" i="4"/>
  <c r="X206" i="4"/>
  <c r="U206" i="4"/>
  <c r="Q206" i="4"/>
  <c r="N206" i="4"/>
  <c r="K206" i="4"/>
  <c r="H206" i="4"/>
  <c r="D206" i="4"/>
  <c r="W206" i="4"/>
  <c r="S206" i="4"/>
  <c r="P206" i="4"/>
  <c r="O206" i="4"/>
  <c r="L206" i="4"/>
  <c r="J206" i="4"/>
  <c r="F206" i="4"/>
  <c r="Y206" i="4"/>
  <c r="V206" i="4"/>
  <c r="T206" i="4"/>
  <c r="R206" i="4"/>
  <c r="M206" i="4"/>
  <c r="I206" i="4"/>
  <c r="G206" i="4"/>
  <c r="E206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L179" i="4"/>
  <c r="J179" i="4"/>
  <c r="G179" i="4"/>
  <c r="E179" i="4"/>
  <c r="O179" i="4"/>
  <c r="Q179" i="4"/>
  <c r="Y179" i="4"/>
  <c r="AA179" i="4"/>
  <c r="D179" i="4"/>
  <c r="N179" i="4"/>
  <c r="S179" i="4"/>
  <c r="M179" i="4"/>
  <c r="H179" i="4"/>
  <c r="T179" i="4"/>
  <c r="Z179" i="4"/>
  <c r="I179" i="4"/>
  <c r="AD179" i="4"/>
  <c r="P179" i="4"/>
  <c r="R179" i="4"/>
  <c r="U179" i="4"/>
  <c r="W179" i="4"/>
  <c r="AB179" i="4"/>
  <c r="K179" i="4"/>
  <c r="F179" i="4"/>
  <c r="AE179" i="4"/>
  <c r="AC179" i="4"/>
  <c r="V179" i="4"/>
  <c r="X179" i="4"/>
  <c r="S180" i="4"/>
  <c r="T180" i="4"/>
  <c r="Z180" i="4"/>
  <c r="AC180" i="4"/>
  <c r="AE180" i="4"/>
  <c r="G180" i="4"/>
  <c r="J180" i="4"/>
  <c r="P180" i="4"/>
  <c r="W180" i="4"/>
  <c r="AB180" i="4"/>
  <c r="E180" i="4"/>
  <c r="F180" i="4"/>
  <c r="K180" i="4"/>
  <c r="O180" i="4"/>
  <c r="V180" i="4"/>
  <c r="H180" i="4"/>
  <c r="M180" i="4"/>
  <c r="U180" i="4"/>
  <c r="X180" i="4"/>
  <c r="AA180" i="4"/>
  <c r="AD180" i="4"/>
  <c r="R180" i="4"/>
  <c r="D180" i="4"/>
  <c r="I180" i="4"/>
  <c r="L180" i="4"/>
  <c r="N180" i="4"/>
  <c r="Q180" i="4"/>
  <c r="Y180" i="4"/>
  <c r="W191" i="4"/>
  <c r="M191" i="4"/>
  <c r="F191" i="4"/>
  <c r="D191" i="4"/>
  <c r="AE191" i="4"/>
  <c r="AD191" i="4"/>
  <c r="T191" i="4"/>
  <c r="S191" i="4"/>
  <c r="I191" i="4"/>
  <c r="H191" i="4"/>
  <c r="E191" i="4"/>
  <c r="AB191" i="4"/>
  <c r="AA191" i="4"/>
  <c r="Z191" i="4"/>
  <c r="V191" i="4"/>
  <c r="U191" i="4"/>
  <c r="R191" i="4"/>
  <c r="Q191" i="4"/>
  <c r="O191" i="4"/>
  <c r="L191" i="4"/>
  <c r="K191" i="4"/>
  <c r="J191" i="4"/>
  <c r="G191" i="4"/>
  <c r="AC191" i="4"/>
  <c r="Y191" i="4"/>
  <c r="X191" i="4"/>
  <c r="P191" i="4"/>
  <c r="N191" i="4"/>
  <c r="AE192" i="4"/>
  <c r="AC192" i="4"/>
  <c r="AB192" i="4"/>
  <c r="X192" i="4"/>
  <c r="W192" i="4"/>
  <c r="U192" i="4"/>
  <c r="T192" i="4"/>
  <c r="Q192" i="4"/>
  <c r="O192" i="4"/>
  <c r="I192" i="4"/>
  <c r="E192" i="4"/>
  <c r="AD192" i="4"/>
  <c r="AA192" i="4"/>
  <c r="Z192" i="4"/>
  <c r="Y192" i="4"/>
  <c r="V192" i="4"/>
  <c r="S192" i="4"/>
  <c r="R192" i="4"/>
  <c r="P192" i="4"/>
  <c r="N192" i="4"/>
  <c r="M192" i="4"/>
  <c r="L192" i="4"/>
  <c r="K192" i="4"/>
  <c r="J192" i="4"/>
  <c r="H192" i="4"/>
  <c r="G192" i="4"/>
  <c r="F192" i="4"/>
  <c r="D192" i="4"/>
  <c r="AE193" i="4"/>
  <c r="AC193" i="4"/>
  <c r="AB193" i="4"/>
  <c r="Y193" i="4"/>
  <c r="V193" i="4"/>
  <c r="U193" i="4"/>
  <c r="T193" i="4"/>
  <c r="R193" i="4"/>
  <c r="Q193" i="4"/>
  <c r="P193" i="4"/>
  <c r="O193" i="4"/>
  <c r="N193" i="4"/>
  <c r="M193" i="4"/>
  <c r="L193" i="4"/>
  <c r="J193" i="4"/>
  <c r="G193" i="4"/>
  <c r="AD193" i="4"/>
  <c r="AA193" i="4"/>
  <c r="Z193" i="4"/>
  <c r="X193" i="4"/>
  <c r="W193" i="4"/>
  <c r="S193" i="4"/>
  <c r="K193" i="4"/>
  <c r="I193" i="4"/>
  <c r="H193" i="4"/>
  <c r="F193" i="4"/>
  <c r="E193" i="4"/>
  <c r="D193" i="4"/>
  <c r="W194" i="4"/>
  <c r="Q194" i="4"/>
  <c r="M194" i="4"/>
  <c r="I194" i="4"/>
  <c r="F194" i="4"/>
  <c r="D194" i="4"/>
  <c r="AE194" i="4"/>
  <c r="AD194" i="4"/>
  <c r="AC194" i="4"/>
  <c r="AB194" i="4"/>
  <c r="AA194" i="4"/>
  <c r="Z194" i="4"/>
  <c r="Y194" i="4"/>
  <c r="X194" i="4"/>
  <c r="V194" i="4"/>
  <c r="U194" i="4"/>
  <c r="T194" i="4"/>
  <c r="S194" i="4"/>
  <c r="R194" i="4"/>
  <c r="P194" i="4"/>
  <c r="O194" i="4"/>
  <c r="N194" i="4"/>
  <c r="L194" i="4"/>
  <c r="K194" i="4"/>
  <c r="J194" i="4"/>
  <c r="H194" i="4"/>
  <c r="G194" i="4"/>
  <c r="E194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AE198" i="4"/>
  <c r="AB198" i="4"/>
  <c r="Y198" i="4"/>
  <c r="N198" i="4"/>
  <c r="K198" i="4"/>
  <c r="F198" i="4"/>
  <c r="D198" i="4"/>
  <c r="AD198" i="4"/>
  <c r="AC198" i="4"/>
  <c r="AA198" i="4"/>
  <c r="Z198" i="4"/>
  <c r="X198" i="4"/>
  <c r="W198" i="4"/>
  <c r="V198" i="4"/>
  <c r="U198" i="4"/>
  <c r="T198" i="4"/>
  <c r="S198" i="4"/>
  <c r="R198" i="4"/>
  <c r="Q198" i="4"/>
  <c r="P198" i="4"/>
  <c r="O198" i="4"/>
  <c r="M198" i="4"/>
  <c r="L198" i="4"/>
  <c r="J198" i="4"/>
  <c r="I198" i="4"/>
  <c r="H198" i="4"/>
  <c r="G198" i="4"/>
  <c r="E198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F184" i="4"/>
  <c r="K184" i="4"/>
  <c r="M184" i="4"/>
  <c r="O184" i="4"/>
  <c r="W184" i="4"/>
  <c r="Y184" i="4"/>
  <c r="E184" i="4"/>
  <c r="AC184" i="4"/>
  <c r="J184" i="4"/>
  <c r="Q184" i="4"/>
  <c r="X184" i="4"/>
  <c r="I184" i="4"/>
  <c r="T184" i="4"/>
  <c r="U184" i="4"/>
  <c r="D184" i="4"/>
  <c r="L184" i="4"/>
  <c r="P184" i="4"/>
  <c r="S184" i="4"/>
  <c r="Z184" i="4"/>
  <c r="AB184" i="4"/>
  <c r="AD184" i="4"/>
  <c r="AE184" i="4"/>
  <c r="G184" i="4"/>
  <c r="H184" i="4"/>
  <c r="N184" i="4"/>
  <c r="R184" i="4"/>
  <c r="V184" i="4"/>
  <c r="AA184" i="4"/>
  <c r="AD182" i="4"/>
  <c r="AA182" i="4"/>
  <c r="Y182" i="4"/>
  <c r="V182" i="4"/>
  <c r="Q182" i="4"/>
  <c r="P182" i="4"/>
  <c r="H182" i="4"/>
  <c r="E182" i="4"/>
  <c r="J182" i="4"/>
  <c r="AC182" i="4"/>
  <c r="O182" i="4"/>
  <c r="AB182" i="4"/>
  <c r="R182" i="4"/>
  <c r="N182" i="4"/>
  <c r="S182" i="4"/>
  <c r="X182" i="4"/>
  <c r="U182" i="4"/>
  <c r="T182" i="4"/>
  <c r="M182" i="4"/>
  <c r="G182" i="4"/>
  <c r="D182" i="4"/>
  <c r="K182" i="4"/>
  <c r="AE182" i="4"/>
  <c r="Z182" i="4"/>
  <c r="W182" i="4"/>
  <c r="I182" i="4"/>
  <c r="L182" i="4"/>
  <c r="F182" i="4"/>
  <c r="AB178" i="4"/>
  <c r="W178" i="4"/>
  <c r="T178" i="4"/>
  <c r="S178" i="4"/>
  <c r="P178" i="4"/>
  <c r="I178" i="4"/>
  <c r="F178" i="4"/>
  <c r="D178" i="4"/>
  <c r="Z178" i="4"/>
  <c r="R178" i="4"/>
  <c r="U178" i="4"/>
  <c r="N178" i="4"/>
  <c r="M178" i="4"/>
  <c r="AD178" i="4"/>
  <c r="AE178" i="4"/>
  <c r="Y178" i="4"/>
  <c r="Q178" i="4"/>
  <c r="K178" i="4"/>
  <c r="J178" i="4"/>
  <c r="G178" i="4"/>
  <c r="AC178" i="4"/>
  <c r="AA178" i="4"/>
  <c r="X178" i="4"/>
  <c r="V178" i="4"/>
  <c r="O178" i="4"/>
  <c r="L178" i="4"/>
  <c r="H178" i="4"/>
  <c r="E178" i="4"/>
  <c r="E183" i="4"/>
  <c r="G183" i="4"/>
  <c r="J183" i="4"/>
  <c r="N183" i="4"/>
  <c r="R183" i="4"/>
  <c r="U183" i="4"/>
  <c r="W183" i="4"/>
  <c r="Z183" i="4"/>
  <c r="Q183" i="4"/>
  <c r="AC183" i="4"/>
  <c r="L183" i="4"/>
  <c r="T183" i="4"/>
  <c r="AB183" i="4"/>
  <c r="F183" i="4"/>
  <c r="H183" i="4"/>
  <c r="K183" i="4"/>
  <c r="M183" i="4"/>
  <c r="P183" i="4"/>
  <c r="S183" i="4"/>
  <c r="V183" i="4"/>
  <c r="X183" i="4"/>
  <c r="AA183" i="4"/>
  <c r="D183" i="4"/>
  <c r="AD183" i="4"/>
  <c r="I183" i="4"/>
  <c r="O183" i="4"/>
  <c r="Y183" i="4"/>
  <c r="AE183" i="4"/>
  <c r="H187" i="4"/>
  <c r="D187" i="4"/>
  <c r="L187" i="4"/>
  <c r="N187" i="4"/>
  <c r="U187" i="4"/>
  <c r="Z187" i="4"/>
  <c r="AC187" i="4"/>
  <c r="R187" i="4"/>
  <c r="AB187" i="4"/>
  <c r="G187" i="4"/>
  <c r="F187" i="4"/>
  <c r="S187" i="4"/>
  <c r="Y187" i="4"/>
  <c r="AE187" i="4"/>
  <c r="W187" i="4"/>
  <c r="I187" i="4"/>
  <c r="K187" i="4"/>
  <c r="O187" i="4"/>
  <c r="P187" i="4"/>
  <c r="T187" i="4"/>
  <c r="X187" i="4"/>
  <c r="V187" i="4"/>
  <c r="E187" i="4"/>
  <c r="J187" i="4"/>
  <c r="M187" i="4"/>
  <c r="Q187" i="4"/>
  <c r="AA187" i="4"/>
  <c r="AD187" i="4"/>
  <c r="AB188" i="4"/>
  <c r="X188" i="4"/>
  <c r="V188" i="4"/>
  <c r="P188" i="4"/>
  <c r="M188" i="4"/>
  <c r="D188" i="4"/>
  <c r="Z188" i="4"/>
  <c r="I188" i="4"/>
  <c r="F188" i="4"/>
  <c r="Y188" i="4"/>
  <c r="N188" i="4"/>
  <c r="J188" i="4"/>
  <c r="AD188" i="4"/>
  <c r="AA188" i="4"/>
  <c r="W188" i="4"/>
  <c r="T188" i="4"/>
  <c r="R188" i="4"/>
  <c r="O188" i="4"/>
  <c r="K188" i="4"/>
  <c r="H188" i="4"/>
  <c r="AE188" i="4"/>
  <c r="AC188" i="4"/>
  <c r="G188" i="4"/>
  <c r="U188" i="4"/>
  <c r="S188" i="4"/>
  <c r="Q188" i="4"/>
  <c r="L188" i="4"/>
  <c r="E188" i="4"/>
  <c r="Z205" i="4"/>
  <c r="M205" i="4"/>
  <c r="D205" i="4"/>
  <c r="AB205" i="4"/>
  <c r="AA205" i="4"/>
  <c r="X205" i="4"/>
  <c r="W205" i="4"/>
  <c r="R205" i="4"/>
  <c r="J205" i="4"/>
  <c r="H205" i="4"/>
  <c r="Y205" i="4"/>
  <c r="T205" i="4"/>
  <c r="I205" i="4"/>
  <c r="AE205" i="4"/>
  <c r="V205" i="4"/>
  <c r="P205" i="4"/>
  <c r="AC205" i="4"/>
  <c r="S205" i="4"/>
  <c r="G205" i="4"/>
  <c r="U205" i="4"/>
  <c r="Q205" i="4"/>
  <c r="L205" i="4"/>
  <c r="E205" i="4"/>
  <c r="AD205" i="4"/>
  <c r="O205" i="4"/>
  <c r="N205" i="4"/>
  <c r="K205" i="4"/>
  <c r="F205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V181" i="4"/>
  <c r="X181" i="4"/>
  <c r="I181" i="4"/>
  <c r="M181" i="4"/>
  <c r="O181" i="4"/>
  <c r="R181" i="4"/>
  <c r="AC181" i="4"/>
  <c r="W181" i="4"/>
  <c r="D181" i="4"/>
  <c r="J181" i="4"/>
  <c r="L181" i="4"/>
  <c r="U181" i="4"/>
  <c r="F181" i="4"/>
  <c r="AB181" i="4"/>
  <c r="AE181" i="4"/>
  <c r="Y181" i="4"/>
  <c r="K181" i="4"/>
  <c r="N181" i="4"/>
  <c r="P181" i="4"/>
  <c r="T181" i="4"/>
  <c r="Z181" i="4"/>
  <c r="AA181" i="4"/>
  <c r="AD181" i="4"/>
  <c r="G181" i="4"/>
  <c r="H181" i="4"/>
  <c r="Q181" i="4"/>
  <c r="S181" i="4"/>
  <c r="E181" i="4"/>
  <c r="AC203" i="4"/>
  <c r="AA203" i="4"/>
  <c r="X203" i="4"/>
  <c r="R203" i="4"/>
  <c r="D203" i="4"/>
  <c r="O203" i="4"/>
  <c r="K203" i="4"/>
  <c r="N203" i="4"/>
  <c r="M203" i="4"/>
  <c r="I203" i="4"/>
  <c r="H203" i="4"/>
  <c r="P203" i="4"/>
  <c r="L203" i="4"/>
  <c r="F203" i="4"/>
  <c r="Y203" i="4"/>
  <c r="T203" i="4"/>
  <c r="J203" i="4"/>
  <c r="AE203" i="4"/>
  <c r="AB203" i="4"/>
  <c r="V203" i="4"/>
  <c r="Q203" i="4"/>
  <c r="G203" i="4"/>
  <c r="W203" i="4"/>
  <c r="AD203" i="4"/>
  <c r="Z203" i="4"/>
  <c r="U203" i="4"/>
  <c r="S203" i="4"/>
  <c r="E203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U43" i="2"/>
  <c r="C177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Z187" i="5"/>
  <c r="Y187" i="5"/>
  <c r="X187" i="5"/>
  <c r="W187" i="5"/>
  <c r="V187" i="5"/>
  <c r="U187" i="5"/>
  <c r="S187" i="5"/>
  <c r="M187" i="5"/>
  <c r="I187" i="5"/>
  <c r="G187" i="5"/>
  <c r="D187" i="5"/>
  <c r="AD187" i="5"/>
  <c r="AA187" i="5"/>
  <c r="Q187" i="5"/>
  <c r="N187" i="5"/>
  <c r="K187" i="5"/>
  <c r="F187" i="5"/>
  <c r="AE187" i="5"/>
  <c r="AB187" i="5"/>
  <c r="T187" i="5"/>
  <c r="P187" i="5"/>
  <c r="O187" i="5"/>
  <c r="L187" i="5"/>
  <c r="H187" i="5"/>
  <c r="AC187" i="5"/>
  <c r="R187" i="5"/>
  <c r="J187" i="5"/>
  <c r="E187" i="5"/>
  <c r="F188" i="5"/>
  <c r="AD188" i="5"/>
  <c r="AB188" i="5"/>
  <c r="Z188" i="5"/>
  <c r="Y188" i="5"/>
  <c r="V188" i="5"/>
  <c r="O188" i="5"/>
  <c r="I188" i="5"/>
  <c r="H188" i="5"/>
  <c r="AE188" i="5"/>
  <c r="X188" i="5"/>
  <c r="U188" i="5"/>
  <c r="T188" i="5"/>
  <c r="S188" i="5"/>
  <c r="R188" i="5"/>
  <c r="P188" i="5"/>
  <c r="M188" i="5"/>
  <c r="L188" i="5"/>
  <c r="K188" i="5"/>
  <c r="J188" i="5"/>
  <c r="E188" i="5"/>
  <c r="AC188" i="5"/>
  <c r="AA188" i="5"/>
  <c r="W188" i="5"/>
  <c r="Q188" i="5"/>
  <c r="N188" i="5"/>
  <c r="G188" i="5"/>
  <c r="D188" i="5"/>
  <c r="AC205" i="5"/>
  <c r="AA205" i="5"/>
  <c r="X205" i="5"/>
  <c r="U205" i="5"/>
  <c r="Q205" i="5"/>
  <c r="P205" i="5"/>
  <c r="G205" i="5"/>
  <c r="N205" i="5"/>
  <c r="H205" i="5"/>
  <c r="AD205" i="5"/>
  <c r="Z205" i="5"/>
  <c r="V205" i="5"/>
  <c r="M205" i="5"/>
  <c r="K205" i="5"/>
  <c r="I205" i="5"/>
  <c r="D205" i="5"/>
  <c r="O205" i="5"/>
  <c r="F205" i="5"/>
  <c r="S205" i="5"/>
  <c r="J205" i="5"/>
  <c r="AE205" i="5"/>
  <c r="AB205" i="5"/>
  <c r="Y205" i="5"/>
  <c r="W205" i="5"/>
  <c r="T205" i="5"/>
  <c r="R205" i="5"/>
  <c r="L205" i="5"/>
  <c r="E205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AD48" i="1"/>
  <c r="AD82" i="1" s="1"/>
  <c r="D48" i="1"/>
  <c r="D82" i="1" s="1"/>
  <c r="E48" i="1"/>
  <c r="E82" i="1" s="1"/>
  <c r="F48" i="1"/>
  <c r="F82" i="1" s="1"/>
  <c r="G48" i="1"/>
  <c r="G82" i="1" s="1"/>
  <c r="H48" i="1"/>
  <c r="H82" i="1" s="1"/>
  <c r="I48" i="1"/>
  <c r="I82" i="1" s="1"/>
  <c r="J48" i="1"/>
  <c r="J82" i="1" s="1"/>
  <c r="K48" i="1"/>
  <c r="K82" i="1" s="1"/>
  <c r="L48" i="1"/>
  <c r="L82" i="1" s="1"/>
  <c r="M48" i="1"/>
  <c r="M82" i="1" s="1"/>
  <c r="N48" i="1"/>
  <c r="N82" i="1" s="1"/>
  <c r="O48" i="1"/>
  <c r="O82" i="1" s="1"/>
  <c r="P48" i="1"/>
  <c r="P82" i="1" s="1"/>
  <c r="Q48" i="1"/>
  <c r="Q82" i="1" s="1"/>
  <c r="R48" i="1"/>
  <c r="R82" i="1" s="1"/>
  <c r="S48" i="1"/>
  <c r="S82" i="1" s="1"/>
  <c r="T48" i="1"/>
  <c r="T82" i="1" s="1"/>
  <c r="U48" i="1"/>
  <c r="U82" i="1" s="1"/>
  <c r="V48" i="1"/>
  <c r="V82" i="1" s="1"/>
  <c r="W48" i="1"/>
  <c r="W82" i="1" s="1"/>
  <c r="X48" i="1"/>
  <c r="X82" i="1" s="1"/>
  <c r="Y48" i="1"/>
  <c r="Y82" i="1" s="1"/>
  <c r="Z48" i="1"/>
  <c r="Z82" i="1" s="1"/>
  <c r="AA48" i="1"/>
  <c r="AA82" i="1" s="1"/>
  <c r="AB48" i="1"/>
  <c r="AB82" i="1" s="1"/>
  <c r="AC48" i="1"/>
  <c r="AC82" i="1" s="1"/>
  <c r="AE48" i="1"/>
  <c r="AE82" i="1" s="1"/>
  <c r="AD192" i="5"/>
  <c r="AA192" i="5"/>
  <c r="X192" i="5"/>
  <c r="W192" i="5"/>
  <c r="T192" i="5"/>
  <c r="S192" i="5"/>
  <c r="P192" i="5"/>
  <c r="E192" i="5"/>
  <c r="AE192" i="5"/>
  <c r="AC192" i="5"/>
  <c r="AB192" i="5"/>
  <c r="Z192" i="5"/>
  <c r="Y192" i="5"/>
  <c r="V192" i="5"/>
  <c r="U192" i="5"/>
  <c r="R192" i="5"/>
  <c r="Q192" i="5"/>
  <c r="O192" i="5"/>
  <c r="N192" i="5"/>
  <c r="M192" i="5"/>
  <c r="L192" i="5"/>
  <c r="K192" i="5"/>
  <c r="J192" i="5"/>
  <c r="I192" i="5"/>
  <c r="H192" i="5"/>
  <c r="G192" i="5"/>
  <c r="F192" i="5"/>
  <c r="D192" i="5"/>
  <c r="AE193" i="5"/>
  <c r="X193" i="5"/>
  <c r="J193" i="5"/>
  <c r="E193" i="5"/>
  <c r="AD193" i="5"/>
  <c r="AC193" i="5"/>
  <c r="AB193" i="5"/>
  <c r="AA193" i="5"/>
  <c r="Z193" i="5"/>
  <c r="Y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I193" i="5"/>
  <c r="H193" i="5"/>
  <c r="G193" i="5"/>
  <c r="F193" i="5"/>
  <c r="D193" i="5"/>
  <c r="AD194" i="5"/>
  <c r="X194" i="5"/>
  <c r="U194" i="5"/>
  <c r="T194" i="5"/>
  <c r="S194" i="5"/>
  <c r="R194" i="5"/>
  <c r="Q194" i="5"/>
  <c r="P194" i="5"/>
  <c r="O194" i="5"/>
  <c r="N194" i="5"/>
  <c r="M194" i="5"/>
  <c r="L194" i="5"/>
  <c r="J194" i="5"/>
  <c r="I194" i="5"/>
  <c r="H194" i="5"/>
  <c r="D194" i="5"/>
  <c r="AE194" i="5"/>
  <c r="AC194" i="5"/>
  <c r="AB194" i="5"/>
  <c r="AA194" i="5"/>
  <c r="Z194" i="5"/>
  <c r="Y194" i="5"/>
  <c r="W194" i="5"/>
  <c r="V194" i="5"/>
  <c r="K194" i="5"/>
  <c r="G194" i="5"/>
  <c r="F194" i="5"/>
  <c r="E194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AE198" i="5"/>
  <c r="AD198" i="5"/>
  <c r="AC198" i="5"/>
  <c r="T198" i="5"/>
  <c r="O198" i="5"/>
  <c r="M198" i="5"/>
  <c r="L198" i="5"/>
  <c r="K198" i="5"/>
  <c r="F198" i="5"/>
  <c r="D198" i="5"/>
  <c r="AB198" i="5"/>
  <c r="AA198" i="5"/>
  <c r="Z198" i="5"/>
  <c r="Y198" i="5"/>
  <c r="X198" i="5"/>
  <c r="W198" i="5"/>
  <c r="V198" i="5"/>
  <c r="U198" i="5"/>
  <c r="S198" i="5"/>
  <c r="R198" i="5"/>
  <c r="Q198" i="5"/>
  <c r="P198" i="5"/>
  <c r="N198" i="5"/>
  <c r="J198" i="5"/>
  <c r="I198" i="5"/>
  <c r="H198" i="5"/>
  <c r="G198" i="5"/>
  <c r="E198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AE206" i="5"/>
  <c r="AD206" i="5"/>
  <c r="AC206" i="5"/>
  <c r="AB206" i="5"/>
  <c r="Z206" i="5"/>
  <c r="V206" i="5"/>
  <c r="O206" i="5"/>
  <c r="L206" i="5"/>
  <c r="J206" i="5"/>
  <c r="G206" i="5"/>
  <c r="D206" i="5"/>
  <c r="Y206" i="5"/>
  <c r="X206" i="5"/>
  <c r="W206" i="5"/>
  <c r="T206" i="5"/>
  <c r="S206" i="5"/>
  <c r="R206" i="5"/>
  <c r="Q206" i="5"/>
  <c r="N206" i="5"/>
  <c r="M206" i="5"/>
  <c r="I206" i="5"/>
  <c r="H206" i="5"/>
  <c r="E206" i="5"/>
  <c r="AA206" i="5"/>
  <c r="U206" i="5"/>
  <c r="P206" i="5"/>
  <c r="K206" i="5"/>
  <c r="F206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AC189" i="5"/>
  <c r="X189" i="5"/>
  <c r="R189" i="5"/>
  <c r="H189" i="5"/>
  <c r="E189" i="5"/>
  <c r="AB189" i="5"/>
  <c r="W189" i="5"/>
  <c r="V189" i="5"/>
  <c r="T189" i="5"/>
  <c r="P189" i="5"/>
  <c r="N189" i="5"/>
  <c r="M189" i="5"/>
  <c r="L189" i="5"/>
  <c r="K189" i="5"/>
  <c r="J189" i="5"/>
  <c r="F189" i="5"/>
  <c r="AE189" i="5"/>
  <c r="AD189" i="5"/>
  <c r="Z189" i="5"/>
  <c r="S189" i="5"/>
  <c r="O189" i="5"/>
  <c r="I189" i="5"/>
  <c r="AA189" i="5"/>
  <c r="Y189" i="5"/>
  <c r="U189" i="5"/>
  <c r="Q189" i="5"/>
  <c r="G189" i="5"/>
  <c r="D189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Y204" i="5"/>
  <c r="V204" i="5"/>
  <c r="Q204" i="5"/>
  <c r="N204" i="5"/>
  <c r="K204" i="5"/>
  <c r="F204" i="5"/>
  <c r="AC204" i="5"/>
  <c r="AA204" i="5"/>
  <c r="AD204" i="5"/>
  <c r="H204" i="5"/>
  <c r="W204" i="5"/>
  <c r="T204" i="5"/>
  <c r="P204" i="5"/>
  <c r="M204" i="5"/>
  <c r="G204" i="5"/>
  <c r="AB204" i="5"/>
  <c r="I204" i="5"/>
  <c r="AE204" i="5"/>
  <c r="X204" i="5"/>
  <c r="R204" i="5"/>
  <c r="O204" i="5"/>
  <c r="L204" i="5"/>
  <c r="E204" i="5"/>
  <c r="Z204" i="5"/>
  <c r="U204" i="5"/>
  <c r="S204" i="5"/>
  <c r="J204" i="5"/>
  <c r="D204" i="5"/>
  <c r="AD207" i="5"/>
  <c r="V207" i="5"/>
  <c r="Q207" i="5"/>
  <c r="O207" i="5"/>
  <c r="N207" i="5"/>
  <c r="M207" i="5"/>
  <c r="L207" i="5"/>
  <c r="J207" i="5"/>
  <c r="F207" i="5"/>
  <c r="AC207" i="5"/>
  <c r="Y207" i="5"/>
  <c r="X207" i="5"/>
  <c r="W207" i="5"/>
  <c r="T207" i="5"/>
  <c r="S207" i="5"/>
  <c r="I207" i="5"/>
  <c r="H207" i="5"/>
  <c r="E207" i="5"/>
  <c r="AE207" i="5"/>
  <c r="AB207" i="5"/>
  <c r="AA207" i="5"/>
  <c r="Z207" i="5"/>
  <c r="U207" i="5"/>
  <c r="R207" i="5"/>
  <c r="P207" i="5"/>
  <c r="K207" i="5"/>
  <c r="G207" i="5"/>
  <c r="D207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AE190" i="5"/>
  <c r="AA190" i="5"/>
  <c r="N190" i="5"/>
  <c r="J190" i="5"/>
  <c r="D190" i="5"/>
  <c r="AD190" i="5"/>
  <c r="AC190" i="5"/>
  <c r="Z190" i="5"/>
  <c r="S190" i="5"/>
  <c r="P190" i="5"/>
  <c r="M190" i="5"/>
  <c r="L190" i="5"/>
  <c r="I190" i="5"/>
  <c r="G190" i="5"/>
  <c r="E190" i="5"/>
  <c r="AB190" i="5"/>
  <c r="Y190" i="5"/>
  <c r="X190" i="5"/>
  <c r="W190" i="5"/>
  <c r="V190" i="5"/>
  <c r="U190" i="5"/>
  <c r="T190" i="5"/>
  <c r="K190" i="5"/>
  <c r="R190" i="5"/>
  <c r="Q190" i="5"/>
  <c r="O190" i="5"/>
  <c r="H190" i="5"/>
  <c r="F190" i="5"/>
  <c r="AE191" i="5"/>
  <c r="AA191" i="5"/>
  <c r="U191" i="5"/>
  <c r="AD191" i="5"/>
  <c r="Y191" i="5"/>
  <c r="V191" i="5"/>
  <c r="Q191" i="5"/>
  <c r="L191" i="5"/>
  <c r="F191" i="5"/>
  <c r="AC191" i="5"/>
  <c r="X191" i="5"/>
  <c r="W191" i="5"/>
  <c r="R191" i="5"/>
  <c r="O191" i="5"/>
  <c r="N191" i="5"/>
  <c r="K191" i="5"/>
  <c r="J191" i="5"/>
  <c r="I191" i="5"/>
  <c r="H191" i="5"/>
  <c r="G191" i="5"/>
  <c r="D191" i="5"/>
  <c r="AB191" i="5"/>
  <c r="Z191" i="5"/>
  <c r="T191" i="5"/>
  <c r="S191" i="5"/>
  <c r="P191" i="5"/>
  <c r="M191" i="5"/>
  <c r="E191" i="5"/>
  <c r="U203" i="5"/>
  <c r="T203" i="5"/>
  <c r="L203" i="5"/>
  <c r="E203" i="5"/>
  <c r="S203" i="5"/>
  <c r="P203" i="5"/>
  <c r="Q203" i="5"/>
  <c r="J203" i="5"/>
  <c r="D203" i="5"/>
  <c r="Z203" i="5"/>
  <c r="AD203" i="5"/>
  <c r="Y203" i="5"/>
  <c r="W203" i="5"/>
  <c r="N203" i="5"/>
  <c r="K203" i="5"/>
  <c r="G203" i="5"/>
  <c r="R203" i="5"/>
  <c r="O203" i="5"/>
  <c r="AE203" i="5"/>
  <c r="AB203" i="5"/>
  <c r="V203" i="5"/>
  <c r="M203" i="5"/>
  <c r="I203" i="5"/>
  <c r="F203" i="5"/>
  <c r="AC203" i="5"/>
  <c r="AA203" i="5"/>
  <c r="X203" i="5"/>
  <c r="H203" i="5"/>
  <c r="AC208" i="5"/>
  <c r="Y208" i="5"/>
  <c r="W208" i="5"/>
  <c r="R208" i="5"/>
  <c r="L208" i="5"/>
  <c r="H208" i="5"/>
  <c r="F208" i="5"/>
  <c r="D208" i="5"/>
  <c r="AE208" i="5"/>
  <c r="AB208" i="5"/>
  <c r="Z208" i="5"/>
  <c r="V208" i="5"/>
  <c r="U208" i="5"/>
  <c r="T208" i="5"/>
  <c r="Q208" i="5"/>
  <c r="P208" i="5"/>
  <c r="O208" i="5"/>
  <c r="K208" i="5"/>
  <c r="J208" i="5"/>
  <c r="G208" i="5"/>
  <c r="E208" i="5"/>
  <c r="AD208" i="5"/>
  <c r="AA208" i="5"/>
  <c r="X208" i="5"/>
  <c r="S208" i="5"/>
  <c r="N208" i="5"/>
  <c r="M208" i="5"/>
  <c r="I208" i="5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AD44" i="1"/>
  <c r="AD78" i="1" s="1"/>
  <c r="D44" i="1"/>
  <c r="D78" i="1" s="1"/>
  <c r="E44" i="1"/>
  <c r="E78" i="1" s="1"/>
  <c r="F44" i="1"/>
  <c r="F78" i="1" s="1"/>
  <c r="G44" i="1"/>
  <c r="G78" i="1" s="1"/>
  <c r="H44" i="1"/>
  <c r="H78" i="1" s="1"/>
  <c r="I44" i="1"/>
  <c r="I78" i="1" s="1"/>
  <c r="J44" i="1"/>
  <c r="J78" i="1" s="1"/>
  <c r="K44" i="1"/>
  <c r="K78" i="1" s="1"/>
  <c r="L44" i="1"/>
  <c r="L78" i="1" s="1"/>
  <c r="M44" i="1"/>
  <c r="M78" i="1" s="1"/>
  <c r="N44" i="1"/>
  <c r="N78" i="1" s="1"/>
  <c r="O44" i="1"/>
  <c r="O78" i="1" s="1"/>
  <c r="P44" i="1"/>
  <c r="P78" i="1" s="1"/>
  <c r="Q44" i="1"/>
  <c r="Q78" i="1" s="1"/>
  <c r="R44" i="1"/>
  <c r="R78" i="1" s="1"/>
  <c r="S44" i="1"/>
  <c r="S78" i="1" s="1"/>
  <c r="T44" i="1"/>
  <c r="T78" i="1" s="1"/>
  <c r="U44" i="1"/>
  <c r="U78" i="1" s="1"/>
  <c r="V44" i="1"/>
  <c r="V78" i="1" s="1"/>
  <c r="W44" i="1"/>
  <c r="W78" i="1" s="1"/>
  <c r="X44" i="1"/>
  <c r="X78" i="1" s="1"/>
  <c r="Y44" i="1"/>
  <c r="Y78" i="1" s="1"/>
  <c r="Z44" i="1"/>
  <c r="Z78" i="1" s="1"/>
  <c r="AA44" i="1"/>
  <c r="AA78" i="1" s="1"/>
  <c r="AB44" i="1"/>
  <c r="AB78" i="1" s="1"/>
  <c r="AC44" i="1"/>
  <c r="AC78" i="1" s="1"/>
  <c r="AE44" i="1"/>
  <c r="AE78" i="1" s="1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AD167" i="4"/>
  <c r="AC167" i="4"/>
  <c r="Y167" i="4"/>
  <c r="X167" i="4"/>
  <c r="U167" i="4"/>
  <c r="S167" i="4"/>
  <c r="P167" i="4"/>
  <c r="O167" i="4"/>
  <c r="G167" i="4"/>
  <c r="D167" i="4"/>
  <c r="AE167" i="4"/>
  <c r="AA167" i="4"/>
  <c r="Z167" i="4"/>
  <c r="W167" i="4"/>
  <c r="M167" i="4"/>
  <c r="L167" i="4"/>
  <c r="K167" i="4"/>
  <c r="J167" i="4"/>
  <c r="I167" i="4"/>
  <c r="H167" i="4"/>
  <c r="E167" i="4"/>
  <c r="AB167" i="4"/>
  <c r="V167" i="4"/>
  <c r="T167" i="4"/>
  <c r="R167" i="4"/>
  <c r="Q167" i="4"/>
  <c r="N167" i="4"/>
  <c r="F167" i="4"/>
  <c r="Z168" i="4"/>
  <c r="X168" i="4"/>
  <c r="U168" i="4"/>
  <c r="T168" i="4"/>
  <c r="P168" i="4"/>
  <c r="L168" i="4"/>
  <c r="J168" i="4"/>
  <c r="F168" i="4"/>
  <c r="D168" i="4"/>
  <c r="AD168" i="4"/>
  <c r="AC168" i="4"/>
  <c r="AA168" i="4"/>
  <c r="V168" i="4"/>
  <c r="R168" i="4"/>
  <c r="Q168" i="4"/>
  <c r="O168" i="4"/>
  <c r="N168" i="4"/>
  <c r="M168" i="4"/>
  <c r="G168" i="4"/>
  <c r="AE168" i="4"/>
  <c r="AB168" i="4"/>
  <c r="Y168" i="4"/>
  <c r="W168" i="4"/>
  <c r="S168" i="4"/>
  <c r="K168" i="4"/>
  <c r="I168" i="4"/>
  <c r="H168" i="4"/>
  <c r="E168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Q43" i="2"/>
  <c r="C137" i="4"/>
  <c r="AC150" i="4"/>
  <c r="Z150" i="4"/>
  <c r="V150" i="4"/>
  <c r="N150" i="4"/>
  <c r="K150" i="4"/>
  <c r="H150" i="4"/>
  <c r="F150" i="4"/>
  <c r="AD150" i="4"/>
  <c r="AA150" i="4"/>
  <c r="Y150" i="4"/>
  <c r="W150" i="4"/>
  <c r="U150" i="4"/>
  <c r="S150" i="4"/>
  <c r="R150" i="4"/>
  <c r="O150" i="4"/>
  <c r="M150" i="4"/>
  <c r="I150" i="4"/>
  <c r="D150" i="4"/>
  <c r="AE150" i="4"/>
  <c r="AB150" i="4"/>
  <c r="X150" i="4"/>
  <c r="T150" i="4"/>
  <c r="Q150" i="4"/>
  <c r="P150" i="4"/>
  <c r="L150" i="4"/>
  <c r="J150" i="4"/>
  <c r="G150" i="4"/>
  <c r="E150" i="4"/>
  <c r="AD152" i="4"/>
  <c r="X152" i="4"/>
  <c r="P152" i="4"/>
  <c r="O152" i="4"/>
  <c r="J152" i="4"/>
  <c r="H152" i="4"/>
  <c r="D152" i="4"/>
  <c r="Z152" i="4"/>
  <c r="Y152" i="4"/>
  <c r="V152" i="4"/>
  <c r="U152" i="4"/>
  <c r="T152" i="4"/>
  <c r="Q152" i="4"/>
  <c r="N152" i="4"/>
  <c r="L152" i="4"/>
  <c r="I152" i="4"/>
  <c r="E152" i="4"/>
  <c r="AC152" i="4"/>
  <c r="AB152" i="4"/>
  <c r="AA152" i="4"/>
  <c r="S152" i="4"/>
  <c r="R152" i="4"/>
  <c r="M152" i="4"/>
  <c r="F152" i="4"/>
  <c r="AE152" i="4"/>
  <c r="W152" i="4"/>
  <c r="K152" i="4"/>
  <c r="G152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AD154" i="4"/>
  <c r="Z154" i="4"/>
  <c r="V154" i="4"/>
  <c r="R154" i="4"/>
  <c r="O154" i="4"/>
  <c r="K154" i="4"/>
  <c r="I154" i="4"/>
  <c r="H154" i="4"/>
  <c r="G154" i="4"/>
  <c r="F154" i="4"/>
  <c r="E154" i="4"/>
  <c r="AE154" i="4"/>
  <c r="AC154" i="4"/>
  <c r="AB154" i="4"/>
  <c r="AA154" i="4"/>
  <c r="Y154" i="4"/>
  <c r="X154" i="4"/>
  <c r="W154" i="4"/>
  <c r="U154" i="4"/>
  <c r="T154" i="4"/>
  <c r="S154" i="4"/>
  <c r="Q154" i="4"/>
  <c r="P154" i="4"/>
  <c r="N154" i="4"/>
  <c r="M154" i="4"/>
  <c r="L154" i="4"/>
  <c r="J154" i="4"/>
  <c r="D154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AE158" i="4"/>
  <c r="AD158" i="4"/>
  <c r="AC158" i="4"/>
  <c r="AB158" i="4"/>
  <c r="AA158" i="4"/>
  <c r="Z158" i="4"/>
  <c r="Y158" i="4"/>
  <c r="X158" i="4"/>
  <c r="W158" i="4"/>
  <c r="V158" i="4"/>
  <c r="U158" i="4"/>
  <c r="R158" i="4"/>
  <c r="Q158" i="4"/>
  <c r="P158" i="4"/>
  <c r="N158" i="4"/>
  <c r="M158" i="4"/>
  <c r="L158" i="4"/>
  <c r="H158" i="4"/>
  <c r="G158" i="4"/>
  <c r="E158" i="4"/>
  <c r="D158" i="4"/>
  <c r="T158" i="4"/>
  <c r="S158" i="4"/>
  <c r="O158" i="4"/>
  <c r="K158" i="4"/>
  <c r="J158" i="4"/>
  <c r="I158" i="4"/>
  <c r="F158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K148" i="4"/>
  <c r="AB148" i="4"/>
  <c r="Y148" i="4"/>
  <c r="U148" i="4"/>
  <c r="S148" i="4"/>
  <c r="Q148" i="4"/>
  <c r="P148" i="4"/>
  <c r="F148" i="4"/>
  <c r="H148" i="4"/>
  <c r="E148" i="4"/>
  <c r="X148" i="4"/>
  <c r="R148" i="4"/>
  <c r="I148" i="4"/>
  <c r="AA148" i="4"/>
  <c r="W148" i="4"/>
  <c r="AD148" i="4"/>
  <c r="N148" i="4"/>
  <c r="D148" i="4"/>
  <c r="T148" i="4"/>
  <c r="O148" i="4"/>
  <c r="M148" i="4"/>
  <c r="G148" i="4"/>
  <c r="J148" i="4"/>
  <c r="AC148" i="4"/>
  <c r="Z148" i="4"/>
  <c r="V148" i="4"/>
  <c r="AE148" i="4"/>
  <c r="L148" i="4"/>
  <c r="U164" i="4"/>
  <c r="S164" i="4"/>
  <c r="N164" i="4"/>
  <c r="L164" i="4"/>
  <c r="F164" i="4"/>
  <c r="AC164" i="4"/>
  <c r="Y164" i="4"/>
  <c r="G164" i="4"/>
  <c r="AB164" i="4"/>
  <c r="X164" i="4"/>
  <c r="W164" i="4"/>
  <c r="O164" i="4"/>
  <c r="H164" i="4"/>
  <c r="R164" i="4"/>
  <c r="M164" i="4"/>
  <c r="K164" i="4"/>
  <c r="E164" i="4"/>
  <c r="AA164" i="4"/>
  <c r="V164" i="4"/>
  <c r="P164" i="4"/>
  <c r="AD164" i="4"/>
  <c r="Q164" i="4"/>
  <c r="J164" i="4"/>
  <c r="AE164" i="4"/>
  <c r="Z164" i="4"/>
  <c r="T164" i="4"/>
  <c r="I164" i="4"/>
  <c r="D16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AD165" i="4"/>
  <c r="W165" i="4"/>
  <c r="O165" i="4"/>
  <c r="E165" i="4"/>
  <c r="Z165" i="4"/>
  <c r="U165" i="4"/>
  <c r="R165" i="4"/>
  <c r="M165" i="4"/>
  <c r="I165" i="4"/>
  <c r="Q165" i="4"/>
  <c r="N165" i="4"/>
  <c r="L165" i="4"/>
  <c r="J165" i="4"/>
  <c r="G165" i="4"/>
  <c r="Y165" i="4"/>
  <c r="V165" i="4"/>
  <c r="P165" i="4"/>
  <c r="H165" i="4"/>
  <c r="D165" i="4"/>
  <c r="AA165" i="4"/>
  <c r="T165" i="4"/>
  <c r="S165" i="4"/>
  <c r="K165" i="4"/>
  <c r="F165" i="4"/>
  <c r="AC165" i="4"/>
  <c r="AB165" i="4"/>
  <c r="X165" i="4"/>
  <c r="AE165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AD147" i="4"/>
  <c r="AC147" i="4"/>
  <c r="Y147" i="4"/>
  <c r="U147" i="4"/>
  <c r="S147" i="4"/>
  <c r="N147" i="4"/>
  <c r="K147" i="4"/>
  <c r="H147" i="4"/>
  <c r="E147" i="4"/>
  <c r="AE147" i="4"/>
  <c r="AA147" i="4"/>
  <c r="X147" i="4"/>
  <c r="V147" i="4"/>
  <c r="R147" i="4"/>
  <c r="Q147" i="4"/>
  <c r="P147" i="4"/>
  <c r="J147" i="4"/>
  <c r="F147" i="4"/>
  <c r="AB147" i="4"/>
  <c r="O147" i="4"/>
  <c r="I147" i="4"/>
  <c r="Z147" i="4"/>
  <c r="W147" i="4"/>
  <c r="T147" i="4"/>
  <c r="M147" i="4"/>
  <c r="L147" i="4"/>
  <c r="G147" i="4"/>
  <c r="D147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AE149" i="4"/>
  <c r="AA149" i="4"/>
  <c r="X149" i="4"/>
  <c r="U149" i="4"/>
  <c r="R149" i="4"/>
  <c r="P149" i="4"/>
  <c r="M149" i="4"/>
  <c r="L149" i="4"/>
  <c r="H149" i="4"/>
  <c r="E149" i="4"/>
  <c r="AC149" i="4"/>
  <c r="Z149" i="4"/>
  <c r="Y149" i="4"/>
  <c r="K149" i="4"/>
  <c r="J149" i="4"/>
  <c r="G149" i="4"/>
  <c r="AD149" i="4"/>
  <c r="T149" i="4"/>
  <c r="O149" i="4"/>
  <c r="N149" i="4"/>
  <c r="I149" i="4"/>
  <c r="D149" i="4"/>
  <c r="AB149" i="4"/>
  <c r="W149" i="4"/>
  <c r="V149" i="4"/>
  <c r="S149" i="4"/>
  <c r="Q149" i="4"/>
  <c r="F149" i="4"/>
  <c r="AB151" i="4"/>
  <c r="AA151" i="4"/>
  <c r="X151" i="4"/>
  <c r="R151" i="4"/>
  <c r="O151" i="4"/>
  <c r="J151" i="4"/>
  <c r="G151" i="4"/>
  <c r="D151" i="4"/>
  <c r="AD151" i="4"/>
  <c r="Z151" i="4"/>
  <c r="W151" i="4"/>
  <c r="S151" i="4"/>
  <c r="Q151" i="4"/>
  <c r="M151" i="4"/>
  <c r="H151" i="4"/>
  <c r="E151" i="4"/>
  <c r="AC151" i="4"/>
  <c r="U151" i="4"/>
  <c r="T151" i="4"/>
  <c r="N151" i="4"/>
  <c r="I151" i="4"/>
  <c r="AE151" i="4"/>
  <c r="Y151" i="4"/>
  <c r="V151" i="4"/>
  <c r="P151" i="4"/>
  <c r="L151" i="4"/>
  <c r="K151" i="4"/>
  <c r="F151" i="4"/>
  <c r="AD166" i="4"/>
  <c r="AC166" i="4"/>
  <c r="Y166" i="4"/>
  <c r="W166" i="4"/>
  <c r="S166" i="4"/>
  <c r="Q166" i="4"/>
  <c r="O166" i="4"/>
  <c r="L166" i="4"/>
  <c r="I166" i="4"/>
  <c r="G166" i="4"/>
  <c r="D166" i="4"/>
  <c r="AA166" i="4"/>
  <c r="X166" i="4"/>
  <c r="V166" i="4"/>
  <c r="U166" i="4"/>
  <c r="T166" i="4"/>
  <c r="N166" i="4"/>
  <c r="K166" i="4"/>
  <c r="J166" i="4"/>
  <c r="F166" i="4"/>
  <c r="AE166" i="4"/>
  <c r="AB166" i="4"/>
  <c r="Z166" i="4"/>
  <c r="R166" i="4"/>
  <c r="P166" i="4"/>
  <c r="M166" i="4"/>
  <c r="H166" i="4"/>
  <c r="E166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AD45" i="1"/>
  <c r="AD79" i="1" s="1"/>
  <c r="D45" i="1"/>
  <c r="D79" i="1" s="1"/>
  <c r="E45" i="1"/>
  <c r="E79" i="1" s="1"/>
  <c r="F45" i="1"/>
  <c r="F79" i="1" s="1"/>
  <c r="G45" i="1"/>
  <c r="G79" i="1" s="1"/>
  <c r="H45" i="1"/>
  <c r="H79" i="1" s="1"/>
  <c r="I45" i="1"/>
  <c r="I79" i="1" s="1"/>
  <c r="J45" i="1"/>
  <c r="J79" i="1" s="1"/>
  <c r="K45" i="1"/>
  <c r="K79" i="1" s="1"/>
  <c r="L45" i="1"/>
  <c r="L79" i="1" s="1"/>
  <c r="M45" i="1"/>
  <c r="M79" i="1" s="1"/>
  <c r="N45" i="1"/>
  <c r="N79" i="1" s="1"/>
  <c r="O45" i="1"/>
  <c r="O79" i="1" s="1"/>
  <c r="AE45" i="1"/>
  <c r="AE79" i="1" s="1"/>
  <c r="Q45" i="1"/>
  <c r="Q79" i="1" s="1"/>
  <c r="R45" i="1"/>
  <c r="R79" i="1" s="1"/>
  <c r="S45" i="1"/>
  <c r="S79" i="1" s="1"/>
  <c r="T45" i="1"/>
  <c r="T79" i="1" s="1"/>
  <c r="U45" i="1"/>
  <c r="U79" i="1" s="1"/>
  <c r="V45" i="1"/>
  <c r="V79" i="1" s="1"/>
  <c r="W45" i="1"/>
  <c r="W79" i="1" s="1"/>
  <c r="X45" i="1"/>
  <c r="X79" i="1" s="1"/>
  <c r="Y45" i="1"/>
  <c r="Y79" i="1" s="1"/>
  <c r="Z45" i="1"/>
  <c r="Z79" i="1" s="1"/>
  <c r="AA45" i="1"/>
  <c r="AA79" i="1" s="1"/>
  <c r="AB45" i="1"/>
  <c r="AB79" i="1" s="1"/>
  <c r="AC45" i="1"/>
  <c r="AC79" i="1" s="1"/>
  <c r="P45" i="1"/>
  <c r="P79" i="1" s="1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AE162" i="5"/>
  <c r="AD162" i="5"/>
  <c r="AC162" i="5"/>
  <c r="AB162" i="5"/>
  <c r="AA162" i="5"/>
  <c r="Y162" i="5"/>
  <c r="W162" i="5"/>
  <c r="U162" i="5"/>
  <c r="Z162" i="5"/>
  <c r="X162" i="5"/>
  <c r="V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K165" i="5"/>
  <c r="W165" i="5"/>
  <c r="U165" i="5"/>
  <c r="P165" i="5"/>
  <c r="D165" i="5"/>
  <c r="AB165" i="5"/>
  <c r="E165" i="5"/>
  <c r="AD165" i="5"/>
  <c r="Z165" i="5"/>
  <c r="V165" i="5"/>
  <c r="S165" i="5"/>
  <c r="Q165" i="5"/>
  <c r="O165" i="5"/>
  <c r="I165" i="5"/>
  <c r="AC165" i="5"/>
  <c r="AE165" i="5"/>
  <c r="AA165" i="5"/>
  <c r="Y165" i="5"/>
  <c r="T165" i="5"/>
  <c r="L165" i="5"/>
  <c r="F165" i="5"/>
  <c r="H165" i="5"/>
  <c r="X165" i="5"/>
  <c r="R165" i="5"/>
  <c r="N165" i="5"/>
  <c r="M165" i="5"/>
  <c r="J165" i="5"/>
  <c r="G165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H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G170" i="5"/>
  <c r="F170" i="5"/>
  <c r="E170" i="5"/>
  <c r="D170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AB150" i="5"/>
  <c r="Y150" i="5"/>
  <c r="S150" i="5"/>
  <c r="P150" i="5"/>
  <c r="K150" i="5"/>
  <c r="E150" i="5"/>
  <c r="AE150" i="5"/>
  <c r="AD150" i="5"/>
  <c r="AA150" i="5"/>
  <c r="X150" i="5"/>
  <c r="W150" i="5"/>
  <c r="V150" i="5"/>
  <c r="U150" i="5"/>
  <c r="R150" i="5"/>
  <c r="Q150" i="5"/>
  <c r="O150" i="5"/>
  <c r="M150" i="5"/>
  <c r="L150" i="5"/>
  <c r="J150" i="5"/>
  <c r="H150" i="5"/>
  <c r="G150" i="5"/>
  <c r="F150" i="5"/>
  <c r="AC150" i="5"/>
  <c r="Z150" i="5"/>
  <c r="T150" i="5"/>
  <c r="N150" i="5"/>
  <c r="I150" i="5"/>
  <c r="D150" i="5"/>
  <c r="AB152" i="5"/>
  <c r="U152" i="5"/>
  <c r="T152" i="5"/>
  <c r="P152" i="5"/>
  <c r="I152" i="5"/>
  <c r="F152" i="5"/>
  <c r="AC152" i="5"/>
  <c r="W152" i="5"/>
  <c r="R152" i="5"/>
  <c r="Q152" i="5"/>
  <c r="O152" i="5"/>
  <c r="L152" i="5"/>
  <c r="K152" i="5"/>
  <c r="H152" i="5"/>
  <c r="D152" i="5"/>
  <c r="AE152" i="5"/>
  <c r="Z152" i="5"/>
  <c r="Y152" i="5"/>
  <c r="X152" i="5"/>
  <c r="V152" i="5"/>
  <c r="N152" i="5"/>
  <c r="M152" i="5"/>
  <c r="G152" i="5"/>
  <c r="AD152" i="5"/>
  <c r="AA152" i="5"/>
  <c r="S152" i="5"/>
  <c r="J152" i="5"/>
  <c r="E152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AE154" i="5"/>
  <c r="Z154" i="5"/>
  <c r="V154" i="5"/>
  <c r="S154" i="5"/>
  <c r="N154" i="5"/>
  <c r="M154" i="5"/>
  <c r="L154" i="5"/>
  <c r="K154" i="5"/>
  <c r="J154" i="5"/>
  <c r="I154" i="5"/>
  <c r="H154" i="5"/>
  <c r="G154" i="5"/>
  <c r="F154" i="5"/>
  <c r="D154" i="5"/>
  <c r="AD154" i="5"/>
  <c r="AC154" i="5"/>
  <c r="AB154" i="5"/>
  <c r="AA154" i="5"/>
  <c r="Y154" i="5"/>
  <c r="X154" i="5"/>
  <c r="W154" i="5"/>
  <c r="U154" i="5"/>
  <c r="T154" i="5"/>
  <c r="R154" i="5"/>
  <c r="Q154" i="5"/>
  <c r="P154" i="5"/>
  <c r="O154" i="5"/>
  <c r="E154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V158" i="5"/>
  <c r="S158" i="5"/>
  <c r="Q158" i="5"/>
  <c r="P158" i="5"/>
  <c r="O158" i="5"/>
  <c r="K158" i="5"/>
  <c r="J158" i="5"/>
  <c r="I158" i="5"/>
  <c r="H158" i="5"/>
  <c r="G158" i="5"/>
  <c r="D158" i="5"/>
  <c r="AE158" i="5"/>
  <c r="AD158" i="5"/>
  <c r="AC158" i="5"/>
  <c r="AB158" i="5"/>
  <c r="AA158" i="5"/>
  <c r="Z158" i="5"/>
  <c r="Y158" i="5"/>
  <c r="X158" i="5"/>
  <c r="W158" i="5"/>
  <c r="U158" i="5"/>
  <c r="T158" i="5"/>
  <c r="R158" i="5"/>
  <c r="N158" i="5"/>
  <c r="M158" i="5"/>
  <c r="L158" i="5"/>
  <c r="F158" i="5"/>
  <c r="E158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AB164" i="5"/>
  <c r="V164" i="5"/>
  <c r="Q164" i="5"/>
  <c r="AC164" i="5"/>
  <c r="F164" i="5"/>
  <c r="L164" i="5"/>
  <c r="J164" i="5"/>
  <c r="P164" i="5"/>
  <c r="N164" i="5"/>
  <c r="X164" i="5"/>
  <c r="Z164" i="5"/>
  <c r="U164" i="5"/>
  <c r="G164" i="5"/>
  <c r="AE164" i="5"/>
  <c r="I164" i="5"/>
  <c r="R164" i="5"/>
  <c r="AD164" i="5"/>
  <c r="W164" i="5"/>
  <c r="S164" i="5"/>
  <c r="M164" i="5"/>
  <c r="H164" i="5"/>
  <c r="Y164" i="5"/>
  <c r="T164" i="5"/>
  <c r="D164" i="5"/>
  <c r="AA164" i="5"/>
  <c r="O164" i="5"/>
  <c r="K164" i="5"/>
  <c r="E164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X147" i="5"/>
  <c r="L147" i="5"/>
  <c r="F147" i="5"/>
  <c r="AD147" i="5"/>
  <c r="AA147" i="5"/>
  <c r="Z147" i="5"/>
  <c r="Y147" i="5"/>
  <c r="O147" i="5"/>
  <c r="H147" i="5"/>
  <c r="E147" i="5"/>
  <c r="AE147" i="5"/>
  <c r="W147" i="5"/>
  <c r="P147" i="5"/>
  <c r="K147" i="5"/>
  <c r="J147" i="5"/>
  <c r="D147" i="5"/>
  <c r="AC147" i="5"/>
  <c r="AB147" i="5"/>
  <c r="V147" i="5"/>
  <c r="U147" i="5"/>
  <c r="T147" i="5"/>
  <c r="S147" i="5"/>
  <c r="R147" i="5"/>
  <c r="Q147" i="5"/>
  <c r="N147" i="5"/>
  <c r="M147" i="5"/>
  <c r="I147" i="5"/>
  <c r="G147" i="5"/>
  <c r="P148" i="5"/>
  <c r="O148" i="5"/>
  <c r="AE148" i="5"/>
  <c r="U148" i="5"/>
  <c r="T148" i="5"/>
  <c r="Q148" i="5"/>
  <c r="N148" i="5"/>
  <c r="L148" i="5"/>
  <c r="F148" i="5"/>
  <c r="AC148" i="5"/>
  <c r="AB148" i="5"/>
  <c r="AA148" i="5"/>
  <c r="Z148" i="5"/>
  <c r="Y148" i="5"/>
  <c r="X148" i="5"/>
  <c r="W148" i="5"/>
  <c r="V148" i="5"/>
  <c r="S148" i="5"/>
  <c r="R148" i="5"/>
  <c r="M148" i="5"/>
  <c r="E148" i="5"/>
  <c r="AD148" i="5"/>
  <c r="K148" i="5"/>
  <c r="J148" i="5"/>
  <c r="I148" i="5"/>
  <c r="H148" i="5"/>
  <c r="G148" i="5"/>
  <c r="D148" i="5"/>
  <c r="AC151" i="5"/>
  <c r="AA151" i="5"/>
  <c r="X151" i="5"/>
  <c r="Q151" i="5"/>
  <c r="P151" i="5"/>
  <c r="L151" i="5"/>
  <c r="G151" i="5"/>
  <c r="AD151" i="5"/>
  <c r="Y151" i="5"/>
  <c r="U151" i="5"/>
  <c r="N151" i="5"/>
  <c r="J151" i="5"/>
  <c r="F151" i="5"/>
  <c r="D151" i="5"/>
  <c r="AE151" i="5"/>
  <c r="Z151" i="5"/>
  <c r="T151" i="5"/>
  <c r="S151" i="5"/>
  <c r="R151" i="5"/>
  <c r="M151" i="5"/>
  <c r="H151" i="5"/>
  <c r="AB151" i="5"/>
  <c r="W151" i="5"/>
  <c r="V151" i="5"/>
  <c r="O151" i="5"/>
  <c r="K151" i="5"/>
  <c r="I151" i="5"/>
  <c r="E151" i="5"/>
  <c r="Z166" i="5"/>
  <c r="V166" i="5"/>
  <c r="T166" i="5"/>
  <c r="S166" i="5"/>
  <c r="Q166" i="5"/>
  <c r="P166" i="5"/>
  <c r="O166" i="5"/>
  <c r="N166" i="5"/>
  <c r="J166" i="5"/>
  <c r="AE166" i="5"/>
  <c r="AA166" i="5"/>
  <c r="X166" i="5"/>
  <c r="G166" i="5"/>
  <c r="L166" i="5"/>
  <c r="K166" i="5"/>
  <c r="F166" i="5"/>
  <c r="AD166" i="5"/>
  <c r="AC166" i="5"/>
  <c r="AB166" i="5"/>
  <c r="Y166" i="5"/>
  <c r="U166" i="5"/>
  <c r="R166" i="5"/>
  <c r="I166" i="5"/>
  <c r="E166" i="5"/>
  <c r="M166" i="5"/>
  <c r="H166" i="5"/>
  <c r="D166" i="5"/>
  <c r="W166" i="5"/>
  <c r="AE168" i="5"/>
  <c r="AA168" i="5"/>
  <c r="X168" i="5"/>
  <c r="S168" i="5"/>
  <c r="Q168" i="5"/>
  <c r="D168" i="5"/>
  <c r="AC168" i="5"/>
  <c r="AB168" i="5"/>
  <c r="Z168" i="5"/>
  <c r="Y168" i="5"/>
  <c r="V168" i="5"/>
  <c r="R168" i="5"/>
  <c r="O168" i="5"/>
  <c r="N168" i="5"/>
  <c r="M168" i="5"/>
  <c r="L168" i="5"/>
  <c r="W168" i="5"/>
  <c r="J168" i="5"/>
  <c r="H168" i="5"/>
  <c r="G168" i="5"/>
  <c r="F168" i="5"/>
  <c r="AD168" i="5"/>
  <c r="U168" i="5"/>
  <c r="T168" i="5"/>
  <c r="P168" i="5"/>
  <c r="K168" i="5"/>
  <c r="I168" i="5"/>
  <c r="E168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AA149" i="5"/>
  <c r="X149" i="5"/>
  <c r="S149" i="5"/>
  <c r="R149" i="5"/>
  <c r="I149" i="5"/>
  <c r="E149" i="5"/>
  <c r="AE149" i="5"/>
  <c r="AC149" i="5"/>
  <c r="Z149" i="5"/>
  <c r="T149" i="5"/>
  <c r="Q149" i="5"/>
  <c r="L149" i="5"/>
  <c r="J149" i="5"/>
  <c r="G149" i="5"/>
  <c r="F149" i="5"/>
  <c r="D149" i="5"/>
  <c r="AD149" i="5"/>
  <c r="W149" i="5"/>
  <c r="V149" i="5"/>
  <c r="U149" i="5"/>
  <c r="O149" i="5"/>
  <c r="N149" i="5"/>
  <c r="M149" i="5"/>
  <c r="H149" i="5"/>
  <c r="AB149" i="5"/>
  <c r="Y149" i="5"/>
  <c r="P149" i="5"/>
  <c r="K149" i="5"/>
  <c r="AD163" i="5"/>
  <c r="AA163" i="5"/>
  <c r="Z163" i="5"/>
  <c r="X163" i="5"/>
  <c r="U163" i="5"/>
  <c r="S163" i="5"/>
  <c r="R163" i="5"/>
  <c r="Q163" i="5"/>
  <c r="P163" i="5"/>
  <c r="O163" i="5"/>
  <c r="N163" i="5"/>
  <c r="L163" i="5"/>
  <c r="I163" i="5"/>
  <c r="AE163" i="5"/>
  <c r="AC163" i="5"/>
  <c r="AB163" i="5"/>
  <c r="Y163" i="5"/>
  <c r="W163" i="5"/>
  <c r="V163" i="5"/>
  <c r="T163" i="5"/>
  <c r="M163" i="5"/>
  <c r="K163" i="5"/>
  <c r="J163" i="5"/>
  <c r="H163" i="5"/>
  <c r="G163" i="5"/>
  <c r="F163" i="5"/>
  <c r="E163" i="5"/>
  <c r="D163" i="5"/>
  <c r="AE167" i="5"/>
  <c r="AB167" i="5"/>
  <c r="Z167" i="5"/>
  <c r="V167" i="5"/>
  <c r="S167" i="5"/>
  <c r="K167" i="5"/>
  <c r="AD167" i="5"/>
  <c r="AC167" i="5"/>
  <c r="X167" i="5"/>
  <c r="U167" i="5"/>
  <c r="T167" i="5"/>
  <c r="R167" i="5"/>
  <c r="Q167" i="5"/>
  <c r="O167" i="5"/>
  <c r="N167" i="5"/>
  <c r="I167" i="5"/>
  <c r="F167" i="5"/>
  <c r="D167" i="5"/>
  <c r="M167" i="5"/>
  <c r="H167" i="5"/>
  <c r="G167" i="5"/>
  <c r="E167" i="5"/>
  <c r="AA167" i="5"/>
  <c r="Y167" i="5"/>
  <c r="W167" i="5"/>
  <c r="P167" i="5"/>
  <c r="L167" i="5"/>
  <c r="J167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R169" i="5"/>
  <c r="I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Q169" i="5"/>
  <c r="P169" i="5"/>
  <c r="O169" i="5"/>
  <c r="N169" i="5"/>
  <c r="M169" i="5"/>
  <c r="L169" i="5"/>
  <c r="K169" i="5"/>
  <c r="J169" i="5"/>
  <c r="H169" i="5"/>
  <c r="G169" i="5"/>
  <c r="F169" i="5"/>
  <c r="E169" i="5"/>
  <c r="D169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H107" i="5"/>
  <c r="F107" i="5"/>
  <c r="E107" i="5"/>
  <c r="I107" i="5"/>
  <c r="G107" i="5"/>
  <c r="D107" i="5"/>
  <c r="W112" i="5"/>
  <c r="R112" i="5"/>
  <c r="Q112" i="5"/>
  <c r="L112" i="5"/>
  <c r="G112" i="5"/>
  <c r="AD112" i="5"/>
  <c r="AC112" i="5"/>
  <c r="Y112" i="5"/>
  <c r="X112" i="5"/>
  <c r="S112" i="5"/>
  <c r="M112" i="5"/>
  <c r="H112" i="5"/>
  <c r="E112" i="5"/>
  <c r="AB112" i="5"/>
  <c r="AA112" i="5"/>
  <c r="V112" i="5"/>
  <c r="T112" i="5"/>
  <c r="P112" i="5"/>
  <c r="O112" i="5"/>
  <c r="K112" i="5"/>
  <c r="J112" i="5"/>
  <c r="I112" i="5"/>
  <c r="D112" i="5"/>
  <c r="AE112" i="5"/>
  <c r="Z112" i="5"/>
  <c r="U112" i="5"/>
  <c r="N112" i="5"/>
  <c r="F112" i="5"/>
  <c r="V124" i="5"/>
  <c r="L124" i="5"/>
  <c r="I124" i="5"/>
  <c r="Z124" i="5"/>
  <c r="E124" i="5"/>
  <c r="AD124" i="5"/>
  <c r="AB124" i="5"/>
  <c r="Y124" i="5"/>
  <c r="X124" i="5"/>
  <c r="W124" i="5"/>
  <c r="T124" i="5"/>
  <c r="Q124" i="5"/>
  <c r="O124" i="5"/>
  <c r="M124" i="5"/>
  <c r="K124" i="5"/>
  <c r="G124" i="5"/>
  <c r="AC124" i="5"/>
  <c r="AA124" i="5"/>
  <c r="D124" i="5"/>
  <c r="R124" i="5"/>
  <c r="N124" i="5"/>
  <c r="H124" i="5"/>
  <c r="AE124" i="5"/>
  <c r="U124" i="5"/>
  <c r="S124" i="5"/>
  <c r="P124" i="5"/>
  <c r="J124" i="5"/>
  <c r="F124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AC110" i="5"/>
  <c r="X110" i="5"/>
  <c r="V110" i="5"/>
  <c r="P110" i="5"/>
  <c r="M110" i="5"/>
  <c r="H110" i="5"/>
  <c r="F110" i="5"/>
  <c r="AD110" i="5"/>
  <c r="AB110" i="5"/>
  <c r="AA110" i="5"/>
  <c r="W110" i="5"/>
  <c r="T110" i="5"/>
  <c r="S110" i="5"/>
  <c r="N110" i="5"/>
  <c r="K110" i="5"/>
  <c r="I110" i="5"/>
  <c r="E110" i="5"/>
  <c r="AE110" i="5"/>
  <c r="Z110" i="5"/>
  <c r="Q110" i="5"/>
  <c r="Y110" i="5"/>
  <c r="U110" i="5"/>
  <c r="R110" i="5"/>
  <c r="O110" i="5"/>
  <c r="L110" i="5"/>
  <c r="J110" i="5"/>
  <c r="G110" i="5"/>
  <c r="D110" i="5"/>
  <c r="AB111" i="5"/>
  <c r="V111" i="5"/>
  <c r="R111" i="5"/>
  <c r="N111" i="5"/>
  <c r="J111" i="5"/>
  <c r="I111" i="5"/>
  <c r="E111" i="5"/>
  <c r="AD111" i="5"/>
  <c r="AC111" i="5"/>
  <c r="X111" i="5"/>
  <c r="T111" i="5"/>
  <c r="Q111" i="5"/>
  <c r="M111" i="5"/>
  <c r="H111" i="5"/>
  <c r="D111" i="5"/>
  <c r="AA111" i="5"/>
  <c r="Z111" i="5"/>
  <c r="U111" i="5"/>
  <c r="O111" i="5"/>
  <c r="G111" i="5"/>
  <c r="AE111" i="5"/>
  <c r="Y111" i="5"/>
  <c r="W111" i="5"/>
  <c r="S111" i="5"/>
  <c r="P111" i="5"/>
  <c r="L111" i="5"/>
  <c r="K111" i="5"/>
  <c r="F111" i="5"/>
  <c r="AC125" i="5"/>
  <c r="U125" i="5"/>
  <c r="S125" i="5"/>
  <c r="K125" i="5"/>
  <c r="E125" i="5"/>
  <c r="AB125" i="5"/>
  <c r="V125" i="5"/>
  <c r="M125" i="5"/>
  <c r="I125" i="5"/>
  <c r="F125" i="5"/>
  <c r="AE125" i="5"/>
  <c r="AD125" i="5"/>
  <c r="X125" i="5"/>
  <c r="W125" i="5"/>
  <c r="Q125" i="5"/>
  <c r="N125" i="5"/>
  <c r="H125" i="5"/>
  <c r="AA125" i="5"/>
  <c r="T125" i="5"/>
  <c r="L125" i="5"/>
  <c r="J125" i="5"/>
  <c r="Y125" i="5"/>
  <c r="R125" i="5"/>
  <c r="O125" i="5"/>
  <c r="D125" i="5"/>
  <c r="Z125" i="5"/>
  <c r="P125" i="5"/>
  <c r="G125" i="5"/>
  <c r="AE126" i="5"/>
  <c r="AC126" i="5"/>
  <c r="AA126" i="5"/>
  <c r="T126" i="5"/>
  <c r="P126" i="5"/>
  <c r="N126" i="5"/>
  <c r="L126" i="5"/>
  <c r="E126" i="5"/>
  <c r="Z126" i="5"/>
  <c r="X126" i="5"/>
  <c r="W126" i="5"/>
  <c r="V126" i="5"/>
  <c r="U126" i="5"/>
  <c r="S126" i="5"/>
  <c r="Q126" i="5"/>
  <c r="O126" i="5"/>
  <c r="J126" i="5"/>
  <c r="I126" i="5"/>
  <c r="G126" i="5"/>
  <c r="AD126" i="5"/>
  <c r="AB126" i="5"/>
  <c r="Y126" i="5"/>
  <c r="R126" i="5"/>
  <c r="M126" i="5"/>
  <c r="K126" i="5"/>
  <c r="H126" i="5"/>
  <c r="F126" i="5"/>
  <c r="D126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AE114" i="5"/>
  <c r="AD114" i="5"/>
  <c r="AC114" i="5"/>
  <c r="K114" i="5"/>
  <c r="G114" i="5"/>
  <c r="D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J114" i="5"/>
  <c r="I114" i="5"/>
  <c r="H114" i="5"/>
  <c r="F114" i="5"/>
  <c r="E114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D42" i="1"/>
  <c r="D76" i="1" s="1"/>
  <c r="E42" i="1"/>
  <c r="E76" i="1" s="1"/>
  <c r="F42" i="1"/>
  <c r="F76" i="1" s="1"/>
  <c r="G42" i="1"/>
  <c r="G76" i="1" s="1"/>
  <c r="H42" i="1"/>
  <c r="H76" i="1" s="1"/>
  <c r="I42" i="1"/>
  <c r="I76" i="1" s="1"/>
  <c r="J42" i="1"/>
  <c r="J76" i="1" s="1"/>
  <c r="K42" i="1"/>
  <c r="K76" i="1" s="1"/>
  <c r="L42" i="1"/>
  <c r="L76" i="1" s="1"/>
  <c r="M42" i="1"/>
  <c r="M76" i="1" s="1"/>
  <c r="N42" i="1"/>
  <c r="N76" i="1" s="1"/>
  <c r="O42" i="1"/>
  <c r="O76" i="1" s="1"/>
  <c r="P42" i="1"/>
  <c r="P76" i="1" s="1"/>
  <c r="Q42" i="1"/>
  <c r="Q76" i="1" s="1"/>
  <c r="R42" i="1"/>
  <c r="R76" i="1" s="1"/>
  <c r="S42" i="1"/>
  <c r="S76" i="1" s="1"/>
  <c r="T42" i="1"/>
  <c r="T76" i="1" s="1"/>
  <c r="U42" i="1"/>
  <c r="U76" i="1" s="1"/>
  <c r="V42" i="1"/>
  <c r="V76" i="1" s="1"/>
  <c r="W42" i="1"/>
  <c r="W76" i="1" s="1"/>
  <c r="X42" i="1"/>
  <c r="X76" i="1" s="1"/>
  <c r="Y42" i="1"/>
  <c r="Y76" i="1" s="1"/>
  <c r="Z42" i="1"/>
  <c r="Z76" i="1" s="1"/>
  <c r="AA42" i="1"/>
  <c r="AA76" i="1" s="1"/>
  <c r="AB42" i="1"/>
  <c r="AB76" i="1" s="1"/>
  <c r="AC42" i="1"/>
  <c r="AC76" i="1" s="1"/>
  <c r="AD42" i="1"/>
  <c r="AD76" i="1" s="1"/>
  <c r="AE42" i="1"/>
  <c r="AE76" i="1" s="1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AE128" i="5"/>
  <c r="AD128" i="5"/>
  <c r="AB128" i="5"/>
  <c r="Z128" i="5"/>
  <c r="X128" i="5"/>
  <c r="V128" i="5"/>
  <c r="U128" i="5"/>
  <c r="T128" i="5"/>
  <c r="P128" i="5"/>
  <c r="K128" i="5"/>
  <c r="I128" i="5"/>
  <c r="E128" i="5"/>
  <c r="W128" i="5"/>
  <c r="S128" i="5"/>
  <c r="R128" i="5"/>
  <c r="O128" i="5"/>
  <c r="N128" i="5"/>
  <c r="M128" i="5"/>
  <c r="G128" i="5"/>
  <c r="F128" i="5"/>
  <c r="AC128" i="5"/>
  <c r="AA128" i="5"/>
  <c r="Y128" i="5"/>
  <c r="Q128" i="5"/>
  <c r="L128" i="5"/>
  <c r="J128" i="5"/>
  <c r="H128" i="5"/>
  <c r="D128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AD108" i="5"/>
  <c r="Z108" i="5"/>
  <c r="Y108" i="5"/>
  <c r="U108" i="5"/>
  <c r="N108" i="5"/>
  <c r="K108" i="5"/>
  <c r="H108" i="5"/>
  <c r="AC108" i="5"/>
  <c r="AB108" i="5"/>
  <c r="V108" i="5"/>
  <c r="T108" i="5"/>
  <c r="R108" i="5"/>
  <c r="Q108" i="5"/>
  <c r="L108" i="5"/>
  <c r="I108" i="5"/>
  <c r="X108" i="5"/>
  <c r="P108" i="5"/>
  <c r="G108" i="5"/>
  <c r="D108" i="5"/>
  <c r="AE108" i="5"/>
  <c r="AA108" i="5"/>
  <c r="W108" i="5"/>
  <c r="S108" i="5"/>
  <c r="O108" i="5"/>
  <c r="M108" i="5"/>
  <c r="J108" i="5"/>
  <c r="F108" i="5"/>
  <c r="E108" i="5"/>
  <c r="Z109" i="5"/>
  <c r="V109" i="5"/>
  <c r="R109" i="5"/>
  <c r="N109" i="5"/>
  <c r="L109" i="5"/>
  <c r="H109" i="5"/>
  <c r="E109" i="5"/>
  <c r="AC109" i="5"/>
  <c r="Y109" i="5"/>
  <c r="X109" i="5"/>
  <c r="S109" i="5"/>
  <c r="P109" i="5"/>
  <c r="K109" i="5"/>
  <c r="G109" i="5"/>
  <c r="D109" i="5"/>
  <c r="AE109" i="5"/>
  <c r="AB109" i="5"/>
  <c r="W109" i="5"/>
  <c r="O109" i="5"/>
  <c r="J109" i="5"/>
  <c r="AD109" i="5"/>
  <c r="AA109" i="5"/>
  <c r="U109" i="5"/>
  <c r="T109" i="5"/>
  <c r="Q109" i="5"/>
  <c r="M109" i="5"/>
  <c r="I109" i="5"/>
  <c r="F109" i="5"/>
  <c r="AB127" i="5"/>
  <c r="Z127" i="5"/>
  <c r="X127" i="5"/>
  <c r="U127" i="5"/>
  <c r="T127" i="5"/>
  <c r="F127" i="5"/>
  <c r="AE127" i="5"/>
  <c r="AD127" i="5"/>
  <c r="V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D127" i="5"/>
  <c r="AC127" i="5"/>
  <c r="AA127" i="5"/>
  <c r="Y127" i="5"/>
  <c r="W127" i="5"/>
  <c r="S127" i="5"/>
  <c r="E127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F98" i="4"/>
  <c r="T98" i="4"/>
  <c r="S98" i="4"/>
  <c r="N98" i="4"/>
  <c r="K98" i="4"/>
  <c r="I98" i="4"/>
  <c r="AC98" i="4"/>
  <c r="AD98" i="4"/>
  <c r="X98" i="4"/>
  <c r="L98" i="4"/>
  <c r="G98" i="4"/>
  <c r="AB98" i="4"/>
  <c r="AE98" i="4"/>
  <c r="P98" i="4"/>
  <c r="U98" i="4"/>
  <c r="R98" i="4"/>
  <c r="H98" i="4"/>
  <c r="AA98" i="4"/>
  <c r="V98" i="4"/>
  <c r="O98" i="4"/>
  <c r="J98" i="4"/>
  <c r="Y98" i="4"/>
  <c r="E98" i="4"/>
  <c r="W98" i="4"/>
  <c r="Q98" i="4"/>
  <c r="M98" i="4"/>
  <c r="Z98" i="4"/>
  <c r="D98" i="4"/>
  <c r="AB103" i="4"/>
  <c r="I103" i="4"/>
  <c r="L103" i="4"/>
  <c r="N103" i="4"/>
  <c r="S103" i="4"/>
  <c r="V103" i="4"/>
  <c r="Z103" i="4"/>
  <c r="AC103" i="4"/>
  <c r="D103" i="4"/>
  <c r="F103" i="4"/>
  <c r="Q103" i="4"/>
  <c r="Y103" i="4"/>
  <c r="AA103" i="4"/>
  <c r="E103" i="4"/>
  <c r="J103" i="4"/>
  <c r="P103" i="4"/>
  <c r="T103" i="4"/>
  <c r="U103" i="4"/>
  <c r="W103" i="4"/>
  <c r="AD103" i="4"/>
  <c r="G103" i="4"/>
  <c r="H103" i="4"/>
  <c r="K103" i="4"/>
  <c r="M103" i="4"/>
  <c r="R103" i="4"/>
  <c r="X103" i="4"/>
  <c r="AE103" i="4"/>
  <c r="O103" i="4"/>
  <c r="X107" i="4"/>
  <c r="AA107" i="4"/>
  <c r="U107" i="4"/>
  <c r="S107" i="4"/>
  <c r="Q107" i="4"/>
  <c r="AE107" i="4"/>
  <c r="M107" i="4"/>
  <c r="H107" i="4"/>
  <c r="F107" i="4"/>
  <c r="Y107" i="4"/>
  <c r="V107" i="4"/>
  <c r="J107" i="4"/>
  <c r="O107" i="4"/>
  <c r="I107" i="4"/>
  <c r="W107" i="4"/>
  <c r="T107" i="4"/>
  <c r="AC107" i="4"/>
  <c r="K107" i="4"/>
  <c r="D107" i="4"/>
  <c r="AD107" i="4"/>
  <c r="Z107" i="4"/>
  <c r="AB107" i="4"/>
  <c r="R107" i="4"/>
  <c r="P107" i="4"/>
  <c r="N107" i="4"/>
  <c r="L107" i="4"/>
  <c r="G107" i="4"/>
  <c r="E107" i="4"/>
  <c r="AA127" i="4"/>
  <c r="W127" i="4"/>
  <c r="N127" i="4"/>
  <c r="K127" i="4"/>
  <c r="H127" i="4"/>
  <c r="G127" i="4"/>
  <c r="D127" i="4"/>
  <c r="AE127" i="4"/>
  <c r="AD127" i="4"/>
  <c r="AC127" i="4"/>
  <c r="Y127" i="4"/>
  <c r="X127" i="4"/>
  <c r="U127" i="4"/>
  <c r="R127" i="4"/>
  <c r="P127" i="4"/>
  <c r="O127" i="4"/>
  <c r="L127" i="4"/>
  <c r="J127" i="4"/>
  <c r="I127" i="4"/>
  <c r="E127" i="4"/>
  <c r="AB127" i="4"/>
  <c r="Z127" i="4"/>
  <c r="V127" i="4"/>
  <c r="T127" i="4"/>
  <c r="S127" i="4"/>
  <c r="Q127" i="4"/>
  <c r="M127" i="4"/>
  <c r="F127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D41" i="1"/>
  <c r="D75" i="1" s="1"/>
  <c r="E41" i="1"/>
  <c r="E75" i="1" s="1"/>
  <c r="F41" i="1"/>
  <c r="F75" i="1" s="1"/>
  <c r="G41" i="1"/>
  <c r="G75" i="1" s="1"/>
  <c r="H41" i="1"/>
  <c r="H75" i="1" s="1"/>
  <c r="I41" i="1"/>
  <c r="I75" i="1" s="1"/>
  <c r="J41" i="1"/>
  <c r="J75" i="1" s="1"/>
  <c r="K41" i="1"/>
  <c r="K75" i="1" s="1"/>
  <c r="L41" i="1"/>
  <c r="L75" i="1" s="1"/>
  <c r="M41" i="1"/>
  <c r="M75" i="1" s="1"/>
  <c r="N41" i="1"/>
  <c r="N75" i="1" s="1"/>
  <c r="O41" i="1"/>
  <c r="O75" i="1" s="1"/>
  <c r="P41" i="1"/>
  <c r="P75" i="1" s="1"/>
  <c r="Q41" i="1"/>
  <c r="Q75" i="1" s="1"/>
  <c r="R41" i="1"/>
  <c r="R75" i="1" s="1"/>
  <c r="S41" i="1"/>
  <c r="S75" i="1" s="1"/>
  <c r="T41" i="1"/>
  <c r="T75" i="1" s="1"/>
  <c r="U41" i="1"/>
  <c r="U75" i="1" s="1"/>
  <c r="V41" i="1"/>
  <c r="V75" i="1" s="1"/>
  <c r="W41" i="1"/>
  <c r="W75" i="1" s="1"/>
  <c r="X41" i="1"/>
  <c r="X75" i="1" s="1"/>
  <c r="Y41" i="1"/>
  <c r="Y75" i="1" s="1"/>
  <c r="Z41" i="1"/>
  <c r="Z75" i="1" s="1"/>
  <c r="AA41" i="1"/>
  <c r="AA75" i="1" s="1"/>
  <c r="AB41" i="1"/>
  <c r="AB75" i="1" s="1"/>
  <c r="AC41" i="1"/>
  <c r="AC75" i="1" s="1"/>
  <c r="AD41" i="1"/>
  <c r="AD75" i="1" s="1"/>
  <c r="AE41" i="1"/>
  <c r="AE75" i="1" s="1"/>
  <c r="S100" i="4"/>
  <c r="O100" i="4"/>
  <c r="M100" i="4"/>
  <c r="I100" i="4"/>
  <c r="G100" i="4"/>
  <c r="E100" i="4"/>
  <c r="AB100" i="4"/>
  <c r="L100" i="4"/>
  <c r="Z100" i="4"/>
  <c r="AE100" i="4"/>
  <c r="P100" i="4"/>
  <c r="K100" i="4"/>
  <c r="AD100" i="4"/>
  <c r="Y100" i="4"/>
  <c r="W100" i="4"/>
  <c r="U100" i="4"/>
  <c r="R100" i="4"/>
  <c r="J100" i="4"/>
  <c r="H100" i="4"/>
  <c r="AA100" i="4"/>
  <c r="V100" i="4"/>
  <c r="T100" i="4"/>
  <c r="Q100" i="4"/>
  <c r="N100" i="4"/>
  <c r="F100" i="4"/>
  <c r="D100" i="4"/>
  <c r="AC100" i="4"/>
  <c r="X100" i="4"/>
  <c r="W104" i="4"/>
  <c r="AB104" i="4"/>
  <c r="H104" i="4"/>
  <c r="J104" i="4"/>
  <c r="M104" i="4"/>
  <c r="O104" i="4"/>
  <c r="S104" i="4"/>
  <c r="U104" i="4"/>
  <c r="AD104" i="4"/>
  <c r="F104" i="4"/>
  <c r="Q104" i="4"/>
  <c r="E104" i="4"/>
  <c r="L104" i="4"/>
  <c r="P104" i="4"/>
  <c r="Z104" i="4"/>
  <c r="AC104" i="4"/>
  <c r="G104" i="4"/>
  <c r="I104" i="4"/>
  <c r="K104" i="4"/>
  <c r="N104" i="4"/>
  <c r="R104" i="4"/>
  <c r="T104" i="4"/>
  <c r="V104" i="4"/>
  <c r="X104" i="4"/>
  <c r="AA104" i="4"/>
  <c r="AE104" i="4"/>
  <c r="D104" i="4"/>
  <c r="Y104" i="4"/>
  <c r="M43" i="2"/>
  <c r="C97" i="4"/>
  <c r="W106" i="4"/>
  <c r="AB106" i="4"/>
  <c r="AC106" i="4"/>
  <c r="F106" i="4"/>
  <c r="M106" i="4"/>
  <c r="R106" i="4"/>
  <c r="Y106" i="4"/>
  <c r="D106" i="4"/>
  <c r="J106" i="4"/>
  <c r="P106" i="4"/>
  <c r="U106" i="4"/>
  <c r="I106" i="4"/>
  <c r="H106" i="4"/>
  <c r="O106" i="4"/>
  <c r="Q106" i="4"/>
  <c r="AA106" i="4"/>
  <c r="AE106" i="4"/>
  <c r="K106" i="4"/>
  <c r="E106" i="4"/>
  <c r="G106" i="4"/>
  <c r="L106" i="4"/>
  <c r="N106" i="4"/>
  <c r="T106" i="4"/>
  <c r="V106" i="4"/>
  <c r="X106" i="4"/>
  <c r="Z106" i="4"/>
  <c r="AD106" i="4"/>
  <c r="S106" i="4"/>
  <c r="G108" i="4"/>
  <c r="I108" i="4"/>
  <c r="L108" i="4"/>
  <c r="AA108" i="4"/>
  <c r="X108" i="4"/>
  <c r="R108" i="4"/>
  <c r="E108" i="4"/>
  <c r="K108" i="4"/>
  <c r="Y108" i="4"/>
  <c r="T108" i="4"/>
  <c r="Q108" i="4"/>
  <c r="AE108" i="4"/>
  <c r="U108" i="4"/>
  <c r="F108" i="4"/>
  <c r="H108" i="4"/>
  <c r="J108" i="4"/>
  <c r="M108" i="4"/>
  <c r="O108" i="4"/>
  <c r="AC108" i="4"/>
  <c r="V108" i="4"/>
  <c r="P108" i="4"/>
  <c r="N108" i="4"/>
  <c r="AD108" i="4"/>
  <c r="AB108" i="4"/>
  <c r="Z108" i="4"/>
  <c r="W108" i="4"/>
  <c r="S108" i="4"/>
  <c r="D108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E101" i="4"/>
  <c r="F101" i="4"/>
  <c r="I101" i="4"/>
  <c r="K101" i="4"/>
  <c r="M101" i="4"/>
  <c r="N101" i="4"/>
  <c r="T101" i="4"/>
  <c r="V101" i="4"/>
  <c r="AC101" i="4"/>
  <c r="AD101" i="4"/>
  <c r="H101" i="4"/>
  <c r="O101" i="4"/>
  <c r="P101" i="4"/>
  <c r="AB101" i="4"/>
  <c r="D101" i="4"/>
  <c r="G101" i="4"/>
  <c r="J101" i="4"/>
  <c r="R101" i="4"/>
  <c r="U101" i="4"/>
  <c r="W101" i="4"/>
  <c r="AE101" i="4"/>
  <c r="X101" i="4"/>
  <c r="Y101" i="4"/>
  <c r="L101" i="4"/>
  <c r="Q101" i="4"/>
  <c r="S101" i="4"/>
  <c r="AA101" i="4"/>
  <c r="Z101" i="4"/>
  <c r="AC109" i="4"/>
  <c r="Z109" i="4"/>
  <c r="W109" i="4"/>
  <c r="Q109" i="4"/>
  <c r="N109" i="4"/>
  <c r="F109" i="4"/>
  <c r="AA109" i="4"/>
  <c r="X109" i="4"/>
  <c r="T109" i="4"/>
  <c r="P109" i="4"/>
  <c r="M109" i="4"/>
  <c r="L109" i="4"/>
  <c r="E109" i="4"/>
  <c r="AE109" i="4"/>
  <c r="AB109" i="4"/>
  <c r="U109" i="4"/>
  <c r="O109" i="4"/>
  <c r="K109" i="4"/>
  <c r="J109" i="4"/>
  <c r="H109" i="4"/>
  <c r="AD109" i="4"/>
  <c r="Y109" i="4"/>
  <c r="V109" i="4"/>
  <c r="S109" i="4"/>
  <c r="R109" i="4"/>
  <c r="I109" i="4"/>
  <c r="G109" i="4"/>
  <c r="D109" i="4"/>
  <c r="E102" i="4"/>
  <c r="AE102" i="4"/>
  <c r="G102" i="4"/>
  <c r="J102" i="4"/>
  <c r="W102" i="4"/>
  <c r="Q102" i="4"/>
  <c r="T102" i="4"/>
  <c r="V102" i="4"/>
  <c r="AA102" i="4"/>
  <c r="AD102" i="4"/>
  <c r="H102" i="4"/>
  <c r="M102" i="4"/>
  <c r="Z102" i="4"/>
  <c r="L102" i="4"/>
  <c r="N102" i="4"/>
  <c r="D102" i="4"/>
  <c r="X102" i="4"/>
  <c r="AB102" i="4"/>
  <c r="AC102" i="4"/>
  <c r="F102" i="4"/>
  <c r="I102" i="4"/>
  <c r="O102" i="4"/>
  <c r="R102" i="4"/>
  <c r="U102" i="4"/>
  <c r="Y102" i="4"/>
  <c r="K102" i="4"/>
  <c r="P102" i="4"/>
  <c r="S102" i="4"/>
  <c r="D99" i="4"/>
  <c r="L99" i="4"/>
  <c r="O99" i="4"/>
  <c r="V99" i="4"/>
  <c r="AA99" i="4"/>
  <c r="AC99" i="4"/>
  <c r="Y99" i="4"/>
  <c r="G99" i="4"/>
  <c r="M99" i="4"/>
  <c r="R99" i="4"/>
  <c r="W99" i="4"/>
  <c r="Z99" i="4"/>
  <c r="H99" i="4"/>
  <c r="Q99" i="4"/>
  <c r="S99" i="4"/>
  <c r="T99" i="4"/>
  <c r="E99" i="4"/>
  <c r="J99" i="4"/>
  <c r="U99" i="4"/>
  <c r="AE99" i="4"/>
  <c r="X99" i="4"/>
  <c r="F99" i="4"/>
  <c r="I99" i="4"/>
  <c r="K99" i="4"/>
  <c r="N99" i="4"/>
  <c r="P99" i="4"/>
  <c r="AB99" i="4"/>
  <c r="AD99" i="4"/>
  <c r="AE110" i="4"/>
  <c r="W110" i="4"/>
  <c r="U110" i="4"/>
  <c r="Q110" i="4"/>
  <c r="M110" i="4"/>
  <c r="I110" i="4"/>
  <c r="D110" i="4"/>
  <c r="AC110" i="4"/>
  <c r="Y110" i="4"/>
  <c r="P110" i="4"/>
  <c r="O110" i="4"/>
  <c r="L110" i="4"/>
  <c r="J110" i="4"/>
  <c r="H110" i="4"/>
  <c r="E110" i="4"/>
  <c r="AB110" i="4"/>
  <c r="AA110" i="4"/>
  <c r="Z110" i="4"/>
  <c r="V110" i="4"/>
  <c r="S110" i="4"/>
  <c r="R110" i="4"/>
  <c r="N110" i="4"/>
  <c r="G110" i="4"/>
  <c r="AD110" i="4"/>
  <c r="X110" i="4"/>
  <c r="T110" i="4"/>
  <c r="K110" i="4"/>
  <c r="F110" i="4"/>
  <c r="AE112" i="4"/>
  <c r="AB112" i="4"/>
  <c r="V112" i="4"/>
  <c r="I112" i="4"/>
  <c r="D112" i="4"/>
  <c r="AC112" i="4"/>
  <c r="Z112" i="4"/>
  <c r="H112" i="4"/>
  <c r="E112" i="4"/>
  <c r="AD112" i="4"/>
  <c r="Y112" i="4"/>
  <c r="T112" i="4"/>
  <c r="S112" i="4"/>
  <c r="R112" i="4"/>
  <c r="Q112" i="4"/>
  <c r="P112" i="4"/>
  <c r="O112" i="4"/>
  <c r="N112" i="4"/>
  <c r="M112" i="4"/>
  <c r="L112" i="4"/>
  <c r="K112" i="4"/>
  <c r="J112" i="4"/>
  <c r="G112" i="4"/>
  <c r="AA112" i="4"/>
  <c r="X112" i="4"/>
  <c r="W112" i="4"/>
  <c r="U112" i="4"/>
  <c r="F112" i="4"/>
  <c r="AE125" i="4"/>
  <c r="AB125" i="4"/>
  <c r="Y125" i="4"/>
  <c r="W125" i="4"/>
  <c r="L125" i="4"/>
  <c r="F125" i="4"/>
  <c r="T125" i="4"/>
  <c r="G125" i="4"/>
  <c r="M125" i="4"/>
  <c r="H125" i="4"/>
  <c r="AD125" i="4"/>
  <c r="AA125" i="4"/>
  <c r="X125" i="4"/>
  <c r="U125" i="4"/>
  <c r="S125" i="4"/>
  <c r="P125" i="4"/>
  <c r="K125" i="4"/>
  <c r="N125" i="4"/>
  <c r="AC125" i="4"/>
  <c r="Z125" i="4"/>
  <c r="R125" i="4"/>
  <c r="J125" i="4"/>
  <c r="D125" i="4"/>
  <c r="V125" i="4"/>
  <c r="Q125" i="4"/>
  <c r="O125" i="4"/>
  <c r="I125" i="4"/>
  <c r="E125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Z105" i="4"/>
  <c r="AB105" i="4"/>
  <c r="AE105" i="4"/>
  <c r="F105" i="4"/>
  <c r="H105" i="4"/>
  <c r="L105" i="4"/>
  <c r="N105" i="4"/>
  <c r="P105" i="4"/>
  <c r="W105" i="4"/>
  <c r="D105" i="4"/>
  <c r="E105" i="4"/>
  <c r="I105" i="4"/>
  <c r="M105" i="4"/>
  <c r="R105" i="4"/>
  <c r="AA105" i="4"/>
  <c r="AC105" i="4"/>
  <c r="G105" i="4"/>
  <c r="V105" i="4"/>
  <c r="K105" i="4"/>
  <c r="Q105" i="4"/>
  <c r="T105" i="4"/>
  <c r="X105" i="4"/>
  <c r="U105" i="4"/>
  <c r="AD105" i="4"/>
  <c r="J105" i="4"/>
  <c r="O105" i="4"/>
  <c r="S105" i="4"/>
  <c r="Y105" i="4"/>
  <c r="AE128" i="4"/>
  <c r="V128" i="4"/>
  <c r="U128" i="4"/>
  <c r="T128" i="4"/>
  <c r="S128" i="4"/>
  <c r="R128" i="4"/>
  <c r="Q128" i="4"/>
  <c r="O128" i="4"/>
  <c r="I128" i="4"/>
  <c r="D128" i="4"/>
  <c r="AD128" i="4"/>
  <c r="AC128" i="4"/>
  <c r="Y128" i="4"/>
  <c r="X128" i="4"/>
  <c r="W128" i="4"/>
  <c r="N128" i="4"/>
  <c r="M128" i="4"/>
  <c r="J128" i="4"/>
  <c r="F128" i="4"/>
  <c r="AB128" i="4"/>
  <c r="AA128" i="4"/>
  <c r="Z128" i="4"/>
  <c r="P128" i="4"/>
  <c r="L128" i="4"/>
  <c r="K128" i="4"/>
  <c r="H128" i="4"/>
  <c r="G128" i="4"/>
  <c r="E128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AD111" i="4"/>
  <c r="AA111" i="4"/>
  <c r="Z111" i="4"/>
  <c r="T111" i="4"/>
  <c r="O111" i="4"/>
  <c r="L111" i="4"/>
  <c r="I111" i="4"/>
  <c r="E111" i="4"/>
  <c r="AE111" i="4"/>
  <c r="Y111" i="4"/>
  <c r="S111" i="4"/>
  <c r="K111" i="4"/>
  <c r="AC111" i="4"/>
  <c r="X111" i="4"/>
  <c r="W111" i="4"/>
  <c r="V111" i="4"/>
  <c r="R111" i="4"/>
  <c r="Q111" i="4"/>
  <c r="P111" i="4"/>
  <c r="M111" i="4"/>
  <c r="H111" i="4"/>
  <c r="F111" i="4"/>
  <c r="AB111" i="4"/>
  <c r="U111" i="4"/>
  <c r="N111" i="4"/>
  <c r="J111" i="4"/>
  <c r="G111" i="4"/>
  <c r="D111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AE124" i="4"/>
  <c r="AB124" i="4"/>
  <c r="Z124" i="4"/>
  <c r="N124" i="4"/>
  <c r="M124" i="4"/>
  <c r="I124" i="4"/>
  <c r="D124" i="4"/>
  <c r="AC124" i="4"/>
  <c r="W124" i="4"/>
  <c r="Q124" i="4"/>
  <c r="O124" i="4"/>
  <c r="AD124" i="4"/>
  <c r="Y124" i="4"/>
  <c r="V124" i="4"/>
  <c r="P124" i="4"/>
  <c r="L124" i="4"/>
  <c r="H124" i="4"/>
  <c r="E124" i="4"/>
  <c r="X124" i="4"/>
  <c r="U124" i="4"/>
  <c r="R124" i="4"/>
  <c r="K124" i="4"/>
  <c r="AA124" i="4"/>
  <c r="S124" i="4"/>
  <c r="J124" i="4"/>
  <c r="F124" i="4"/>
  <c r="T124" i="4"/>
  <c r="G124" i="4"/>
  <c r="AB126" i="4"/>
  <c r="Z126" i="4"/>
  <c r="U126" i="4"/>
  <c r="P126" i="4"/>
  <c r="O126" i="4"/>
  <c r="J126" i="4"/>
  <c r="H126" i="4"/>
  <c r="E126" i="4"/>
  <c r="AE126" i="4"/>
  <c r="AD126" i="4"/>
  <c r="Y126" i="4"/>
  <c r="X126" i="4"/>
  <c r="W126" i="4"/>
  <c r="T126" i="4"/>
  <c r="S126" i="4"/>
  <c r="R126" i="4"/>
  <c r="Q126" i="4"/>
  <c r="M126" i="4"/>
  <c r="L126" i="4"/>
  <c r="K126" i="4"/>
  <c r="G126" i="4"/>
  <c r="AC126" i="4"/>
  <c r="AA126" i="4"/>
  <c r="V126" i="4"/>
  <c r="N126" i="4"/>
  <c r="I126" i="4"/>
  <c r="F126" i="4"/>
  <c r="D126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Z68" i="5"/>
  <c r="X68" i="5"/>
  <c r="T68" i="5"/>
  <c r="Q68" i="5"/>
  <c r="O68" i="5"/>
  <c r="J68" i="5"/>
  <c r="AA68" i="5"/>
  <c r="U68" i="5"/>
  <c r="R68" i="5"/>
  <c r="N68" i="5"/>
  <c r="K68" i="5"/>
  <c r="AC68" i="5"/>
  <c r="Y68" i="5"/>
  <c r="V68" i="5"/>
  <c r="S68" i="5"/>
  <c r="I68" i="5"/>
  <c r="H68" i="5"/>
  <c r="G68" i="5"/>
  <c r="F68" i="5"/>
  <c r="D68" i="5"/>
  <c r="AE68" i="5"/>
  <c r="AD68" i="5"/>
  <c r="AB68" i="5"/>
  <c r="W68" i="5"/>
  <c r="P68" i="5"/>
  <c r="M68" i="5"/>
  <c r="L68" i="5"/>
  <c r="E68" i="5"/>
  <c r="AE84" i="5"/>
  <c r="U84" i="5"/>
  <c r="R84" i="5"/>
  <c r="J84" i="5"/>
  <c r="H84" i="5"/>
  <c r="E84" i="5"/>
  <c r="N84" i="5"/>
  <c r="P84" i="5"/>
  <c r="M84" i="5"/>
  <c r="AD84" i="5"/>
  <c r="AB84" i="5"/>
  <c r="Y84" i="5"/>
  <c r="W84" i="5"/>
  <c r="Q84" i="5"/>
  <c r="L84" i="5"/>
  <c r="F84" i="5"/>
  <c r="O84" i="5"/>
  <c r="AC84" i="5"/>
  <c r="AA84" i="5"/>
  <c r="X84" i="5"/>
  <c r="S84" i="5"/>
  <c r="K84" i="5"/>
  <c r="I84" i="5"/>
  <c r="D84" i="5"/>
  <c r="Z84" i="5"/>
  <c r="V84" i="5"/>
  <c r="T84" i="5"/>
  <c r="G84" i="5"/>
  <c r="AC85" i="5"/>
  <c r="Z85" i="5"/>
  <c r="X85" i="5"/>
  <c r="T85" i="5"/>
  <c r="E85" i="5"/>
  <c r="O85" i="5"/>
  <c r="AE85" i="5"/>
  <c r="N85" i="5"/>
  <c r="G85" i="5"/>
  <c r="W85" i="5"/>
  <c r="U85" i="5"/>
  <c r="S85" i="5"/>
  <c r="J85" i="5"/>
  <c r="I85" i="5"/>
  <c r="F85" i="5"/>
  <c r="Q85" i="5"/>
  <c r="P85" i="5"/>
  <c r="M85" i="5"/>
  <c r="Y85" i="5"/>
  <c r="AD85" i="5"/>
  <c r="AB85" i="5"/>
  <c r="AA85" i="5"/>
  <c r="V85" i="5"/>
  <c r="R85" i="5"/>
  <c r="L85" i="5"/>
  <c r="K85" i="5"/>
  <c r="H85" i="5"/>
  <c r="D85" i="5"/>
  <c r="AC86" i="5"/>
  <c r="AA86" i="5"/>
  <c r="Y86" i="5"/>
  <c r="V86" i="5"/>
  <c r="T86" i="5"/>
  <c r="Q86" i="5"/>
  <c r="O86" i="5"/>
  <c r="M86" i="5"/>
  <c r="AB86" i="5"/>
  <c r="AE86" i="5"/>
  <c r="W86" i="5"/>
  <c r="R86" i="5"/>
  <c r="P86" i="5"/>
  <c r="N86" i="5"/>
  <c r="K86" i="5"/>
  <c r="F86" i="5"/>
  <c r="J86" i="5"/>
  <c r="I86" i="5"/>
  <c r="H86" i="5"/>
  <c r="D86" i="5"/>
  <c r="AD86" i="5"/>
  <c r="U86" i="5"/>
  <c r="L86" i="5"/>
  <c r="G86" i="5"/>
  <c r="E86" i="5"/>
  <c r="Z86" i="5"/>
  <c r="X86" i="5"/>
  <c r="S86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AE88" i="5"/>
  <c r="AD88" i="5"/>
  <c r="X88" i="5"/>
  <c r="W88" i="5"/>
  <c r="V88" i="5"/>
  <c r="U88" i="5"/>
  <c r="T88" i="5"/>
  <c r="S88" i="5"/>
  <c r="R88" i="5"/>
  <c r="O88" i="5"/>
  <c r="L88" i="5"/>
  <c r="K88" i="5"/>
  <c r="F88" i="5"/>
  <c r="AB88" i="5"/>
  <c r="AA88" i="5"/>
  <c r="Z88" i="5"/>
  <c r="Y88" i="5"/>
  <c r="P88" i="5"/>
  <c r="M88" i="5"/>
  <c r="J88" i="5"/>
  <c r="I88" i="5"/>
  <c r="E88" i="5"/>
  <c r="AC88" i="5"/>
  <c r="Q88" i="5"/>
  <c r="N88" i="5"/>
  <c r="H88" i="5"/>
  <c r="G88" i="5"/>
  <c r="D88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A71" i="5"/>
  <c r="W71" i="5"/>
  <c r="R71" i="5"/>
  <c r="L71" i="5"/>
  <c r="H71" i="5"/>
  <c r="D71" i="5"/>
  <c r="AE71" i="5"/>
  <c r="Z71" i="5"/>
  <c r="S71" i="5"/>
  <c r="P71" i="5"/>
  <c r="O71" i="5"/>
  <c r="J71" i="5"/>
  <c r="F71" i="5"/>
  <c r="AD71" i="5"/>
  <c r="Y71" i="5"/>
  <c r="X71" i="5"/>
  <c r="U71" i="5"/>
  <c r="Q71" i="5"/>
  <c r="N71" i="5"/>
  <c r="M71" i="5"/>
  <c r="G71" i="5"/>
  <c r="AC71" i="5"/>
  <c r="AB71" i="5"/>
  <c r="V71" i="5"/>
  <c r="T71" i="5"/>
  <c r="K71" i="5"/>
  <c r="I71" i="5"/>
  <c r="E71" i="5"/>
  <c r="Z72" i="5"/>
  <c r="T72" i="5"/>
  <c r="P72" i="5"/>
  <c r="O72" i="5"/>
  <c r="J72" i="5"/>
  <c r="F72" i="5"/>
  <c r="AE72" i="5"/>
  <c r="AB72" i="5"/>
  <c r="Y72" i="5"/>
  <c r="X72" i="5"/>
  <c r="W72" i="5"/>
  <c r="R72" i="5"/>
  <c r="N72" i="5"/>
  <c r="I72" i="5"/>
  <c r="H72" i="5"/>
  <c r="D72" i="5"/>
  <c r="AD72" i="5"/>
  <c r="AC72" i="5"/>
  <c r="V72" i="5"/>
  <c r="S72" i="5"/>
  <c r="M72" i="5"/>
  <c r="K72" i="5"/>
  <c r="G72" i="5"/>
  <c r="AA72" i="5"/>
  <c r="U72" i="5"/>
  <c r="Q72" i="5"/>
  <c r="L72" i="5"/>
  <c r="E72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AE69" i="5"/>
  <c r="Z69" i="5"/>
  <c r="W69" i="5"/>
  <c r="V69" i="5"/>
  <c r="N69" i="5"/>
  <c r="K69" i="5"/>
  <c r="H69" i="5"/>
  <c r="G69" i="5"/>
  <c r="D69" i="5"/>
  <c r="AB69" i="5"/>
  <c r="Y69" i="5"/>
  <c r="U69" i="5"/>
  <c r="R69" i="5"/>
  <c r="M69" i="5"/>
  <c r="E69" i="5"/>
  <c r="AD69" i="5"/>
  <c r="AC69" i="5"/>
  <c r="X69" i="5"/>
  <c r="S69" i="5"/>
  <c r="Q69" i="5"/>
  <c r="P69" i="5"/>
  <c r="L69" i="5"/>
  <c r="I69" i="5"/>
  <c r="F69" i="5"/>
  <c r="AA69" i="5"/>
  <c r="T69" i="5"/>
  <c r="O69" i="5"/>
  <c r="J69" i="5"/>
  <c r="D39" i="1"/>
  <c r="D73" i="1" s="1"/>
  <c r="E39" i="1"/>
  <c r="E73" i="1" s="1"/>
  <c r="F39" i="1"/>
  <c r="F73" i="1" s="1"/>
  <c r="G39" i="1"/>
  <c r="G73" i="1" s="1"/>
  <c r="H39" i="1"/>
  <c r="H73" i="1" s="1"/>
  <c r="I39" i="1"/>
  <c r="I73" i="1" s="1"/>
  <c r="J39" i="1"/>
  <c r="J73" i="1" s="1"/>
  <c r="K39" i="1"/>
  <c r="K73" i="1" s="1"/>
  <c r="L39" i="1"/>
  <c r="L73" i="1" s="1"/>
  <c r="M39" i="1"/>
  <c r="M73" i="1" s="1"/>
  <c r="N39" i="1"/>
  <c r="N73" i="1" s="1"/>
  <c r="O39" i="1"/>
  <c r="O73" i="1" s="1"/>
  <c r="P39" i="1"/>
  <c r="P73" i="1" s="1"/>
  <c r="Q39" i="1"/>
  <c r="Q73" i="1" s="1"/>
  <c r="R39" i="1"/>
  <c r="R73" i="1" s="1"/>
  <c r="S39" i="1"/>
  <c r="S73" i="1" s="1"/>
  <c r="T39" i="1"/>
  <c r="T73" i="1" s="1"/>
  <c r="U39" i="1"/>
  <c r="U73" i="1" s="1"/>
  <c r="V39" i="1"/>
  <c r="V73" i="1" s="1"/>
  <c r="W39" i="1"/>
  <c r="W73" i="1" s="1"/>
  <c r="X39" i="1"/>
  <c r="X73" i="1" s="1"/>
  <c r="Y39" i="1"/>
  <c r="Y73" i="1" s="1"/>
  <c r="Z39" i="1"/>
  <c r="Z73" i="1" s="1"/>
  <c r="AA39" i="1"/>
  <c r="AA73" i="1" s="1"/>
  <c r="AB39" i="1"/>
  <c r="AB73" i="1" s="1"/>
  <c r="AC39" i="1"/>
  <c r="AC73" i="1" s="1"/>
  <c r="AE39" i="1"/>
  <c r="AE73" i="1" s="1"/>
  <c r="AD39" i="1"/>
  <c r="AD73" i="1" s="1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AD70" i="5"/>
  <c r="AA70" i="5"/>
  <c r="X70" i="5"/>
  <c r="U70" i="5"/>
  <c r="J70" i="5"/>
  <c r="AC70" i="5"/>
  <c r="Z70" i="5"/>
  <c r="W70" i="5"/>
  <c r="T70" i="5"/>
  <c r="S70" i="5"/>
  <c r="P70" i="5"/>
  <c r="M70" i="5"/>
  <c r="I70" i="5"/>
  <c r="G70" i="5"/>
  <c r="D70" i="5"/>
  <c r="AE70" i="5"/>
  <c r="Y70" i="5"/>
  <c r="R70" i="5"/>
  <c r="Q70" i="5"/>
  <c r="O70" i="5"/>
  <c r="L70" i="5"/>
  <c r="K70" i="5"/>
  <c r="F70" i="5"/>
  <c r="AB70" i="5"/>
  <c r="V70" i="5"/>
  <c r="N70" i="5"/>
  <c r="H70" i="5"/>
  <c r="E70" i="5"/>
  <c r="AE87" i="5"/>
  <c r="AC87" i="5"/>
  <c r="X87" i="5"/>
  <c r="V87" i="5"/>
  <c r="T87" i="5"/>
  <c r="S87" i="5"/>
  <c r="M87" i="5"/>
  <c r="F87" i="5"/>
  <c r="D87" i="5"/>
  <c r="AB87" i="5"/>
  <c r="AA87" i="5"/>
  <c r="Z87" i="5"/>
  <c r="U87" i="5"/>
  <c r="Q87" i="5"/>
  <c r="P87" i="5"/>
  <c r="O87" i="5"/>
  <c r="J87" i="5"/>
  <c r="I87" i="5"/>
  <c r="G87" i="5"/>
  <c r="AD87" i="5"/>
  <c r="Y87" i="5"/>
  <c r="W87" i="5"/>
  <c r="R87" i="5"/>
  <c r="N87" i="5"/>
  <c r="L87" i="5"/>
  <c r="K87" i="5"/>
  <c r="H87" i="5"/>
  <c r="E87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AA72" i="4"/>
  <c r="W72" i="4"/>
  <c r="O72" i="4"/>
  <c r="N72" i="4"/>
  <c r="I72" i="4"/>
  <c r="H72" i="4"/>
  <c r="F72" i="4"/>
  <c r="Y72" i="4"/>
  <c r="T72" i="4"/>
  <c r="S72" i="4"/>
  <c r="J72" i="4"/>
  <c r="AD72" i="4"/>
  <c r="AC72" i="4"/>
  <c r="AB72" i="4"/>
  <c r="V72" i="4"/>
  <c r="R72" i="4"/>
  <c r="Q72" i="4"/>
  <c r="L72" i="4"/>
  <c r="K72" i="4"/>
  <c r="E72" i="4"/>
  <c r="AE72" i="4"/>
  <c r="Z72" i="4"/>
  <c r="X72" i="4"/>
  <c r="U72" i="4"/>
  <c r="P72" i="4"/>
  <c r="M72" i="4"/>
  <c r="G72" i="4"/>
  <c r="D72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U64" i="4"/>
  <c r="N64" i="4"/>
  <c r="J64" i="4"/>
  <c r="E64" i="4"/>
  <c r="AD64" i="4"/>
  <c r="P64" i="4"/>
  <c r="G64" i="4"/>
  <c r="AA64" i="4"/>
  <c r="Z64" i="4"/>
  <c r="T64" i="4"/>
  <c r="R64" i="4"/>
  <c r="Y64" i="4"/>
  <c r="AB64" i="4"/>
  <c r="AE64" i="4"/>
  <c r="F64" i="4"/>
  <c r="H64" i="4"/>
  <c r="K64" i="4"/>
  <c r="M64" i="4"/>
  <c r="O64" i="4"/>
  <c r="Q64" i="4"/>
  <c r="S64" i="4"/>
  <c r="V64" i="4"/>
  <c r="X64" i="4"/>
  <c r="AC64" i="4"/>
  <c r="W64" i="4"/>
  <c r="L64" i="4"/>
  <c r="I64" i="4"/>
  <c r="D64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N66" i="4"/>
  <c r="K66" i="4"/>
  <c r="F66" i="4"/>
  <c r="J66" i="4"/>
  <c r="Q66" i="4"/>
  <c r="S66" i="4"/>
  <c r="W66" i="4"/>
  <c r="AB66" i="4"/>
  <c r="AD66" i="4"/>
  <c r="D66" i="4"/>
  <c r="M66" i="4"/>
  <c r="P66" i="4"/>
  <c r="V66" i="4"/>
  <c r="Y66" i="4"/>
  <c r="U66" i="4"/>
  <c r="G66" i="4"/>
  <c r="O66" i="4"/>
  <c r="Z66" i="4"/>
  <c r="AA66" i="4"/>
  <c r="AE66" i="4"/>
  <c r="I66" i="4"/>
  <c r="L66" i="4"/>
  <c r="H66" i="4"/>
  <c r="E66" i="4"/>
  <c r="R66" i="4"/>
  <c r="T66" i="4"/>
  <c r="X66" i="4"/>
  <c r="AC66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I43" i="2"/>
  <c r="C57" i="4"/>
  <c r="E67" i="4"/>
  <c r="K67" i="4"/>
  <c r="Q67" i="4"/>
  <c r="V67" i="4"/>
  <c r="X67" i="4"/>
  <c r="Z67" i="4"/>
  <c r="AD67" i="4"/>
  <c r="M67" i="4"/>
  <c r="O67" i="4"/>
  <c r="AC67" i="4"/>
  <c r="H67" i="4"/>
  <c r="L67" i="4"/>
  <c r="AE67" i="4"/>
  <c r="I67" i="4"/>
  <c r="U67" i="4"/>
  <c r="AA67" i="4"/>
  <c r="F67" i="4"/>
  <c r="D67" i="4"/>
  <c r="J67" i="4"/>
  <c r="S67" i="4"/>
  <c r="G67" i="4"/>
  <c r="N67" i="4"/>
  <c r="P67" i="4"/>
  <c r="R67" i="4"/>
  <c r="T67" i="4"/>
  <c r="W67" i="4"/>
  <c r="Y67" i="4"/>
  <c r="AB67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D38" i="1"/>
  <c r="D72" i="1" s="1"/>
  <c r="E38" i="1"/>
  <c r="E72" i="1" s="1"/>
  <c r="F38" i="1"/>
  <c r="F72" i="1" s="1"/>
  <c r="G38" i="1"/>
  <c r="G72" i="1" s="1"/>
  <c r="H38" i="1"/>
  <c r="H72" i="1" s="1"/>
  <c r="I38" i="1"/>
  <c r="I72" i="1" s="1"/>
  <c r="J38" i="1"/>
  <c r="J72" i="1" s="1"/>
  <c r="K38" i="1"/>
  <c r="K72" i="1" s="1"/>
  <c r="L38" i="1"/>
  <c r="L72" i="1" s="1"/>
  <c r="M38" i="1"/>
  <c r="M72" i="1" s="1"/>
  <c r="N38" i="1"/>
  <c r="N72" i="1" s="1"/>
  <c r="O38" i="1"/>
  <c r="O72" i="1" s="1"/>
  <c r="P38" i="1"/>
  <c r="P72" i="1" s="1"/>
  <c r="Q38" i="1"/>
  <c r="Q72" i="1" s="1"/>
  <c r="R38" i="1"/>
  <c r="R72" i="1" s="1"/>
  <c r="S38" i="1"/>
  <c r="S72" i="1" s="1"/>
  <c r="T38" i="1"/>
  <c r="T72" i="1" s="1"/>
  <c r="U38" i="1"/>
  <c r="U72" i="1" s="1"/>
  <c r="V38" i="1"/>
  <c r="V72" i="1" s="1"/>
  <c r="W38" i="1"/>
  <c r="W72" i="1" s="1"/>
  <c r="X38" i="1"/>
  <c r="X72" i="1" s="1"/>
  <c r="Y38" i="1"/>
  <c r="Y72" i="1" s="1"/>
  <c r="Z38" i="1"/>
  <c r="Z72" i="1" s="1"/>
  <c r="AA38" i="1"/>
  <c r="AA72" i="1" s="1"/>
  <c r="AB38" i="1"/>
  <c r="AB72" i="1" s="1"/>
  <c r="AC38" i="1"/>
  <c r="AC72" i="1" s="1"/>
  <c r="AD38" i="1"/>
  <c r="AD72" i="1" s="1"/>
  <c r="AE38" i="1"/>
  <c r="AE72" i="1" s="1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AD62" i="4"/>
  <c r="W62" i="4"/>
  <c r="V62" i="4"/>
  <c r="S62" i="4"/>
  <c r="R62" i="4"/>
  <c r="AE62" i="4"/>
  <c r="AC62" i="4"/>
  <c r="AB62" i="4"/>
  <c r="AA62" i="4"/>
  <c r="Z62" i="4"/>
  <c r="Y62" i="4"/>
  <c r="X62" i="4"/>
  <c r="U62" i="4"/>
  <c r="T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AB69" i="4"/>
  <c r="U69" i="4"/>
  <c r="I69" i="4"/>
  <c r="AC69" i="4"/>
  <c r="Z69" i="4"/>
  <c r="V69" i="4"/>
  <c r="O69" i="4"/>
  <c r="N69" i="4"/>
  <c r="M69" i="4"/>
  <c r="L69" i="4"/>
  <c r="G69" i="4"/>
  <c r="D69" i="4"/>
  <c r="AE69" i="4"/>
  <c r="AD69" i="4"/>
  <c r="Y69" i="4"/>
  <c r="X69" i="4"/>
  <c r="T69" i="4"/>
  <c r="Q69" i="4"/>
  <c r="P69" i="4"/>
  <c r="K69" i="4"/>
  <c r="J69" i="4"/>
  <c r="F69" i="4"/>
  <c r="AA69" i="4"/>
  <c r="W69" i="4"/>
  <c r="S69" i="4"/>
  <c r="R69" i="4"/>
  <c r="H69" i="4"/>
  <c r="E69" i="4"/>
  <c r="V68" i="4"/>
  <c r="O68" i="4"/>
  <c r="K68" i="4"/>
  <c r="G68" i="4"/>
  <c r="D68" i="4"/>
  <c r="X68" i="4"/>
  <c r="Z68" i="4"/>
  <c r="AB68" i="4"/>
  <c r="AD68" i="4"/>
  <c r="S68" i="4"/>
  <c r="R68" i="4"/>
  <c r="I68" i="4"/>
  <c r="M68" i="4"/>
  <c r="Q68" i="4"/>
  <c r="N68" i="4"/>
  <c r="H68" i="4"/>
  <c r="F68" i="4"/>
  <c r="W68" i="4"/>
  <c r="AE68" i="4"/>
  <c r="T68" i="4"/>
  <c r="P68" i="4"/>
  <c r="L68" i="4"/>
  <c r="J68" i="4"/>
  <c r="E68" i="4"/>
  <c r="U68" i="4"/>
  <c r="Y68" i="4"/>
  <c r="AA68" i="4"/>
  <c r="AC68" i="4"/>
  <c r="AD70" i="4"/>
  <c r="AB70" i="4"/>
  <c r="Y70" i="4"/>
  <c r="R70" i="4"/>
  <c r="M70" i="4"/>
  <c r="I70" i="4"/>
  <c r="F70" i="4"/>
  <c r="U70" i="4"/>
  <c r="T70" i="4"/>
  <c r="Q70" i="4"/>
  <c r="L70" i="4"/>
  <c r="H70" i="4"/>
  <c r="D70" i="4"/>
  <c r="AE70" i="4"/>
  <c r="AA70" i="4"/>
  <c r="Z70" i="4"/>
  <c r="W70" i="4"/>
  <c r="V70" i="4"/>
  <c r="P70" i="4"/>
  <c r="O70" i="4"/>
  <c r="J70" i="4"/>
  <c r="G70" i="4"/>
  <c r="AC70" i="4"/>
  <c r="X70" i="4"/>
  <c r="S70" i="4"/>
  <c r="N70" i="4"/>
  <c r="K70" i="4"/>
  <c r="E70" i="4"/>
  <c r="AE71" i="4"/>
  <c r="AB71" i="4"/>
  <c r="AA71" i="4"/>
  <c r="V71" i="4"/>
  <c r="O71" i="4"/>
  <c r="I71" i="4"/>
  <c r="E71" i="4"/>
  <c r="AC71" i="4"/>
  <c r="X71" i="4"/>
  <c r="W71" i="4"/>
  <c r="U71" i="4"/>
  <c r="Q71" i="4"/>
  <c r="J71" i="4"/>
  <c r="F71" i="4"/>
  <c r="AD71" i="4"/>
  <c r="Z71" i="4"/>
  <c r="S71" i="4"/>
  <c r="N71" i="4"/>
  <c r="L71" i="4"/>
  <c r="K71" i="4"/>
  <c r="H71" i="4"/>
  <c r="Y71" i="4"/>
  <c r="T71" i="4"/>
  <c r="R71" i="4"/>
  <c r="P71" i="4"/>
  <c r="M71" i="4"/>
  <c r="G71" i="4"/>
  <c r="D71" i="4"/>
  <c r="AC88" i="4"/>
  <c r="X88" i="4"/>
  <c r="R88" i="4"/>
  <c r="O88" i="4"/>
  <c r="N88" i="4"/>
  <c r="F88" i="4"/>
  <c r="AE88" i="4"/>
  <c r="AB88" i="4"/>
  <c r="AA88" i="4"/>
  <c r="Z88" i="4"/>
  <c r="V88" i="4"/>
  <c r="U88" i="4"/>
  <c r="T88" i="4"/>
  <c r="Q88" i="4"/>
  <c r="L88" i="4"/>
  <c r="K88" i="4"/>
  <c r="I88" i="4"/>
  <c r="H88" i="4"/>
  <c r="G88" i="4"/>
  <c r="D88" i="4"/>
  <c r="AD88" i="4"/>
  <c r="Y88" i="4"/>
  <c r="W88" i="4"/>
  <c r="S88" i="4"/>
  <c r="P88" i="4"/>
  <c r="M88" i="4"/>
  <c r="J88" i="4"/>
  <c r="E88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H63" i="4"/>
  <c r="AC63" i="4"/>
  <c r="AB63" i="4"/>
  <c r="AA63" i="4"/>
  <c r="Z63" i="4"/>
  <c r="Y63" i="4"/>
  <c r="X63" i="4"/>
  <c r="V63" i="4"/>
  <c r="T63" i="4"/>
  <c r="Q63" i="4"/>
  <c r="O63" i="4"/>
  <c r="AD63" i="4"/>
  <c r="W63" i="4"/>
  <c r="U63" i="4"/>
  <c r="S63" i="4"/>
  <c r="R63" i="4"/>
  <c r="P63" i="4"/>
  <c r="N63" i="4"/>
  <c r="L63" i="4"/>
  <c r="I63" i="4"/>
  <c r="G63" i="4"/>
  <c r="E63" i="4"/>
  <c r="M63" i="4"/>
  <c r="K63" i="4"/>
  <c r="D63" i="4"/>
  <c r="F63" i="4"/>
  <c r="AE63" i="4"/>
  <c r="J63" i="4"/>
  <c r="AB84" i="4"/>
  <c r="H84" i="4"/>
  <c r="N84" i="4"/>
  <c r="F84" i="4"/>
  <c r="W84" i="4"/>
  <c r="O84" i="4"/>
  <c r="G84" i="4"/>
  <c r="AE84" i="4"/>
  <c r="Z84" i="4"/>
  <c r="U84" i="4"/>
  <c r="S84" i="4"/>
  <c r="P84" i="4"/>
  <c r="M84" i="4"/>
  <c r="J84" i="4"/>
  <c r="E84" i="4"/>
  <c r="AD84" i="4"/>
  <c r="Y84" i="4"/>
  <c r="T84" i="4"/>
  <c r="Q84" i="4"/>
  <c r="I84" i="4"/>
  <c r="AC84" i="4"/>
  <c r="AA84" i="4"/>
  <c r="X84" i="4"/>
  <c r="V84" i="4"/>
  <c r="R84" i="4"/>
  <c r="L84" i="4"/>
  <c r="K84" i="4"/>
  <c r="D84" i="4"/>
  <c r="AE85" i="4"/>
  <c r="AA85" i="4"/>
  <c r="X85" i="4"/>
  <c r="U85" i="4"/>
  <c r="P85" i="4"/>
  <c r="L85" i="4"/>
  <c r="F85" i="4"/>
  <c r="AB85" i="4"/>
  <c r="Y85" i="4"/>
  <c r="V85" i="4"/>
  <c r="S85" i="4"/>
  <c r="O85" i="4"/>
  <c r="I85" i="4"/>
  <c r="D85" i="4"/>
  <c r="AD85" i="4"/>
  <c r="AC85" i="4"/>
  <c r="Z85" i="4"/>
  <c r="W85" i="4"/>
  <c r="T85" i="4"/>
  <c r="Q85" i="4"/>
  <c r="N85" i="4"/>
  <c r="J85" i="4"/>
  <c r="G85" i="4"/>
  <c r="R85" i="4"/>
  <c r="M85" i="4"/>
  <c r="K85" i="4"/>
  <c r="H85" i="4"/>
  <c r="E85" i="4"/>
  <c r="Z87" i="4"/>
  <c r="Y87" i="4"/>
  <c r="T87" i="4"/>
  <c r="R87" i="4"/>
  <c r="F87" i="4"/>
  <c r="AE87" i="4"/>
  <c r="AC87" i="4"/>
  <c r="AB87" i="4"/>
  <c r="AA87" i="4"/>
  <c r="W87" i="4"/>
  <c r="V87" i="4"/>
  <c r="U87" i="4"/>
  <c r="S87" i="4"/>
  <c r="P87" i="4"/>
  <c r="O87" i="4"/>
  <c r="M87" i="4"/>
  <c r="J87" i="4"/>
  <c r="E87" i="4"/>
  <c r="AD87" i="4"/>
  <c r="X87" i="4"/>
  <c r="Q87" i="4"/>
  <c r="N87" i="4"/>
  <c r="L87" i="4"/>
  <c r="K87" i="4"/>
  <c r="I87" i="4"/>
  <c r="H87" i="4"/>
  <c r="G87" i="4"/>
  <c r="D87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X65" i="4"/>
  <c r="V65" i="4"/>
  <c r="N65" i="4"/>
  <c r="G65" i="4"/>
  <c r="F65" i="4"/>
  <c r="M65" i="4"/>
  <c r="Q65" i="4"/>
  <c r="D65" i="4"/>
  <c r="AE65" i="4"/>
  <c r="Z65" i="4"/>
  <c r="AA65" i="4"/>
  <c r="J65" i="4"/>
  <c r="S65" i="4"/>
  <c r="E65" i="4"/>
  <c r="K65" i="4"/>
  <c r="T65" i="4"/>
  <c r="AC65" i="4"/>
  <c r="W65" i="4"/>
  <c r="P65" i="4"/>
  <c r="H65" i="4"/>
  <c r="L65" i="4"/>
  <c r="O65" i="4"/>
  <c r="R65" i="4"/>
  <c r="U65" i="4"/>
  <c r="I65" i="4"/>
  <c r="AD65" i="4"/>
  <c r="AB65" i="4"/>
  <c r="Y65" i="4"/>
  <c r="M86" i="4"/>
  <c r="K86" i="4"/>
  <c r="G86" i="4"/>
  <c r="D86" i="4"/>
  <c r="W86" i="4"/>
  <c r="Q86" i="4"/>
  <c r="V86" i="4"/>
  <c r="AD86" i="4"/>
  <c r="Z86" i="4"/>
  <c r="T86" i="4"/>
  <c r="N86" i="4"/>
  <c r="I86" i="4"/>
  <c r="H86" i="4"/>
  <c r="E86" i="4"/>
  <c r="AC86" i="4"/>
  <c r="AA86" i="4"/>
  <c r="U86" i="4"/>
  <c r="R86" i="4"/>
  <c r="J86" i="4"/>
  <c r="AE86" i="4"/>
  <c r="AB86" i="4"/>
  <c r="Y86" i="4"/>
  <c r="X86" i="4"/>
  <c r="S86" i="4"/>
  <c r="P86" i="4"/>
  <c r="O86" i="4"/>
  <c r="L86" i="4"/>
  <c r="F86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S36" i="1"/>
  <c r="S70" i="1" s="1"/>
  <c r="AC36" i="1"/>
  <c r="AC70" i="1" s="1"/>
  <c r="AD36" i="1"/>
  <c r="AD70" i="1" s="1"/>
  <c r="O36" i="1"/>
  <c r="O70" i="1" s="1"/>
  <c r="P36" i="1"/>
  <c r="P70" i="1" s="1"/>
  <c r="D36" i="1"/>
  <c r="D70" i="1" s="1"/>
  <c r="E36" i="1"/>
  <c r="E70" i="1" s="1"/>
  <c r="F36" i="1"/>
  <c r="F70" i="1" s="1"/>
  <c r="G36" i="1"/>
  <c r="G70" i="1" s="1"/>
  <c r="H36" i="1"/>
  <c r="H70" i="1" s="1"/>
  <c r="I36" i="1"/>
  <c r="I70" i="1" s="1"/>
  <c r="J36" i="1"/>
  <c r="J70" i="1" s="1"/>
  <c r="K36" i="1"/>
  <c r="K70" i="1" s="1"/>
  <c r="L36" i="1"/>
  <c r="L70" i="1" s="1"/>
  <c r="M36" i="1"/>
  <c r="M70" i="1" s="1"/>
  <c r="AE36" i="1"/>
  <c r="AE70" i="1" s="1"/>
  <c r="Q36" i="1"/>
  <c r="Q70" i="1" s="1"/>
  <c r="R36" i="1"/>
  <c r="R70" i="1" s="1"/>
  <c r="AA36" i="1"/>
  <c r="AA70" i="1" s="1"/>
  <c r="Z36" i="1"/>
  <c r="Z70" i="1" s="1"/>
  <c r="Y36" i="1"/>
  <c r="Y70" i="1" s="1"/>
  <c r="X36" i="1"/>
  <c r="X70" i="1" s="1"/>
  <c r="W36" i="1"/>
  <c r="W70" i="1" s="1"/>
  <c r="V36" i="1"/>
  <c r="V70" i="1" s="1"/>
  <c r="U36" i="1"/>
  <c r="U70" i="1" s="1"/>
  <c r="T36" i="1"/>
  <c r="T70" i="1" s="1"/>
  <c r="AB36" i="1"/>
  <c r="AB70" i="1" s="1"/>
  <c r="N36" i="1"/>
  <c r="N70" i="1" s="1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AE28" i="5"/>
  <c r="X28" i="5"/>
  <c r="T28" i="5"/>
  <c r="P28" i="5"/>
  <c r="I28" i="5"/>
  <c r="G28" i="5"/>
  <c r="D28" i="5"/>
  <c r="AD28" i="5"/>
  <c r="AC28" i="5"/>
  <c r="Y28" i="5"/>
  <c r="U28" i="5"/>
  <c r="R28" i="5"/>
  <c r="Q28" i="5"/>
  <c r="N28" i="5"/>
  <c r="F28" i="5"/>
  <c r="E28" i="5"/>
  <c r="AA28" i="5"/>
  <c r="Z28" i="5"/>
  <c r="W28" i="5"/>
  <c r="V28" i="5"/>
  <c r="S28" i="5"/>
  <c r="M28" i="5"/>
  <c r="L28" i="5"/>
  <c r="K28" i="5"/>
  <c r="J28" i="5"/>
  <c r="AB28" i="5"/>
  <c r="O28" i="5"/>
  <c r="H28" i="5"/>
  <c r="AB31" i="5"/>
  <c r="U31" i="5"/>
  <c r="P31" i="5"/>
  <c r="M31" i="5"/>
  <c r="J31" i="5"/>
  <c r="F31" i="5"/>
  <c r="AE31" i="5"/>
  <c r="X31" i="5"/>
  <c r="T31" i="5"/>
  <c r="Q31" i="5"/>
  <c r="N31" i="5"/>
  <c r="H31" i="5"/>
  <c r="E31" i="5"/>
  <c r="AD31" i="5"/>
  <c r="AA31" i="5"/>
  <c r="Z31" i="5"/>
  <c r="Y31" i="5"/>
  <c r="S31" i="5"/>
  <c r="R31" i="5"/>
  <c r="K31" i="5"/>
  <c r="D31" i="5"/>
  <c r="AC31" i="5"/>
  <c r="W31" i="5"/>
  <c r="V31" i="5"/>
  <c r="O31" i="5"/>
  <c r="L31" i="5"/>
  <c r="I31" i="5"/>
  <c r="G31" i="5"/>
  <c r="AC32" i="5"/>
  <c r="Y32" i="5"/>
  <c r="V32" i="5"/>
  <c r="L32" i="5"/>
  <c r="G32" i="5"/>
  <c r="AE32" i="5"/>
  <c r="AB32" i="5"/>
  <c r="AA32" i="5"/>
  <c r="U32" i="5"/>
  <c r="O32" i="5"/>
  <c r="N32" i="5"/>
  <c r="J32" i="5"/>
  <c r="I32" i="5"/>
  <c r="F32" i="5"/>
  <c r="X32" i="5"/>
  <c r="W32" i="5"/>
  <c r="S32" i="5"/>
  <c r="R32" i="5"/>
  <c r="Q32" i="5"/>
  <c r="P32" i="5"/>
  <c r="K32" i="5"/>
  <c r="D32" i="5"/>
  <c r="AD32" i="5"/>
  <c r="Z32" i="5"/>
  <c r="T32" i="5"/>
  <c r="M32" i="5"/>
  <c r="H32" i="5"/>
  <c r="E32" i="5"/>
  <c r="AE46" i="5"/>
  <c r="AB46" i="5"/>
  <c r="H46" i="5"/>
  <c r="AD46" i="5"/>
  <c r="P46" i="5"/>
  <c r="Y46" i="5"/>
  <c r="Q46" i="5"/>
  <c r="AC46" i="5"/>
  <c r="AA46" i="5"/>
  <c r="L46" i="5"/>
  <c r="I46" i="5"/>
  <c r="F46" i="5"/>
  <c r="X46" i="5"/>
  <c r="W46" i="5"/>
  <c r="V46" i="5"/>
  <c r="R46" i="5"/>
  <c r="O46" i="5"/>
  <c r="D46" i="5"/>
  <c r="T46" i="5"/>
  <c r="N46" i="5"/>
  <c r="J46" i="5"/>
  <c r="G46" i="5"/>
  <c r="Z46" i="5"/>
  <c r="U46" i="5"/>
  <c r="S46" i="5"/>
  <c r="M46" i="5"/>
  <c r="K46" i="5"/>
  <c r="E46" i="5"/>
  <c r="AB47" i="5"/>
  <c r="X47" i="5"/>
  <c r="U47" i="5"/>
  <c r="J47" i="5"/>
  <c r="H47" i="5"/>
  <c r="G47" i="5"/>
  <c r="D47" i="5"/>
  <c r="AE47" i="5"/>
  <c r="AD47" i="5"/>
  <c r="AC47" i="5"/>
  <c r="Z47" i="5"/>
  <c r="W47" i="5"/>
  <c r="T47" i="5"/>
  <c r="S47" i="5"/>
  <c r="R47" i="5"/>
  <c r="Q47" i="5"/>
  <c r="P47" i="5"/>
  <c r="O47" i="5"/>
  <c r="N47" i="5"/>
  <c r="M47" i="5"/>
  <c r="L47" i="5"/>
  <c r="I47" i="5"/>
  <c r="E47" i="5"/>
  <c r="AA47" i="5"/>
  <c r="Y47" i="5"/>
  <c r="V47" i="5"/>
  <c r="K47" i="5"/>
  <c r="F47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B29" i="5"/>
  <c r="W29" i="5"/>
  <c r="T29" i="5"/>
  <c r="Q29" i="5"/>
  <c r="N29" i="5"/>
  <c r="K29" i="5"/>
  <c r="F29" i="5"/>
  <c r="AD29" i="5"/>
  <c r="Z29" i="5"/>
  <c r="U29" i="5"/>
  <c r="R29" i="5"/>
  <c r="P29" i="5"/>
  <c r="M29" i="5"/>
  <c r="J29" i="5"/>
  <c r="G29" i="5"/>
  <c r="D29" i="5"/>
  <c r="AC29" i="5"/>
  <c r="AE29" i="5"/>
  <c r="AA29" i="5"/>
  <c r="Y29" i="5"/>
  <c r="X29" i="5"/>
  <c r="V29" i="5"/>
  <c r="S29" i="5"/>
  <c r="O29" i="5"/>
  <c r="L29" i="5"/>
  <c r="I29" i="5"/>
  <c r="H29" i="5"/>
  <c r="E2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X30" i="5"/>
  <c r="U30" i="5"/>
  <c r="Q30" i="5"/>
  <c r="J30" i="5"/>
  <c r="G30" i="5"/>
  <c r="AD30" i="5"/>
  <c r="AC30" i="5"/>
  <c r="AB30" i="5"/>
  <c r="Y30" i="5"/>
  <c r="W30" i="5"/>
  <c r="T30" i="5"/>
  <c r="S30" i="5"/>
  <c r="O30" i="5"/>
  <c r="L30" i="5"/>
  <c r="I30" i="5"/>
  <c r="D30" i="5"/>
  <c r="AA30" i="5"/>
  <c r="Z30" i="5"/>
  <c r="R30" i="5"/>
  <c r="N30" i="5"/>
  <c r="M30" i="5"/>
  <c r="K30" i="5"/>
  <c r="E30" i="5"/>
  <c r="AE30" i="5"/>
  <c r="V30" i="5"/>
  <c r="P30" i="5"/>
  <c r="H30" i="5"/>
  <c r="F30" i="5"/>
  <c r="AE44" i="5"/>
  <c r="V44" i="5"/>
  <c r="Q44" i="5"/>
  <c r="L44" i="5"/>
  <c r="D44" i="5"/>
  <c r="AB44" i="5"/>
  <c r="AA44" i="5"/>
  <c r="T44" i="5"/>
  <c r="G44" i="5"/>
  <c r="AC44" i="5"/>
  <c r="I44" i="5"/>
  <c r="F44" i="5"/>
  <c r="Y44" i="5"/>
  <c r="W44" i="5"/>
  <c r="P44" i="5"/>
  <c r="AD44" i="5"/>
  <c r="U44" i="5"/>
  <c r="H44" i="5"/>
  <c r="Z44" i="5"/>
  <c r="S44" i="5"/>
  <c r="O44" i="5"/>
  <c r="M44" i="5"/>
  <c r="J44" i="5"/>
  <c r="E44" i="5"/>
  <c r="X44" i="5"/>
  <c r="R44" i="5"/>
  <c r="N44" i="5"/>
  <c r="K44" i="5"/>
  <c r="Y45" i="5"/>
  <c r="W45" i="5"/>
  <c r="U45" i="5"/>
  <c r="M45" i="5"/>
  <c r="F45" i="5"/>
  <c r="P45" i="5"/>
  <c r="I45" i="5"/>
  <c r="AE45" i="5"/>
  <c r="J45" i="5"/>
  <c r="D45" i="5"/>
  <c r="AA45" i="5"/>
  <c r="V45" i="5"/>
  <c r="S45" i="5"/>
  <c r="K45" i="5"/>
  <c r="AD45" i="5"/>
  <c r="AC45" i="5"/>
  <c r="T45" i="5"/>
  <c r="O45" i="5"/>
  <c r="E45" i="5"/>
  <c r="AB45" i="5"/>
  <c r="R45" i="5"/>
  <c r="N45" i="5"/>
  <c r="G45" i="5"/>
  <c r="Z45" i="5"/>
  <c r="X45" i="5"/>
  <c r="Q45" i="5"/>
  <c r="L45" i="5"/>
  <c r="H45" i="5"/>
  <c r="AE48" i="5"/>
  <c r="AB48" i="5"/>
  <c r="AA48" i="5"/>
  <c r="U48" i="5"/>
  <c r="T48" i="5"/>
  <c r="S48" i="5"/>
  <c r="R48" i="5"/>
  <c r="Q48" i="5"/>
  <c r="P48" i="5"/>
  <c r="L48" i="5"/>
  <c r="G48" i="5"/>
  <c r="D48" i="5"/>
  <c r="Z48" i="5"/>
  <c r="Y48" i="5"/>
  <c r="V48" i="5"/>
  <c r="M48" i="5"/>
  <c r="J48" i="5"/>
  <c r="I48" i="5"/>
  <c r="H48" i="5"/>
  <c r="E48" i="5"/>
  <c r="AD48" i="5"/>
  <c r="AC48" i="5"/>
  <c r="X48" i="5"/>
  <c r="W48" i="5"/>
  <c r="O48" i="5"/>
  <c r="N48" i="5"/>
  <c r="K48" i="5"/>
  <c r="F48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M28" i="4"/>
  <c r="Q28" i="4"/>
  <c r="L28" i="4"/>
  <c r="K28" i="4"/>
  <c r="J28" i="4"/>
  <c r="I28" i="4"/>
  <c r="H28" i="4"/>
  <c r="G28" i="4"/>
  <c r="F28" i="4"/>
  <c r="E28" i="4"/>
  <c r="N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D28" i="4"/>
  <c r="R28" i="4"/>
  <c r="O28" i="4"/>
  <c r="P28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AA48" i="4"/>
  <c r="W48" i="4"/>
  <c r="T48" i="4"/>
  <c r="S48" i="4"/>
  <c r="Q48" i="4"/>
  <c r="M48" i="4"/>
  <c r="H48" i="4"/>
  <c r="E48" i="4"/>
  <c r="AD48" i="4"/>
  <c r="Z48" i="4"/>
  <c r="Y48" i="4"/>
  <c r="V48" i="4"/>
  <c r="P48" i="4"/>
  <c r="O48" i="4"/>
  <c r="N48" i="4"/>
  <c r="K48" i="4"/>
  <c r="J48" i="4"/>
  <c r="G48" i="4"/>
  <c r="F48" i="4"/>
  <c r="AE48" i="4"/>
  <c r="AC48" i="4"/>
  <c r="AB48" i="4"/>
  <c r="X48" i="4"/>
  <c r="U48" i="4"/>
  <c r="R48" i="4"/>
  <c r="L48" i="4"/>
  <c r="I48" i="4"/>
  <c r="D48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S29" i="4"/>
  <c r="J29" i="4"/>
  <c r="G29" i="4"/>
  <c r="D29" i="4"/>
  <c r="AC29" i="4"/>
  <c r="AB29" i="4"/>
  <c r="Z29" i="4"/>
  <c r="Y29" i="4"/>
  <c r="R29" i="4"/>
  <c r="L29" i="4"/>
  <c r="E29" i="4"/>
  <c r="AE29" i="4"/>
  <c r="AD29" i="4"/>
  <c r="X29" i="4"/>
  <c r="W29" i="4"/>
  <c r="V29" i="4"/>
  <c r="T29" i="4"/>
  <c r="P29" i="4"/>
  <c r="O29" i="4"/>
  <c r="N29" i="4"/>
  <c r="M29" i="4"/>
  <c r="H29" i="4"/>
  <c r="AA29" i="4"/>
  <c r="U29" i="4"/>
  <c r="Q29" i="4"/>
  <c r="K29" i="4"/>
  <c r="I29" i="4"/>
  <c r="F29" i="4"/>
  <c r="L18" i="4"/>
  <c r="M18" i="4"/>
  <c r="N18" i="4"/>
  <c r="O18" i="4"/>
  <c r="P18" i="4"/>
  <c r="Q18" i="4"/>
  <c r="R18" i="4"/>
  <c r="S18" i="4"/>
  <c r="T18" i="4"/>
  <c r="J18" i="4"/>
  <c r="I18" i="4"/>
  <c r="H18" i="4"/>
  <c r="G18" i="4"/>
  <c r="F18" i="4"/>
  <c r="E18" i="4"/>
  <c r="D18" i="4"/>
  <c r="U18" i="4"/>
  <c r="V18" i="4"/>
  <c r="W18" i="4"/>
  <c r="X18" i="4"/>
  <c r="Y18" i="4"/>
  <c r="Z18" i="4"/>
  <c r="AA18" i="4"/>
  <c r="AB18" i="4"/>
  <c r="AC18" i="4"/>
  <c r="AD18" i="4"/>
  <c r="AE18" i="4"/>
  <c r="K18" i="4"/>
  <c r="E23" i="4"/>
  <c r="AE23" i="4"/>
  <c r="AC23" i="4"/>
  <c r="AB23" i="4"/>
  <c r="AA23" i="4"/>
  <c r="Z23" i="4"/>
  <c r="D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AD23" i="4"/>
  <c r="F23" i="4"/>
  <c r="AE30" i="4"/>
  <c r="Y30" i="4"/>
  <c r="U30" i="4"/>
  <c r="Q30" i="4"/>
  <c r="K30" i="4"/>
  <c r="H30" i="4"/>
  <c r="E30" i="4"/>
  <c r="AD30" i="4"/>
  <c r="Z30" i="4"/>
  <c r="T30" i="4"/>
  <c r="S30" i="4"/>
  <c r="O30" i="4"/>
  <c r="L30" i="4"/>
  <c r="G30" i="4"/>
  <c r="AC30" i="4"/>
  <c r="AB30" i="4"/>
  <c r="AA30" i="4"/>
  <c r="W30" i="4"/>
  <c r="V30" i="4"/>
  <c r="P30" i="4"/>
  <c r="J30" i="4"/>
  <c r="F30" i="4"/>
  <c r="X30" i="4"/>
  <c r="R30" i="4"/>
  <c r="N30" i="4"/>
  <c r="M30" i="4"/>
  <c r="I30" i="4"/>
  <c r="D30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J20" i="4"/>
  <c r="F20" i="4"/>
  <c r="G20" i="4"/>
  <c r="I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H20" i="4"/>
  <c r="E20" i="4"/>
  <c r="D20" i="4"/>
  <c r="S27" i="4"/>
  <c r="AB27" i="4"/>
  <c r="AA27" i="4"/>
  <c r="Z27" i="4"/>
  <c r="Y27" i="4"/>
  <c r="X27" i="4"/>
  <c r="V27" i="4"/>
  <c r="AD27" i="4"/>
  <c r="AE27" i="4"/>
  <c r="D27" i="4"/>
  <c r="U27" i="4"/>
  <c r="T27" i="4"/>
  <c r="E27" i="4"/>
  <c r="H27" i="4"/>
  <c r="I27" i="4"/>
  <c r="J27" i="4"/>
  <c r="K27" i="4"/>
  <c r="L27" i="4"/>
  <c r="M27" i="4"/>
  <c r="N27" i="4"/>
  <c r="O27" i="4"/>
  <c r="P27" i="4"/>
  <c r="Q27" i="4"/>
  <c r="R27" i="4"/>
  <c r="G27" i="4"/>
  <c r="F27" i="4"/>
  <c r="AC27" i="4"/>
  <c r="W27" i="4"/>
  <c r="Y19" i="4"/>
  <c r="R19" i="4"/>
  <c r="S19" i="4"/>
  <c r="D19" i="4"/>
  <c r="E19" i="4"/>
  <c r="F19" i="4"/>
  <c r="G19" i="4"/>
  <c r="H19" i="4"/>
  <c r="I19" i="4"/>
  <c r="J19" i="4"/>
  <c r="K19" i="4"/>
  <c r="L19" i="4"/>
  <c r="M19" i="4"/>
  <c r="N19" i="4"/>
  <c r="Z19" i="4"/>
  <c r="O19" i="4"/>
  <c r="AA19" i="4"/>
  <c r="P19" i="4"/>
  <c r="AC19" i="4"/>
  <c r="T19" i="4"/>
  <c r="U19" i="4"/>
  <c r="V19" i="4"/>
  <c r="AE19" i="4"/>
  <c r="W19" i="4"/>
  <c r="AD19" i="4"/>
  <c r="X19" i="4"/>
  <c r="Q19" i="4"/>
  <c r="AB19" i="4"/>
  <c r="M25" i="4"/>
  <c r="AE25" i="4"/>
  <c r="AD25" i="4"/>
  <c r="AC25" i="4"/>
  <c r="AB25" i="4"/>
  <c r="AA25" i="4"/>
  <c r="Z25" i="4"/>
  <c r="X25" i="4"/>
  <c r="W25" i="4"/>
  <c r="K25" i="4"/>
  <c r="V25" i="4"/>
  <c r="U25" i="4"/>
  <c r="T25" i="4"/>
  <c r="S25" i="4"/>
  <c r="R25" i="4"/>
  <c r="Q25" i="4"/>
  <c r="P25" i="4"/>
  <c r="O25" i="4"/>
  <c r="N25" i="4"/>
  <c r="D25" i="4"/>
  <c r="E25" i="4"/>
  <c r="F25" i="4"/>
  <c r="G25" i="4"/>
  <c r="H25" i="4"/>
  <c r="I25" i="4"/>
  <c r="J25" i="4"/>
  <c r="Y25" i="4"/>
  <c r="L25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Z34" i="4"/>
  <c r="V34" i="4"/>
  <c r="U34" i="4"/>
  <c r="T34" i="4"/>
  <c r="S34" i="4"/>
  <c r="R34" i="4"/>
  <c r="Q34" i="4"/>
  <c r="P34" i="4"/>
  <c r="N34" i="4"/>
  <c r="M34" i="4"/>
  <c r="L34" i="4"/>
  <c r="K34" i="4"/>
  <c r="J34" i="4"/>
  <c r="I34" i="4"/>
  <c r="H34" i="4"/>
  <c r="G34" i="4"/>
  <c r="F34" i="4"/>
  <c r="E34" i="4"/>
  <c r="D34" i="4"/>
  <c r="AE34" i="4"/>
  <c r="AD34" i="4"/>
  <c r="AC34" i="4"/>
  <c r="AB34" i="4"/>
  <c r="AA34" i="4"/>
  <c r="Y34" i="4"/>
  <c r="X34" i="4"/>
  <c r="W34" i="4"/>
  <c r="O34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E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D21" i="4"/>
  <c r="G21" i="4"/>
  <c r="F21" i="4"/>
  <c r="AE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AD24" i="4"/>
  <c r="H24" i="4"/>
  <c r="G24" i="4"/>
  <c r="F24" i="4"/>
  <c r="E24" i="4"/>
  <c r="AB24" i="4"/>
  <c r="AC24" i="4"/>
  <c r="D24" i="4"/>
  <c r="Z24" i="4"/>
  <c r="AA24" i="4"/>
  <c r="F22" i="4"/>
  <c r="H22" i="4"/>
  <c r="I22" i="4"/>
  <c r="J22" i="4"/>
  <c r="K22" i="4"/>
  <c r="L22" i="4"/>
  <c r="M22" i="4"/>
  <c r="N22" i="4"/>
  <c r="O22" i="4"/>
  <c r="AE22" i="4"/>
  <c r="AD22" i="4"/>
  <c r="AC22" i="4"/>
  <c r="AB22" i="4"/>
  <c r="AA22" i="4"/>
  <c r="R22" i="4"/>
  <c r="Z22" i="4"/>
  <c r="Q22" i="4"/>
  <c r="Y22" i="4"/>
  <c r="X22" i="4"/>
  <c r="W22" i="4"/>
  <c r="V22" i="4"/>
  <c r="U22" i="4"/>
  <c r="T22" i="4"/>
  <c r="S22" i="4"/>
  <c r="E22" i="4"/>
  <c r="D22" i="4"/>
  <c r="G22" i="4"/>
  <c r="P22" i="4"/>
  <c r="D35" i="1"/>
  <c r="D69" i="1" s="1"/>
  <c r="I35" i="1"/>
  <c r="I69" i="1" s="1"/>
  <c r="J35" i="1"/>
  <c r="J69" i="1" s="1"/>
  <c r="K35" i="1"/>
  <c r="K69" i="1" s="1"/>
  <c r="L35" i="1"/>
  <c r="L69" i="1" s="1"/>
  <c r="M35" i="1"/>
  <c r="M69" i="1" s="1"/>
  <c r="N35" i="1"/>
  <c r="N69" i="1" s="1"/>
  <c r="O35" i="1"/>
  <c r="O69" i="1" s="1"/>
  <c r="P35" i="1"/>
  <c r="P69" i="1" s="1"/>
  <c r="Q35" i="1"/>
  <c r="Q69" i="1" s="1"/>
  <c r="R35" i="1"/>
  <c r="R69" i="1" s="1"/>
  <c r="S35" i="1"/>
  <c r="S69" i="1" s="1"/>
  <c r="T35" i="1"/>
  <c r="T69" i="1" s="1"/>
  <c r="U35" i="1"/>
  <c r="U69" i="1" s="1"/>
  <c r="V35" i="1"/>
  <c r="V69" i="1" s="1"/>
  <c r="W35" i="1"/>
  <c r="W69" i="1" s="1"/>
  <c r="X35" i="1"/>
  <c r="X69" i="1" s="1"/>
  <c r="Y35" i="1"/>
  <c r="Y69" i="1" s="1"/>
  <c r="Z35" i="1"/>
  <c r="Z69" i="1" s="1"/>
  <c r="AA35" i="1"/>
  <c r="AA69" i="1" s="1"/>
  <c r="AB35" i="1"/>
  <c r="AB69" i="1" s="1"/>
  <c r="AC35" i="1"/>
  <c r="AC69" i="1" s="1"/>
  <c r="AD35" i="1"/>
  <c r="AD69" i="1" s="1"/>
  <c r="AE35" i="1"/>
  <c r="AE69" i="1" s="1"/>
  <c r="H35" i="1"/>
  <c r="H69" i="1" s="1"/>
  <c r="F35" i="1"/>
  <c r="F69" i="1" s="1"/>
  <c r="E35" i="1"/>
  <c r="E69" i="1" s="1"/>
  <c r="G35" i="1"/>
  <c r="G69" i="1" s="1"/>
  <c r="U26" i="4"/>
  <c r="T26" i="4"/>
  <c r="AD26" i="4"/>
  <c r="S26" i="4"/>
  <c r="R26" i="4"/>
  <c r="AE26" i="4"/>
  <c r="Q26" i="4"/>
  <c r="P26" i="4"/>
  <c r="O26" i="4"/>
  <c r="N26" i="4"/>
  <c r="M26" i="4"/>
  <c r="L26" i="4"/>
  <c r="K26" i="4"/>
  <c r="J26" i="4"/>
  <c r="I26" i="4"/>
  <c r="H26" i="4"/>
  <c r="AC26" i="4"/>
  <c r="AB26" i="4"/>
  <c r="AA26" i="4"/>
  <c r="Z26" i="4"/>
  <c r="Y26" i="4"/>
  <c r="X26" i="4"/>
  <c r="W26" i="4"/>
  <c r="V26" i="4"/>
  <c r="G26" i="4"/>
  <c r="F26" i="4"/>
  <c r="E26" i="4"/>
  <c r="D26" i="4"/>
  <c r="AB32" i="4"/>
  <c r="Y32" i="4"/>
  <c r="W32" i="4"/>
  <c r="M32" i="4"/>
  <c r="K32" i="4"/>
  <c r="E32" i="4"/>
  <c r="AD32" i="4"/>
  <c r="AC32" i="4"/>
  <c r="Z32" i="4"/>
  <c r="R32" i="4"/>
  <c r="G32" i="4"/>
  <c r="AE32" i="4"/>
  <c r="V32" i="4"/>
  <c r="U32" i="4"/>
  <c r="T32" i="4"/>
  <c r="Q32" i="4"/>
  <c r="N32" i="4"/>
  <c r="J32" i="4"/>
  <c r="I32" i="4"/>
  <c r="H32" i="4"/>
  <c r="D32" i="4"/>
  <c r="AA32" i="4"/>
  <c r="X32" i="4"/>
  <c r="S32" i="4"/>
  <c r="P32" i="4"/>
  <c r="O32" i="4"/>
  <c r="L32" i="4"/>
  <c r="F32" i="4"/>
  <c r="T45" i="4"/>
  <c r="K45" i="4"/>
  <c r="E45" i="4"/>
  <c r="Y45" i="4"/>
  <c r="V45" i="4"/>
  <c r="F45" i="4"/>
  <c r="W45" i="4"/>
  <c r="Q45" i="4"/>
  <c r="O45" i="4"/>
  <c r="N45" i="4"/>
  <c r="G45" i="4"/>
  <c r="AD45" i="4"/>
  <c r="AA45" i="4"/>
  <c r="L45" i="4"/>
  <c r="D45" i="4"/>
  <c r="X45" i="4"/>
  <c r="P45" i="4"/>
  <c r="J45" i="4"/>
  <c r="AC45" i="4"/>
  <c r="Z45" i="4"/>
  <c r="S45" i="4"/>
  <c r="M45" i="4"/>
  <c r="I45" i="4"/>
  <c r="AE45" i="4"/>
  <c r="AB45" i="4"/>
  <c r="U45" i="4"/>
  <c r="R45" i="4"/>
  <c r="H45" i="4"/>
  <c r="AE46" i="4"/>
  <c r="AA46" i="4"/>
  <c r="W46" i="4"/>
  <c r="K46" i="4"/>
  <c r="AB46" i="4"/>
  <c r="T46" i="4"/>
  <c r="R46" i="4"/>
  <c r="G46" i="4"/>
  <c r="AC46" i="4"/>
  <c r="S46" i="4"/>
  <c r="P46" i="4"/>
  <c r="N46" i="4"/>
  <c r="L46" i="4"/>
  <c r="J46" i="4"/>
  <c r="D46" i="4"/>
  <c r="AD46" i="4"/>
  <c r="H46" i="4"/>
  <c r="Z46" i="4"/>
  <c r="X46" i="4"/>
  <c r="Q46" i="4"/>
  <c r="O46" i="4"/>
  <c r="M46" i="4"/>
  <c r="E46" i="4"/>
  <c r="Y46" i="4"/>
  <c r="V46" i="4"/>
  <c r="U46" i="4"/>
  <c r="I46" i="4"/>
  <c r="F46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E43" i="2"/>
  <c r="C17" i="4"/>
  <c r="AE31" i="4"/>
  <c r="AB31" i="4"/>
  <c r="Y31" i="4"/>
  <c r="T31" i="4"/>
  <c r="S31" i="4"/>
  <c r="P31" i="4"/>
  <c r="N31" i="4"/>
  <c r="K31" i="4"/>
  <c r="I31" i="4"/>
  <c r="F31" i="4"/>
  <c r="AA31" i="4"/>
  <c r="W31" i="4"/>
  <c r="U31" i="4"/>
  <c r="E31" i="4"/>
  <c r="AD31" i="4"/>
  <c r="AC31" i="4"/>
  <c r="X31" i="4"/>
  <c r="R31" i="4"/>
  <c r="L31" i="4"/>
  <c r="G31" i="4"/>
  <c r="Z31" i="4"/>
  <c r="V31" i="4"/>
  <c r="Q31" i="4"/>
  <c r="O31" i="4"/>
  <c r="M31" i="4"/>
  <c r="J31" i="4"/>
  <c r="H31" i="4"/>
  <c r="D31" i="4"/>
  <c r="AD44" i="4"/>
  <c r="Z44" i="4"/>
  <c r="W44" i="4"/>
  <c r="U44" i="4"/>
  <c r="Q44" i="4"/>
  <c r="M44" i="4"/>
  <c r="H44" i="4"/>
  <c r="E44" i="4"/>
  <c r="O44" i="4"/>
  <c r="K44" i="4"/>
  <c r="L44" i="4"/>
  <c r="AC44" i="4"/>
  <c r="Y44" i="4"/>
  <c r="T44" i="4"/>
  <c r="G44" i="4"/>
  <c r="N44" i="4"/>
  <c r="J44" i="4"/>
  <c r="AE44" i="4"/>
  <c r="AA44" i="4"/>
  <c r="X44" i="4"/>
  <c r="S44" i="4"/>
  <c r="P44" i="4"/>
  <c r="I44" i="4"/>
  <c r="D44" i="4"/>
  <c r="AB44" i="4"/>
  <c r="V44" i="4"/>
  <c r="R44" i="4"/>
  <c r="F44" i="4"/>
  <c r="AB47" i="4"/>
  <c r="AA47" i="4"/>
  <c r="X47" i="4"/>
  <c r="W47" i="4"/>
  <c r="V47" i="4"/>
  <c r="U47" i="4"/>
  <c r="T47" i="4"/>
  <c r="S47" i="4"/>
  <c r="R47" i="4"/>
  <c r="O47" i="4"/>
  <c r="M47" i="4"/>
  <c r="L47" i="4"/>
  <c r="H47" i="4"/>
  <c r="E47" i="4"/>
  <c r="AE47" i="4"/>
  <c r="AD47" i="4"/>
  <c r="AC47" i="4"/>
  <c r="Z47" i="4"/>
  <c r="Y47" i="4"/>
  <c r="J47" i="4"/>
  <c r="F47" i="4"/>
  <c r="Q47" i="4"/>
  <c r="P47" i="4"/>
  <c r="N47" i="4"/>
  <c r="K47" i="4"/>
  <c r="I47" i="4"/>
  <c r="G47" i="4"/>
  <c r="D47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E388" i="4"/>
  <c r="AD388" i="4"/>
  <c r="AC388" i="4"/>
  <c r="D388" i="4"/>
  <c r="AB388" i="4"/>
  <c r="AE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J324" i="4"/>
  <c r="Y324" i="4"/>
  <c r="AB324" i="4"/>
  <c r="AD324" i="4"/>
  <c r="X324" i="4"/>
  <c r="M324" i="4"/>
  <c r="K324" i="4"/>
  <c r="T324" i="4"/>
  <c r="AA324" i="4"/>
  <c r="AC324" i="4"/>
  <c r="N324" i="4"/>
  <c r="U324" i="4"/>
  <c r="H324" i="4"/>
  <c r="V324" i="4"/>
  <c r="I324" i="4"/>
  <c r="R324" i="4"/>
  <c r="D324" i="4"/>
  <c r="O324" i="4"/>
  <c r="AE324" i="4"/>
  <c r="F324" i="4"/>
  <c r="L324" i="4"/>
  <c r="P324" i="4"/>
  <c r="S324" i="4"/>
  <c r="W324" i="4"/>
  <c r="Z324" i="4"/>
  <c r="G324" i="4"/>
  <c r="Q324" i="4"/>
  <c r="E324" i="4"/>
  <c r="Y306" i="4"/>
  <c r="F306" i="4"/>
  <c r="AC306" i="4"/>
  <c r="AD306" i="4"/>
  <c r="E306" i="4"/>
  <c r="AA306" i="4"/>
  <c r="Z306" i="4"/>
  <c r="X306" i="4"/>
  <c r="W306" i="4"/>
  <c r="V306" i="4"/>
  <c r="U306" i="4"/>
  <c r="T306" i="4"/>
  <c r="S306" i="4"/>
  <c r="R306" i="4"/>
  <c r="AE306" i="4"/>
  <c r="AB306" i="4"/>
  <c r="Q306" i="4"/>
  <c r="P306" i="4"/>
  <c r="O306" i="4"/>
  <c r="N306" i="4"/>
  <c r="M306" i="4"/>
  <c r="L306" i="4"/>
  <c r="K306" i="4"/>
  <c r="J306" i="4"/>
  <c r="I306" i="4"/>
  <c r="H306" i="4"/>
  <c r="G306" i="4"/>
  <c r="D306" i="4"/>
  <c r="M306" i="5"/>
  <c r="L306" i="5"/>
  <c r="AD306" i="5"/>
  <c r="AB306" i="5"/>
  <c r="AA306" i="5"/>
  <c r="Z306" i="5"/>
  <c r="Y306" i="5"/>
  <c r="X306" i="5"/>
  <c r="W306" i="5"/>
  <c r="V306" i="5"/>
  <c r="U306" i="5"/>
  <c r="T306" i="5"/>
  <c r="S306" i="5"/>
  <c r="R306" i="5"/>
  <c r="Q306" i="5"/>
  <c r="P306" i="5"/>
  <c r="O306" i="5"/>
  <c r="N306" i="5"/>
  <c r="K306" i="5"/>
  <c r="J306" i="5"/>
  <c r="I306" i="5"/>
  <c r="H306" i="5"/>
  <c r="G306" i="5"/>
  <c r="F306" i="5"/>
  <c r="E306" i="5"/>
  <c r="D306" i="5"/>
  <c r="AE306" i="5"/>
  <c r="AC306" i="5"/>
  <c r="AB324" i="5"/>
  <c r="AE324" i="5"/>
  <c r="AD324" i="5"/>
  <c r="AA324" i="5"/>
  <c r="Z324" i="5"/>
  <c r="Y324" i="5"/>
  <c r="X324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AC324" i="5"/>
  <c r="F336" i="5"/>
  <c r="R336" i="5"/>
  <c r="V336" i="5"/>
  <c r="AA336" i="5"/>
  <c r="AD336" i="5"/>
  <c r="E336" i="5"/>
  <c r="H336" i="5"/>
  <c r="M336" i="5"/>
  <c r="P336" i="5"/>
  <c r="S336" i="5"/>
  <c r="X336" i="5"/>
  <c r="Z336" i="5"/>
  <c r="AE336" i="5"/>
  <c r="Y336" i="5"/>
  <c r="T336" i="5"/>
  <c r="N336" i="5"/>
  <c r="L336" i="5"/>
  <c r="I336" i="5"/>
  <c r="G336" i="5"/>
  <c r="D336" i="5"/>
  <c r="K336" i="5"/>
  <c r="O336" i="5"/>
  <c r="U336" i="5"/>
  <c r="W336" i="5"/>
  <c r="AB336" i="5"/>
  <c r="AC336" i="5"/>
  <c r="Q336" i="5"/>
  <c r="J336" i="5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AE332" i="5"/>
  <c r="U332" i="5"/>
  <c r="R332" i="5"/>
  <c r="O332" i="5"/>
  <c r="L332" i="5"/>
  <c r="J332" i="5"/>
  <c r="H332" i="5"/>
  <c r="F332" i="5"/>
  <c r="AD332" i="5"/>
  <c r="AC332" i="5"/>
  <c r="AB332" i="5"/>
  <c r="Y332" i="5"/>
  <c r="W332" i="5"/>
  <c r="S332" i="5"/>
  <c r="P332" i="5"/>
  <c r="N332" i="5"/>
  <c r="M332" i="5"/>
  <c r="K332" i="5"/>
  <c r="G332" i="5"/>
  <c r="AA332" i="5"/>
  <c r="X332" i="5"/>
  <c r="Q332" i="5"/>
  <c r="Z332" i="5"/>
  <c r="V332" i="5"/>
  <c r="T332" i="5"/>
  <c r="I332" i="5"/>
  <c r="E332" i="5"/>
  <c r="D332" i="5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AB325" i="5"/>
  <c r="Y325" i="5"/>
  <c r="W325" i="5"/>
  <c r="S325" i="5"/>
  <c r="Q325" i="5"/>
  <c r="N325" i="5"/>
  <c r="L325" i="5"/>
  <c r="J325" i="5"/>
  <c r="H325" i="5"/>
  <c r="E325" i="5"/>
  <c r="AC325" i="5"/>
  <c r="Z325" i="5"/>
  <c r="V325" i="5"/>
  <c r="T325" i="5"/>
  <c r="O325" i="5"/>
  <c r="D325" i="5"/>
  <c r="X325" i="5"/>
  <c r="G325" i="5"/>
  <c r="AE325" i="5"/>
  <c r="AD325" i="5"/>
  <c r="AA325" i="5"/>
  <c r="U325" i="5"/>
  <c r="R325" i="5"/>
  <c r="P325" i="5"/>
  <c r="M325" i="5"/>
  <c r="K325" i="5"/>
  <c r="I325" i="5"/>
  <c r="F325" i="5"/>
  <c r="Z325" i="4"/>
  <c r="R325" i="4"/>
  <c r="T325" i="4"/>
  <c r="E325" i="4"/>
  <c r="F325" i="4"/>
  <c r="P325" i="4"/>
  <c r="Y325" i="4"/>
  <c r="S325" i="4"/>
  <c r="AE325" i="4"/>
  <c r="L325" i="4"/>
  <c r="V325" i="4"/>
  <c r="AA325" i="4"/>
  <c r="X325" i="4"/>
  <c r="G325" i="4"/>
  <c r="J325" i="4"/>
  <c r="AB325" i="4"/>
  <c r="H325" i="4"/>
  <c r="AD325" i="4"/>
  <c r="M325" i="4"/>
  <c r="AC325" i="4"/>
  <c r="K325" i="4"/>
  <c r="Q325" i="4"/>
  <c r="N325" i="4"/>
  <c r="I325" i="4"/>
  <c r="O325" i="4"/>
  <c r="D325" i="4"/>
  <c r="U325" i="4"/>
  <c r="W325" i="4"/>
  <c r="AG43" i="2"/>
  <c r="C312" i="5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D312" i="4"/>
  <c r="AE312" i="4"/>
  <c r="AD312" i="4"/>
  <c r="AC312" i="4"/>
  <c r="AB312" i="4"/>
  <c r="AA312" i="4"/>
  <c r="Z312" i="4"/>
  <c r="Y312" i="4"/>
  <c r="X312" i="4"/>
  <c r="E312" i="4"/>
  <c r="AE377" i="4" l="1"/>
  <c r="AD377" i="4"/>
  <c r="AC377" i="4"/>
  <c r="AB377" i="4"/>
  <c r="AA377" i="4"/>
  <c r="Z377" i="4"/>
  <c r="Y377" i="4"/>
  <c r="X377" i="4"/>
  <c r="W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R337" i="4"/>
  <c r="S337" i="4"/>
  <c r="W337" i="4"/>
  <c r="AC337" i="4"/>
  <c r="P337" i="4"/>
  <c r="L337" i="4"/>
  <c r="D337" i="4"/>
  <c r="AE337" i="4"/>
  <c r="X337" i="4"/>
  <c r="H337" i="4"/>
  <c r="Q337" i="4"/>
  <c r="G337" i="4"/>
  <c r="U337" i="4"/>
  <c r="Z337" i="4"/>
  <c r="AB337" i="4"/>
  <c r="AD337" i="4"/>
  <c r="N337" i="4"/>
  <c r="K337" i="4"/>
  <c r="I337" i="4"/>
  <c r="E337" i="4"/>
  <c r="F337" i="4"/>
  <c r="T337" i="4"/>
  <c r="V337" i="4"/>
  <c r="Y337" i="4"/>
  <c r="AA337" i="4"/>
  <c r="O337" i="4"/>
  <c r="M337" i="4"/>
  <c r="J337" i="4"/>
  <c r="V257" i="4"/>
  <c r="T257" i="4"/>
  <c r="AA257" i="4"/>
  <c r="AC257" i="4"/>
  <c r="J257" i="4"/>
  <c r="H257" i="4"/>
  <c r="E257" i="4"/>
  <c r="Y257" i="4"/>
  <c r="W257" i="4"/>
  <c r="Q257" i="4"/>
  <c r="K257" i="4"/>
  <c r="AE257" i="4"/>
  <c r="X257" i="4"/>
  <c r="R257" i="4"/>
  <c r="P257" i="4"/>
  <c r="G257" i="4"/>
  <c r="U257" i="4"/>
  <c r="S257" i="4"/>
  <c r="N257" i="4"/>
  <c r="AB257" i="4"/>
  <c r="L257" i="4"/>
  <c r="I257" i="4"/>
  <c r="F257" i="4"/>
  <c r="D257" i="4"/>
  <c r="Z257" i="4"/>
  <c r="O257" i="4"/>
  <c r="M257" i="4"/>
  <c r="AD25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Q177" i="4"/>
  <c r="O177" i="4"/>
  <c r="Z177" i="4"/>
  <c r="AB177" i="4"/>
  <c r="D177" i="4"/>
  <c r="F177" i="4"/>
  <c r="E177" i="4"/>
  <c r="X177" i="4"/>
  <c r="W177" i="4"/>
  <c r="S177" i="4"/>
  <c r="R177" i="4"/>
  <c r="N177" i="4"/>
  <c r="M177" i="4"/>
  <c r="L177" i="4"/>
  <c r="H177" i="4"/>
  <c r="AE177" i="4"/>
  <c r="I177" i="4"/>
  <c r="V177" i="4"/>
  <c r="T177" i="4"/>
  <c r="P177" i="4"/>
  <c r="J177" i="4"/>
  <c r="G177" i="4"/>
  <c r="AA177" i="4"/>
  <c r="AC177" i="4"/>
  <c r="AD177" i="4"/>
  <c r="Y177" i="4"/>
  <c r="U177" i="4"/>
  <c r="K17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AA97" i="4"/>
  <c r="T97" i="4"/>
  <c r="P97" i="4"/>
  <c r="N97" i="4"/>
  <c r="L97" i="4"/>
  <c r="D97" i="4"/>
  <c r="Y97" i="4"/>
  <c r="X97" i="4"/>
  <c r="R97" i="4"/>
  <c r="J97" i="4"/>
  <c r="E97" i="4"/>
  <c r="AC97" i="4"/>
  <c r="AD97" i="4"/>
  <c r="V97" i="4"/>
  <c r="S97" i="4"/>
  <c r="K97" i="4"/>
  <c r="I97" i="4"/>
  <c r="F97" i="4"/>
  <c r="W97" i="4"/>
  <c r="Z97" i="4"/>
  <c r="U97" i="4"/>
  <c r="M97" i="4"/>
  <c r="H97" i="4"/>
  <c r="AE97" i="4"/>
  <c r="AB97" i="4"/>
  <c r="Q97" i="4"/>
  <c r="O97" i="4"/>
  <c r="G9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J17" i="4"/>
  <c r="H17" i="4"/>
  <c r="Q17" i="4"/>
  <c r="V17" i="4"/>
  <c r="W17" i="4"/>
  <c r="G17" i="4"/>
  <c r="X17" i="4"/>
  <c r="Y17" i="4"/>
  <c r="Z17" i="4"/>
  <c r="AA17" i="4"/>
  <c r="AB17" i="4"/>
  <c r="AC17" i="4"/>
  <c r="AD17" i="4"/>
  <c r="O17" i="4"/>
  <c r="AE17" i="4"/>
  <c r="F17" i="4"/>
  <c r="N17" i="4"/>
  <c r="E17" i="4"/>
  <c r="M17" i="4"/>
  <c r="D17" i="4"/>
  <c r="R17" i="4"/>
  <c r="L17" i="4"/>
  <c r="T17" i="4"/>
  <c r="K17" i="4"/>
  <c r="S17" i="4"/>
  <c r="I17" i="4"/>
  <c r="P17" i="4"/>
  <c r="U17" i="4"/>
  <c r="AE312" i="5"/>
  <c r="AD312" i="5"/>
  <c r="AC312" i="5"/>
  <c r="AB312" i="5"/>
  <c r="AA312" i="5"/>
  <c r="Z312" i="5"/>
  <c r="Y312" i="5"/>
  <c r="X312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</calcChain>
</file>

<file path=xl/sharedStrings.xml><?xml version="1.0" encoding="utf-8"?>
<sst xmlns="http://schemas.openxmlformats.org/spreadsheetml/2006/main" count="1749" uniqueCount="139">
  <si>
    <t>LTS</t>
  </si>
  <si>
    <t>Sector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</si>
  <si>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</si>
  <si>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</si>
  <si>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</si>
  <si>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</si>
  <si>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</si>
  <si>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</si>
  <si>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</si>
  <si>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</si>
  <si>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</si>
  <si>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</si>
  <si>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</si>
  <si>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</si>
  <si>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</si>
  <si>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</si>
  <si>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</si>
  <si>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</si>
  <si>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</si>
  <si>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</si>
  <si>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</si>
  <si>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</si>
  <si>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</si>
  <si>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</si>
  <si>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</si>
  <si>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</si>
  <si>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</si>
  <si>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</si>
  <si>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</si>
  <si>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</si>
  <si>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EN - Power Industry</t>
  </si>
  <si>
    <t>EN - Building</t>
  </si>
  <si>
    <t>EN - Transportation</t>
  </si>
  <si>
    <t>EN - Industrial combustion</t>
  </si>
  <si>
    <t>IN - Industrial processes</t>
  </si>
  <si>
    <t>Waste - Solid waste</t>
  </si>
  <si>
    <t>Waste - Wastewater treatment (trww)</t>
  </si>
  <si>
    <t>Waste - Wastewater (liquid waste)</t>
  </si>
  <si>
    <t>AG - Livestock (manure)</t>
  </si>
  <si>
    <t>LULUCF - Forest land</t>
  </si>
  <si>
    <t>units: billion 2019 USD</t>
  </si>
  <si>
    <t>SAM destination</t>
  </si>
  <si>
    <t>Government rate</t>
  </si>
  <si>
    <t>crops</t>
  </si>
  <si>
    <t xml:space="preserve">forestry </t>
  </si>
  <si>
    <t>livestock</t>
  </si>
  <si>
    <t>fishery and aquaculture</t>
  </si>
  <si>
    <t>Extractive activities</t>
  </si>
  <si>
    <t>food manufacturing and beverage</t>
  </si>
  <si>
    <t>textile manufacturing and clothes</t>
  </si>
  <si>
    <t>Wood product manufacturing</t>
  </si>
  <si>
    <t>coking and refining production</t>
  </si>
  <si>
    <t>chemical products</t>
  </si>
  <si>
    <t>pharmaceutical products</t>
  </si>
  <si>
    <t>rubber manufacturing</t>
  </si>
  <si>
    <t>metalwork manufacturing</t>
  </si>
  <si>
    <t>Manufacture of computer, electronic and optical products</t>
  </si>
  <si>
    <t>electrical equipment manufacturing</t>
  </si>
  <si>
    <t>machinery and equipment manufacturing</t>
  </si>
  <si>
    <t>transport equipment manufacturing</t>
  </si>
  <si>
    <t xml:space="preserve">other manufacturing </t>
  </si>
  <si>
    <t>electricity generation - coal</t>
  </si>
  <si>
    <t>electricity generation - oil</t>
  </si>
  <si>
    <t>electricity generation - natural gas</t>
  </si>
  <si>
    <t>electricity generation - hydro</t>
  </si>
  <si>
    <t>electricity generation - wind</t>
  </si>
  <si>
    <t>electricity generation - solar</t>
  </si>
  <si>
    <t>electricity generation - other sources</t>
  </si>
  <si>
    <t xml:space="preserve">electricity transmission and distribution </t>
  </si>
  <si>
    <t>gas manufacture, distribution</t>
  </si>
  <si>
    <t>water supply and sewerage</t>
  </si>
  <si>
    <t>construction</t>
  </si>
  <si>
    <t>repair of motor vehicles and motorcycles</t>
  </si>
  <si>
    <t>transport and warehouse</t>
  </si>
  <si>
    <t>Accommodation, Food and service activities</t>
  </si>
  <si>
    <t>Information and communication</t>
  </si>
  <si>
    <t xml:space="preserve">financial and insurance activities </t>
  </si>
  <si>
    <t xml:space="preserve">real estate </t>
  </si>
  <si>
    <t>research and development; travel agencies; support activities</t>
  </si>
  <si>
    <t>public administration</t>
  </si>
  <si>
    <t>education; health and social work</t>
  </si>
  <si>
    <t>other services</t>
  </si>
  <si>
    <t>imports</t>
  </si>
  <si>
    <t>Agent</t>
  </si>
  <si>
    <t>%</t>
  </si>
  <si>
    <t>Government</t>
  </si>
  <si>
    <t>Firms</t>
  </si>
  <si>
    <t>Households</t>
  </si>
  <si>
    <t>Investment sector</t>
  </si>
  <si>
    <t>Gov %</t>
  </si>
  <si>
    <t>Firms %</t>
  </si>
  <si>
    <t>HH %</t>
  </si>
  <si>
    <t>Source (documented judgment)</t>
  </si>
  <si>
    <t>Morocco RE build-out is predominantly private IPP (MASEN/ACWA Power PPAs) with state offtake via ONEE; ~25% public/SOE (ONEE grid-side generation), ~5% distributed rooftop PV by households. Judgment informed by IEA Morocco 2023 &amp; World Bank MAR energy PPPs.</t>
  </si>
  <si>
    <t>Building heat-pump / efficiency retrofits are mostly owner-financed: households (residential) 60%, commercial firms 30%, government 10% (public buildings). Our judgment.</t>
  </si>
  <si>
    <t>EV purchases: private households 55%, commercial/fleet firms 40%, public fleets 5%. Our judgment (Morocco has no large public EV programme yet).</t>
  </si>
  <si>
    <t>Industrial fuel-switch / heat equipment is financed by industrial firms; ~5% public co-funding via decarbonisation support. Our judgment.</t>
  </si>
  <si>
    <t>Cement/steel material-efficiency retrofits financed by industrial firms; minor public co-funding. Our judgment.</t>
  </si>
  <si>
    <t>Solid-waste management is a municipal/public responsibility with private operators (delegated management, e.g. Averda/SOS-NDD): government 80%, firms 20%. Our judgment informed by Morocco PNDM waste programme.</t>
  </si>
  <si>
    <t>Wastewater treatment (ONEP/ONEE-Eau, municipal utilities) is public-led with private delegated operators: government 85%, firms 15%. Our judgment informed by PNA sanitation programme.</t>
  </si>
  <si>
    <t>Zero investment in this path; shares carried for completeness.</t>
  </si>
  <si>
    <t>Reforestation is government-led (Eaux et Forets / Forets du Maroc 2020-2030 programme) 85%, private forestry firms 10%, community/household woodlots 5%. Our judgment.</t>
  </si>
  <si>
    <t>Morocco SAM sector</t>
  </si>
  <si>
    <t>EN - Power Industry - Government</t>
  </si>
  <si>
    <t>EN - Power Industry - Firms</t>
  </si>
  <si>
    <t>EN - Power Industry - Households</t>
  </si>
  <si>
    <t>EN - Building - Government</t>
  </si>
  <si>
    <t>EN - Building - Firms</t>
  </si>
  <si>
    <t>EN - Building - Households</t>
  </si>
  <si>
    <t>EN - Transportation - Government</t>
  </si>
  <si>
    <t>EN - Transportation - Firms</t>
  </si>
  <si>
    <t>EN - Transportation - Households</t>
  </si>
  <si>
    <t>EN - Industrial combustion - Government</t>
  </si>
  <si>
    <t>EN - Industrial combustion - Firms</t>
  </si>
  <si>
    <t>EN - Industrial combustion - Households</t>
  </si>
  <si>
    <t>IN - Industrial processes - Government</t>
  </si>
  <si>
    <t>IN - Industrial processes - Firms</t>
  </si>
  <si>
    <t>IN - Industrial processes - Households</t>
  </si>
  <si>
    <t>Waste - Solid waste - Government</t>
  </si>
  <si>
    <t>Waste - Solid waste - Firms</t>
  </si>
  <si>
    <t>Waste - Solid waste - Households</t>
  </si>
  <si>
    <t>Waste - Wastewater treatment (trww) - Government</t>
  </si>
  <si>
    <t>Waste - Wastewater treatment (trww) - Firms</t>
  </si>
  <si>
    <t>Waste - Wastewater treatment (trww) - Households</t>
  </si>
  <si>
    <t>Waste - Wastewater (liquid waste) - Government</t>
  </si>
  <si>
    <t>Waste - Wastewater (liquid waste) - Firms</t>
  </si>
  <si>
    <t>Waste - Wastewater (liquid waste) - Households</t>
  </si>
  <si>
    <t>AG - Livestock (manure) - Government</t>
  </si>
  <si>
    <t>AG - Livestock (manure) - Firms</t>
  </si>
  <si>
    <t>AG - Livestock (manure) - Households</t>
  </si>
  <si>
    <t>LULUCF - Forest land - Government</t>
  </si>
  <si>
    <t>LULUCF - Forest land - Firms</t>
  </si>
  <si>
    <t>LULUCF - Forest land - Households</t>
  </si>
  <si>
    <t>Firms rate</t>
  </si>
  <si>
    <t>Households rate</t>
  </si>
  <si>
    <t>LTS -Percent Change as Shock</t>
  </si>
  <si>
    <t>Gross capital formation (% of GDP)</t>
  </si>
  <si>
    <t>GDP (constant 2019 PPP Billion US$)</t>
  </si>
  <si>
    <t>Gross capital formation (constant 2019 PPP Billion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</si>
</sst>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00"/>
    <numFmt numFmtId="166" formatCode="#,##0.00000"/>
    <numFmt numFmtId="170" formatCode="&quot;$&quot;#,##0.00"/>
  </numFmts>
  <fonts count="17" x14ac:knownFonts="1">
    <font>
      <sz val="11"/>
      <name val="Calibri"/>
    </font>
    <font>
      <sz val="9"/>
      <color rgb="FF000000"/>
      <name val="Arial"/>
      <family val="2"/>
    </font>
    <font>
      <sz val="11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BFBFB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9A9A9A"/>
      </patternFill>
    </fill>
    <fill>
      <patternFill patternType="solid">
        <fgColor rgb="FF305496"/>
        <bgColor rgb="FF2038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rgb="FFBFBFBF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4"/>
    <xf numFmtId="0" fontId="12" fillId="0" borderId="4"/>
    <xf numFmtId="9" fontId="13" fillId="0" borderId="0" applyFont="0" applyFill="0" applyBorder="0" applyAlignment="0" applyProtection="0"/>
  </cellStyleXfs>
  <cellXfs count="79">
    <xf numFmtId="0" fontId="0" fillId="0" borderId="0" xfId="0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Alignment="1">
      <alignment vertical="center"/>
    </xf>
    <xf numFmtId="0" fontId="1" fillId="0" borderId="4" xfId="0" applyFont="1" applyAlignment="1">
      <alignment horizontal="left" vertical="top"/>
    </xf>
    <xf numFmtId="0" fontId="1" fillId="0" borderId="4" xfId="0" applyFont="1" applyAlignment="1">
      <alignment horizontal="left"/>
    </xf>
    <xf numFmtId="164" fontId="2" fillId="0" borderId="0" xfId="0" applyNumberFormat="1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Alignment="1">
      <alignment horizontal="left"/>
    </xf>
    <xf numFmtId="164" fontId="3" fillId="0" borderId="4" xfId="0" applyNumberFormat="1" applyFont="1"/>
    <xf numFmtId="0" fontId="1" fillId="0" borderId="5" xfId="0" applyFont="1" applyBorder="1" applyAlignment="1">
      <alignment horizontal="left" vertical="top"/>
    </xf>
    <xf numFmtId="164" fontId="3" fillId="0" borderId="5" xfId="0" applyNumberFormat="1" applyFont="1" applyBorder="1"/>
    <xf numFmtId="4" fontId="1" fillId="0" borderId="5" xfId="0" applyNumberFormat="1" applyFont="1" applyBorder="1" applyAlignment="1">
      <alignment vertical="center"/>
    </xf>
    <xf numFmtId="164" fontId="7" fillId="0" borderId="0" xfId="0" applyNumberFormat="1" applyFont="1" applyBorder="1"/>
    <xf numFmtId="0" fontId="8" fillId="2" borderId="6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5" fillId="0" borderId="0" xfId="0" applyFont="1" applyBorder="1" applyAlignment="1">
      <alignment vertical="top"/>
    </xf>
    <xf numFmtId="0" fontId="4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12" fillId="0" borderId="4" xfId="1"/>
    <xf numFmtId="0" fontId="11" fillId="0" borderId="4" xfId="1" applyFont="1" applyAlignment="1">
      <alignment vertical="top"/>
    </xf>
    <xf numFmtId="164" fontId="9" fillId="0" borderId="0" xfId="0" applyNumberFormat="1" applyFont="1" applyBorder="1"/>
    <xf numFmtId="0" fontId="8" fillId="3" borderId="6" xfId="0" applyFont="1" applyFill="1" applyBorder="1" applyAlignment="1">
      <alignment horizontal="center" vertical="center"/>
    </xf>
    <xf numFmtId="164" fontId="12" fillId="0" borderId="4" xfId="1" applyNumberFormat="1"/>
    <xf numFmtId="0" fontId="10" fillId="0" borderId="4" xfId="1" applyFont="1" applyAlignment="1">
      <alignment horizontal="center" vertical="center"/>
    </xf>
    <xf numFmtId="164" fontId="7" fillId="0" borderId="8" xfId="0" applyNumberFormat="1" applyFont="1" applyBorder="1"/>
    <xf numFmtId="164" fontId="7" fillId="0" borderId="9" xfId="0" applyNumberFormat="1" applyFont="1" applyBorder="1"/>
    <xf numFmtId="164" fontId="2" fillId="0" borderId="9" xfId="0" applyNumberFormat="1" applyFont="1" applyBorder="1"/>
    <xf numFmtId="164" fontId="12" fillId="0" borderId="9" xfId="1" applyNumberFormat="1" applyBorder="1"/>
    <xf numFmtId="0" fontId="12" fillId="0" borderId="9" xfId="1" applyBorder="1"/>
    <xf numFmtId="0" fontId="11" fillId="0" borderId="10" xfId="1" applyFont="1" applyBorder="1" applyAlignment="1">
      <alignment vertical="top"/>
    </xf>
    <xf numFmtId="164" fontId="2" fillId="0" borderId="10" xfId="0" applyNumberFormat="1" applyFont="1" applyBorder="1"/>
    <xf numFmtId="164" fontId="9" fillId="0" borderId="10" xfId="0" applyNumberFormat="1" applyFont="1" applyBorder="1"/>
    <xf numFmtId="164" fontId="2" fillId="0" borderId="11" xfId="0" applyNumberFormat="1" applyFont="1" applyBorder="1"/>
    <xf numFmtId="164" fontId="7" fillId="0" borderId="10" xfId="0" applyNumberFormat="1" applyFont="1" applyBorder="1"/>
    <xf numFmtId="164" fontId="7" fillId="0" borderId="11" xfId="0" applyNumberFormat="1" applyFont="1" applyBorder="1"/>
    <xf numFmtId="164" fontId="2" fillId="0" borderId="8" xfId="0" applyNumberFormat="1" applyFont="1" applyBorder="1"/>
    <xf numFmtId="0" fontId="11" fillId="0" borderId="12" xfId="1" applyFont="1" applyBorder="1" applyAlignment="1">
      <alignment vertical="top"/>
    </xf>
    <xf numFmtId="164" fontId="7" fillId="0" borderId="12" xfId="0" applyNumberFormat="1" applyFont="1" applyBorder="1"/>
    <xf numFmtId="164" fontId="7" fillId="0" borderId="4" xfId="0" applyNumberFormat="1" applyFont="1"/>
    <xf numFmtId="164" fontId="9" fillId="0" borderId="4" xfId="0" applyNumberFormat="1" applyFont="1"/>
    <xf numFmtId="165" fontId="1" fillId="0" borderId="12" xfId="0" applyNumberFormat="1" applyFont="1" applyBorder="1" applyAlignment="1">
      <alignment vertical="center"/>
    </xf>
    <xf numFmtId="165" fontId="1" fillId="0" borderId="4" xfId="0" applyNumberFormat="1" applyFont="1" applyAlignment="1">
      <alignment vertical="center"/>
    </xf>
    <xf numFmtId="165" fontId="1" fillId="0" borderId="10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6" fontId="1" fillId="0" borderId="4" xfId="0" applyNumberFormat="1" applyFont="1" applyAlignment="1">
      <alignment vertical="center"/>
    </xf>
    <xf numFmtId="166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Border="1"/>
    <xf numFmtId="0" fontId="0" fillId="0" borderId="5" xfId="0" applyBorder="1"/>
    <xf numFmtId="0" fontId="8" fillId="3" borderId="7" xfId="0" applyFont="1" applyFill="1" applyBorder="1" applyAlignment="1">
      <alignment horizontal="center" vertical="center" wrapText="1"/>
    </xf>
    <xf numFmtId="0" fontId="1" fillId="0" borderId="4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0" xfId="0" applyBorder="1"/>
    <xf numFmtId="0" fontId="15" fillId="0" borderId="4" xfId="0" applyFont="1" applyAlignment="1">
      <alignment horizontal="left" vertical="top"/>
    </xf>
    <xf numFmtId="0" fontId="14" fillId="0" borderId="4" xfId="0" applyFont="1"/>
    <xf numFmtId="4" fontId="14" fillId="0" borderId="4" xfId="0" applyNumberFormat="1" applyFont="1"/>
    <xf numFmtId="0" fontId="0" fillId="0" borderId="4" xfId="0"/>
    <xf numFmtId="4" fontId="16" fillId="0" borderId="4" xfId="0" applyNumberFormat="1" applyFont="1" applyAlignment="1">
      <alignment vertical="center"/>
    </xf>
    <xf numFmtId="9" fontId="0" fillId="0" borderId="0" xfId="2" applyFont="1"/>
    <xf numFmtId="0" fontId="0" fillId="0" borderId="4" xfId="0" applyBorder="1"/>
    <xf numFmtId="164" fontId="15" fillId="0" borderId="0" xfId="2" applyNumberFormat="1" applyFont="1" applyAlignment="1">
      <alignment vertical="center"/>
    </xf>
    <xf numFmtId="0" fontId="1" fillId="0" borderId="4" xfId="0" applyFont="1" applyBorder="1" applyAlignment="1">
      <alignment horizontal="left" vertical="top"/>
    </xf>
    <xf numFmtId="0" fontId="1" fillId="4" borderId="4" xfId="0" applyFont="1" applyFill="1" applyAlignment="1">
      <alignment horizontal="center"/>
    </xf>
    <xf numFmtId="0" fontId="0" fillId="4" borderId="0" xfId="0" applyFill="1" applyBorder="1"/>
    <xf numFmtId="0" fontId="0" fillId="4" borderId="4" xfId="0" applyFill="1"/>
    <xf numFmtId="9" fontId="0" fillId="4" borderId="0" xfId="2" applyFont="1" applyFill="1"/>
    <xf numFmtId="164" fontId="3" fillId="0" borderId="4" xfId="0" applyNumberFormat="1" applyFont="1" applyBorder="1"/>
    <xf numFmtId="4" fontId="1" fillId="0" borderId="4" xfId="0" applyNumberFormat="1" applyFont="1" applyBorder="1" applyAlignment="1">
      <alignment vertical="center"/>
    </xf>
    <xf numFmtId="166" fontId="1" fillId="0" borderId="4" xfId="0" applyNumberFormat="1" applyFont="1" applyBorder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164" fontId="1" fillId="0" borderId="4" xfId="2" applyNumberFormat="1" applyFont="1" applyBorder="1" applyAlignment="1">
      <alignment vertical="center"/>
    </xf>
    <xf numFmtId="164" fontId="1" fillId="0" borderId="5" xfId="2" applyNumberFormat="1" applyFont="1" applyBorder="1" applyAlignment="1">
      <alignment vertical="center"/>
    </xf>
    <xf numFmtId="170" fontId="0" fillId="0" borderId="4" xfId="0" applyNumberFormat="1"/>
    <xf numFmtId="0" fontId="13" fillId="0" borderId="4" xfId="0" applyFont="1"/>
    <xf numFmtId="164" fontId="0" fillId="0" borderId="4" xfId="0" applyNumberFormat="1" applyBorder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1"/>
  <sheetViews>
    <sheetView tabSelected="1" zoomScale="13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83203125" defaultRowHeight="15" x14ac:dyDescent="0.2"/>
  <cols>
    <col min="1" max="1" width="27" bestFit="1" customWidth="1"/>
    <col min="2" max="2" width="32.1640625" bestFit="1" customWidth="1"/>
    <col min="3" max="3" width="9.5" bestFit="1" customWidth="1"/>
  </cols>
  <sheetData>
    <row r="1" spans="1:31" x14ac:dyDescent="0.2">
      <c r="C1" s="66" t="s">
        <v>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v>0</v>
      </c>
      <c r="E3" s="4">
        <v>0</v>
      </c>
      <c r="F3" s="4">
        <v>1.640557583118945</v>
      </c>
      <c r="G3" s="4">
        <v>0.34625024251142672</v>
      </c>
      <c r="H3" s="4">
        <v>1.917473186726993</v>
      </c>
      <c r="I3" s="4">
        <v>2.59895611614149</v>
      </c>
      <c r="J3" s="4">
        <v>7.4215443756581418</v>
      </c>
      <c r="K3" s="4">
        <v>12.361299376695349</v>
      </c>
      <c r="L3" s="4">
        <v>10.53201753184026</v>
      </c>
      <c r="M3" s="4">
        <v>2.5227963299325711</v>
      </c>
      <c r="N3" s="4">
        <v>0</v>
      </c>
      <c r="O3" s="4">
        <v>0</v>
      </c>
      <c r="P3" s="4">
        <v>0</v>
      </c>
      <c r="Q3" s="4">
        <v>0.17038217483529269</v>
      </c>
      <c r="R3" s="4">
        <v>1.74116905268766</v>
      </c>
      <c r="S3" s="4">
        <v>1.6253737378598121</v>
      </c>
      <c r="T3" s="4">
        <v>1.383928432098535</v>
      </c>
      <c r="U3" s="4">
        <v>0.36629934913743017</v>
      </c>
      <c r="V3" s="4">
        <v>1.254785344988977</v>
      </c>
      <c r="W3" s="4">
        <v>1.175814409570668</v>
      </c>
      <c r="X3" s="4">
        <v>1.12891106212482</v>
      </c>
      <c r="Y3" s="4">
        <v>0</v>
      </c>
      <c r="Z3" s="4">
        <v>1.9889885953434989</v>
      </c>
      <c r="AA3" s="4">
        <v>1.110827191948863</v>
      </c>
      <c r="AB3" s="4">
        <v>1.949020450476155</v>
      </c>
      <c r="AC3" s="4">
        <v>1.7886574617193109</v>
      </c>
      <c r="AD3" s="4">
        <v>3.35363654867969</v>
      </c>
      <c r="AE3" s="4">
        <v>7.1215773647227358</v>
      </c>
    </row>
    <row r="4" spans="1:31" x14ac:dyDescent="0.2">
      <c r="A4" s="1" t="s">
        <v>31</v>
      </c>
      <c r="B4" s="5"/>
      <c r="C4" s="5"/>
      <c r="D4" s="4">
        <v>0</v>
      </c>
      <c r="E4" s="4">
        <v>0</v>
      </c>
      <c r="F4" s="4">
        <v>0</v>
      </c>
      <c r="G4" s="4">
        <v>1.239254890091481E-2</v>
      </c>
      <c r="H4" s="4">
        <v>2.3961415039264231E-2</v>
      </c>
      <c r="I4" s="4">
        <v>3.4716881875147577E-2</v>
      </c>
      <c r="J4" s="4">
        <v>4.467692018859723E-2</v>
      </c>
      <c r="K4" s="4">
        <v>6.4827290569275539E-2</v>
      </c>
      <c r="L4" s="4">
        <v>8.7174787570630699E-2</v>
      </c>
      <c r="M4" s="4">
        <v>0.1156871639742474</v>
      </c>
      <c r="N4" s="4">
        <v>0.15926129356279009</v>
      </c>
      <c r="O4" s="4">
        <v>0.23577257684254441</v>
      </c>
      <c r="P4" s="4">
        <v>0.37229478614240419</v>
      </c>
      <c r="Q4" s="4">
        <v>0.58419809945560863</v>
      </c>
      <c r="R4" s="4">
        <v>0.83360216235852325</v>
      </c>
      <c r="S4" s="4">
        <v>1.0449121208242029</v>
      </c>
      <c r="T4" s="4">
        <v>1.1831235688657229</v>
      </c>
      <c r="U4" s="4">
        <v>1.264051228536111</v>
      </c>
      <c r="V4" s="4">
        <v>1.3137548645864809</v>
      </c>
      <c r="W4" s="4">
        <v>1.3490936947314349</v>
      </c>
      <c r="X4" s="4">
        <v>1.3785000412156281</v>
      </c>
      <c r="Y4" s="4">
        <v>1.405788594626824</v>
      </c>
      <c r="Z4" s="4">
        <v>1.4245400223184841</v>
      </c>
      <c r="AA4" s="4">
        <v>1.442137122731054</v>
      </c>
      <c r="AB4" s="4">
        <v>1.460585149516046</v>
      </c>
      <c r="AC4" s="4">
        <v>1.4799216761203611</v>
      </c>
      <c r="AD4" s="4">
        <v>1.5001853469496109</v>
      </c>
      <c r="AE4" s="4">
        <v>1.521415630767359</v>
      </c>
    </row>
    <row r="5" spans="1:31" x14ac:dyDescent="0.2">
      <c r="A5" s="1" t="s">
        <v>32</v>
      </c>
      <c r="B5" s="5"/>
      <c r="C5" s="5"/>
      <c r="D5" s="4">
        <v>0</v>
      </c>
      <c r="E5" s="4">
        <v>0</v>
      </c>
      <c r="F5" s="4">
        <v>7.13547810476897E-4</v>
      </c>
      <c r="G5" s="4">
        <v>3.4838861303137618E-3</v>
      </c>
      <c r="H5" s="4">
        <v>6.4159389362808397E-3</v>
      </c>
      <c r="I5" s="4">
        <v>9.5152481002650328E-3</v>
      </c>
      <c r="J5" s="4">
        <v>1.2795080741190521E-2</v>
      </c>
      <c r="K5" s="4">
        <v>1.625326549158574E-2</v>
      </c>
      <c r="L5" s="4">
        <v>1.9892767658004379E-2</v>
      </c>
      <c r="M5" s="4">
        <v>2.3716180669915789E-2</v>
      </c>
      <c r="N5" s="4">
        <v>0.1060280836730714</v>
      </c>
      <c r="O5" s="4">
        <v>0.17937430524760339</v>
      </c>
      <c r="P5" s="4">
        <v>0.24473071053614251</v>
      </c>
      <c r="Q5" s="4">
        <v>0.30298890063527573</v>
      </c>
      <c r="R5" s="4">
        <v>0.35496133971346261</v>
      </c>
      <c r="S5" s="4">
        <v>0.40138643866910279</v>
      </c>
      <c r="T5" s="4">
        <v>0.44293309474647219</v>
      </c>
      <c r="U5" s="4">
        <v>0.48020527226333187</v>
      </c>
      <c r="V5" s="4">
        <v>0.5139981148847127</v>
      </c>
      <c r="W5" s="4">
        <v>0.54484236909864392</v>
      </c>
      <c r="X5" s="4">
        <v>0.57320804135264747</v>
      </c>
      <c r="Y5" s="4">
        <v>0.59950961510420753</v>
      </c>
      <c r="Z5" s="4">
        <v>0.62411140402953114</v>
      </c>
      <c r="AA5" s="4">
        <v>0.64733216489254852</v>
      </c>
      <c r="AB5" s="4">
        <v>0.6694504464461869</v>
      </c>
      <c r="AC5" s="4">
        <v>0.69070656297564992</v>
      </c>
      <c r="AD5" s="4">
        <v>0.71130655565173939</v>
      </c>
      <c r="AE5" s="4">
        <v>0.73142548793939488</v>
      </c>
    </row>
    <row r="6" spans="1:31" x14ac:dyDescent="0.2">
      <c r="A6" s="1" t="s">
        <v>33</v>
      </c>
      <c r="B6" s="5"/>
      <c r="C6" s="5"/>
      <c r="D6" s="4">
        <v>0</v>
      </c>
      <c r="E6" s="4">
        <v>0</v>
      </c>
      <c r="F6" s="4">
        <v>1.497840812765415E-2</v>
      </c>
      <c r="G6" s="4">
        <v>3.8599097662314168E-2</v>
      </c>
      <c r="H6" s="4">
        <v>6.1850964533699752E-2</v>
      </c>
      <c r="I6" s="4">
        <v>8.77288945876918E-2</v>
      </c>
      <c r="J6" s="4">
        <v>0.1132774781588677</v>
      </c>
      <c r="K6" s="4">
        <v>0.13857168840623971</v>
      </c>
      <c r="L6" s="4">
        <v>0.16369791477932591</v>
      </c>
      <c r="M6" s="4">
        <v>0.1887390143730443</v>
      </c>
      <c r="N6" s="4">
        <v>0.21377563289903889</v>
      </c>
      <c r="O6" s="4">
        <v>0.2388780131416581</v>
      </c>
      <c r="P6" s="4">
        <v>0.26408323947169471</v>
      </c>
      <c r="Q6" s="4">
        <v>0.28937229379039081</v>
      </c>
      <c r="R6" s="4">
        <v>0.31468311287329792</v>
      </c>
      <c r="S6" s="4">
        <v>0.33995972522890061</v>
      </c>
      <c r="T6" s="4">
        <v>0.36518396688666982</v>
      </c>
      <c r="U6" s="4">
        <v>0.39036781744804022</v>
      </c>
      <c r="V6" s="4">
        <v>0.41560148420717508</v>
      </c>
      <c r="W6" s="4">
        <v>0.44091680032010172</v>
      </c>
      <c r="X6" s="4">
        <v>0.46633933067514888</v>
      </c>
      <c r="Y6" s="4">
        <v>0.49188730472527997</v>
      </c>
      <c r="Z6" s="4">
        <v>0.51757355907763947</v>
      </c>
      <c r="AA6" s="4">
        <v>0.54340571059266862</v>
      </c>
      <c r="AB6" s="4">
        <v>0.5693868291352906</v>
      </c>
      <c r="AC6" s="4">
        <v>0.59551642992809373</v>
      </c>
      <c r="AD6" s="4">
        <v>0.62157441275424408</v>
      </c>
      <c r="AE6" s="4">
        <v>0.64774260214766188</v>
      </c>
    </row>
    <row r="7" spans="1:31" x14ac:dyDescent="0.2">
      <c r="A7" s="1" t="s">
        <v>34</v>
      </c>
      <c r="B7" s="5"/>
      <c r="C7" s="5"/>
      <c r="D7" s="4">
        <v>0</v>
      </c>
      <c r="E7" s="4">
        <v>0</v>
      </c>
      <c r="F7" s="4">
        <v>0</v>
      </c>
      <c r="G7" s="4">
        <v>0.81392292217495155</v>
      </c>
      <c r="H7" s="4">
        <v>0.90830419817618258</v>
      </c>
      <c r="I7" s="4">
        <v>1.0048391548463009</v>
      </c>
      <c r="J7" s="4">
        <v>1.103759220157853</v>
      </c>
      <c r="K7" s="4">
        <v>1.2048031420996539</v>
      </c>
      <c r="L7" s="4">
        <v>1.307956731037667</v>
      </c>
      <c r="M7" s="4">
        <v>1.4132037876879411</v>
      </c>
      <c r="N7" s="4">
        <v>1.52052616214882</v>
      </c>
      <c r="O7" s="4">
        <v>1.6299037634767011</v>
      </c>
      <c r="P7" s="4">
        <v>1.741314556220001</v>
      </c>
      <c r="Q7" s="4">
        <v>1.854734552245207</v>
      </c>
      <c r="R7" s="4">
        <v>1.9701378034418839</v>
      </c>
      <c r="S7" s="4">
        <v>2.0874963949806919</v>
      </c>
      <c r="T7" s="4">
        <v>2.206780439956145</v>
      </c>
      <c r="U7" s="4">
        <v>2.3279580756970009</v>
      </c>
      <c r="V7" s="4">
        <v>2.451400958906544</v>
      </c>
      <c r="W7" s="4">
        <v>2.577138634206888</v>
      </c>
      <c r="X7" s="4">
        <v>2.7052008709164261</v>
      </c>
      <c r="Y7" s="4">
        <v>2.835617659350016</v>
      </c>
      <c r="Z7" s="4">
        <v>2.9684192100592779</v>
      </c>
      <c r="AA7" s="4">
        <v>3.103635950849708</v>
      </c>
      <c r="AB7" s="4">
        <v>3.2412985276312249</v>
      </c>
      <c r="AC7" s="4">
        <v>3.3814377980172039</v>
      </c>
      <c r="AD7" s="4">
        <v>3.5240848292368052</v>
      </c>
      <c r="AE7" s="4">
        <v>3.669270896791287</v>
      </c>
    </row>
    <row r="8" spans="1:31" x14ac:dyDescent="0.2">
      <c r="A8" s="1" t="s">
        <v>35</v>
      </c>
      <c r="B8" s="5"/>
      <c r="C8" s="5"/>
      <c r="D8" s="4">
        <v>0</v>
      </c>
      <c r="E8" s="4">
        <v>0</v>
      </c>
      <c r="F8" s="4">
        <v>8.7052446148399271E-2</v>
      </c>
      <c r="G8" s="4">
        <v>0.1135814370987613</v>
      </c>
      <c r="H8" s="4">
        <v>0.13992690062681781</v>
      </c>
      <c r="I8" s="4">
        <v>0.16354773135224951</v>
      </c>
      <c r="J8" s="4">
        <v>0.18295639543630041</v>
      </c>
      <c r="K8" s="4">
        <v>0.19795116877058019</v>
      </c>
      <c r="L8" s="4">
        <v>0.20917976621753101</v>
      </c>
      <c r="M8" s="4">
        <v>0.21757219859288021</v>
      </c>
      <c r="N8" s="4">
        <v>0.2239903952274955</v>
      </c>
      <c r="O8" s="4">
        <v>0.2290974505318113</v>
      </c>
      <c r="P8" s="4">
        <v>0.23334090469320631</v>
      </c>
      <c r="Q8" s="4">
        <v>0.2381507381086401</v>
      </c>
      <c r="R8" s="4">
        <v>0.24258702265840021</v>
      </c>
      <c r="S8" s="4">
        <v>0.2467260604304802</v>
      </c>
      <c r="T8" s="4">
        <v>0.25063224146062901</v>
      </c>
      <c r="U8" s="4">
        <v>0.2543640817466632</v>
      </c>
      <c r="V8" s="4">
        <v>0.25796954774644448</v>
      </c>
      <c r="W8" s="4">
        <v>0.26148253892118678</v>
      </c>
      <c r="X8" s="4">
        <v>0.25997613143491799</v>
      </c>
      <c r="Y8" s="4">
        <v>0.25848309532462588</v>
      </c>
      <c r="Z8" s="4">
        <v>0.25701391978210408</v>
      </c>
      <c r="AA8" s="4">
        <v>0.25557791975338923</v>
      </c>
      <c r="AB8" s="4">
        <v>0.25418241815274539</v>
      </c>
      <c r="AC8" s="4">
        <v>0.25283533489045618</v>
      </c>
      <c r="AD8" s="4">
        <v>0.25130730152230518</v>
      </c>
      <c r="AE8" s="4">
        <v>0.2498332670606801</v>
      </c>
    </row>
    <row r="9" spans="1:31" x14ac:dyDescent="0.2">
      <c r="A9" s="1" t="s">
        <v>36</v>
      </c>
      <c r="B9" s="5"/>
      <c r="C9" s="5"/>
      <c r="D9" s="4">
        <v>0</v>
      </c>
      <c r="E9" s="4">
        <v>0</v>
      </c>
      <c r="F9" s="4">
        <v>0</v>
      </c>
      <c r="G9" s="4">
        <v>0.1170981765713603</v>
      </c>
      <c r="H9" s="4">
        <v>0.24928300835890041</v>
      </c>
      <c r="I9" s="4">
        <v>0.39763456085637489</v>
      </c>
      <c r="J9" s="4">
        <v>0.56345437022655853</v>
      </c>
      <c r="K9" s="4">
        <v>0.74777457247022427</v>
      </c>
      <c r="L9" s="4">
        <v>0.95177063365736425</v>
      </c>
      <c r="M9" s="4">
        <v>1.1766567031325259</v>
      </c>
      <c r="N9" s="4">
        <v>1.423685825883487</v>
      </c>
      <c r="O9" s="4">
        <v>1.694149768174072</v>
      </c>
      <c r="P9" s="4">
        <v>1.989378068682617</v>
      </c>
      <c r="Q9" s="4">
        <v>2.043952130216669</v>
      </c>
      <c r="R9" s="4">
        <v>2.099394157600909</v>
      </c>
      <c r="S9" s="4">
        <v>2.1556968105299181</v>
      </c>
      <c r="T9" s="4">
        <v>2.2128525279645328</v>
      </c>
      <c r="U9" s="4">
        <v>2.2708530227504982</v>
      </c>
      <c r="V9" s="4">
        <v>2.3303177701724951</v>
      </c>
      <c r="W9" s="4">
        <v>2.3912910884261569</v>
      </c>
      <c r="X9" s="4">
        <v>2.4538188520321582</v>
      </c>
      <c r="Y9" s="4">
        <v>2.5179499328280301</v>
      </c>
      <c r="Z9" s="4">
        <v>2.5837353035333899</v>
      </c>
      <c r="AA9" s="4">
        <v>2.6512280025942538</v>
      </c>
      <c r="AB9" s="4">
        <v>2.720479337498459</v>
      </c>
      <c r="AC9" s="4">
        <v>2.79154445309916</v>
      </c>
      <c r="AD9" s="4">
        <v>2.864480298412305</v>
      </c>
      <c r="AE9" s="4">
        <v>2.9393446690200471</v>
      </c>
    </row>
    <row r="10" spans="1:31" x14ac:dyDescent="0.2">
      <c r="A10" s="1" t="s">
        <v>37</v>
      </c>
      <c r="B10" s="5"/>
      <c r="C10" s="5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x14ac:dyDescent="0.2">
      <c r="A11" s="1" t="s">
        <v>38</v>
      </c>
      <c r="B11" s="5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x14ac:dyDescent="0.2">
      <c r="A12" s="1" t="s">
        <v>39</v>
      </c>
      <c r="B12" s="5"/>
      <c r="C12" s="5"/>
      <c r="D12" s="4">
        <v>0</v>
      </c>
      <c r="E12" s="4">
        <v>0</v>
      </c>
      <c r="F12" s="4">
        <v>0.98551390583631915</v>
      </c>
      <c r="G12" s="4">
        <v>1.2176309730650849</v>
      </c>
      <c r="H12" s="4">
        <v>1.424976706108366</v>
      </c>
      <c r="I12" s="4">
        <v>1.6039905357207951</v>
      </c>
      <c r="J12" s="4">
        <v>1.7589535896227011</v>
      </c>
      <c r="K12" s="4">
        <v>1.8900428064916059</v>
      </c>
      <c r="L12" s="4">
        <v>2.0088138241162898</v>
      </c>
      <c r="M12" s="4">
        <v>2.118808575700168</v>
      </c>
      <c r="N12" s="4">
        <v>2.222053534739532</v>
      </c>
      <c r="O12" s="4">
        <v>2.3206628277047998</v>
      </c>
      <c r="P12" s="4">
        <v>2.416521008336832</v>
      </c>
      <c r="Q12" s="4">
        <v>2.5108192011944408</v>
      </c>
      <c r="R12" s="4">
        <v>2.6038113679395098</v>
      </c>
      <c r="S12" s="4">
        <v>2.6944069417164558</v>
      </c>
      <c r="T12" s="4">
        <v>2.781484525524947</v>
      </c>
      <c r="U12" s="4">
        <v>2.863515552976045</v>
      </c>
      <c r="V12" s="4">
        <v>2.9386064908690481</v>
      </c>
      <c r="W12" s="4">
        <v>3.006788908491675</v>
      </c>
      <c r="X12" s="4">
        <v>3.064198101605641</v>
      </c>
      <c r="Y12" s="4">
        <v>3.104269727407015</v>
      </c>
      <c r="Z12" s="4">
        <v>3.1347956936364358</v>
      </c>
      <c r="AA12" s="4">
        <v>3.1556164802816009</v>
      </c>
      <c r="AB12" s="4">
        <v>3.165772080518749</v>
      </c>
      <c r="AC12" s="4">
        <v>3.164176837822545</v>
      </c>
      <c r="AD12" s="4">
        <v>3.1312139954589422</v>
      </c>
      <c r="AE12" s="4">
        <v>3.2774394576189771</v>
      </c>
    </row>
    <row r="14" spans="1:31" x14ac:dyDescent="0.2">
      <c r="A14" s="5" t="s">
        <v>40</v>
      </c>
      <c r="B14" s="57"/>
      <c r="C14" s="58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 spans="1:31" s="63" customFormat="1" x14ac:dyDescent="0.2">
      <c r="A15" s="5"/>
      <c r="B15" s="77" t="s">
        <v>137</v>
      </c>
      <c r="C15" s="61"/>
      <c r="D15" s="76">
        <v>316.71546480000001</v>
      </c>
      <c r="E15" s="76">
        <v>326.67616620000001</v>
      </c>
      <c r="F15" s="76">
        <v>337.46301319999998</v>
      </c>
      <c r="G15" s="76">
        <v>348.87601230000001</v>
      </c>
      <c r="H15" s="76">
        <v>360.72035290000002</v>
      </c>
      <c r="I15" s="76">
        <v>372.90909360000001</v>
      </c>
      <c r="J15" s="76">
        <v>385.6215646</v>
      </c>
      <c r="K15" s="76">
        <v>398.62402270000001</v>
      </c>
      <c r="L15" s="76">
        <v>411.91668429999999</v>
      </c>
      <c r="M15" s="76">
        <v>425.49944970000001</v>
      </c>
      <c r="N15" s="76">
        <v>439.37189219999999</v>
      </c>
      <c r="O15" s="76">
        <v>453.5332477</v>
      </c>
      <c r="P15" s="76">
        <v>467.98240470000002</v>
      </c>
      <c r="Q15" s="76">
        <v>482.71789430000001</v>
      </c>
      <c r="R15" s="76">
        <v>497.73788100000002</v>
      </c>
      <c r="S15" s="76">
        <v>513.04015340000001</v>
      </c>
      <c r="T15" s="76">
        <v>528.62211569999999</v>
      </c>
      <c r="U15" s="76">
        <v>544.48077909999995</v>
      </c>
      <c r="V15" s="76">
        <v>560.81520250000005</v>
      </c>
      <c r="W15" s="76">
        <v>577.63965859999996</v>
      </c>
      <c r="X15" s="76">
        <v>594.96884839999996</v>
      </c>
      <c r="Y15" s="76">
        <v>612.81791380000004</v>
      </c>
      <c r="Z15" s="76">
        <v>631.20245120000004</v>
      </c>
      <c r="AA15" s="76">
        <v>650.13852480000003</v>
      </c>
      <c r="AB15" s="76">
        <v>669.64268049999998</v>
      </c>
      <c r="AC15" s="76">
        <v>689.73196089999999</v>
      </c>
      <c r="AD15" s="76">
        <v>710.42391970000006</v>
      </c>
      <c r="AE15" s="76">
        <v>731.73663729999998</v>
      </c>
    </row>
    <row r="16" spans="1:31" s="63" customFormat="1" x14ac:dyDescent="0.2">
      <c r="A16" s="5"/>
      <c r="B16" s="77" t="s">
        <v>136</v>
      </c>
      <c r="C16" s="61"/>
      <c r="D16" s="59">
        <v>28.998359872493097</v>
      </c>
      <c r="E16" s="59">
        <v>30.074355006484847</v>
      </c>
      <c r="F16" s="59">
        <v>31.871247126979611</v>
      </c>
      <c r="G16" s="59">
        <v>31.871247126979611</v>
      </c>
      <c r="H16" s="59">
        <v>31.871247126979611</v>
      </c>
      <c r="I16" s="59">
        <v>31.871247126979611</v>
      </c>
      <c r="J16" s="59">
        <v>31.871247126979611</v>
      </c>
      <c r="K16" s="59">
        <v>31.871247126979611</v>
      </c>
      <c r="L16" s="59">
        <v>31.871247126979611</v>
      </c>
      <c r="M16" s="59">
        <v>31.871247126979611</v>
      </c>
      <c r="N16" s="59">
        <v>31.871247126979611</v>
      </c>
      <c r="O16" s="59">
        <v>31.871247126979611</v>
      </c>
      <c r="P16" s="59">
        <v>31.871247126979611</v>
      </c>
      <c r="Q16" s="59">
        <v>31.871247126979611</v>
      </c>
      <c r="R16" s="59">
        <v>31.871247126979611</v>
      </c>
      <c r="S16" s="59">
        <v>31.871247126979611</v>
      </c>
      <c r="T16" s="59">
        <v>31.871247126979611</v>
      </c>
      <c r="U16" s="59">
        <v>31.871247126979611</v>
      </c>
      <c r="V16" s="59">
        <v>31.871247126979611</v>
      </c>
      <c r="W16" s="59">
        <v>31.871247126979611</v>
      </c>
      <c r="X16" s="59">
        <v>31.871247126979611</v>
      </c>
      <c r="Y16" s="59">
        <v>31.871247126979611</v>
      </c>
      <c r="Z16" s="59">
        <v>31.871247126979611</v>
      </c>
      <c r="AA16" s="59">
        <v>31.871247126979611</v>
      </c>
      <c r="AB16" s="59">
        <v>31.871247126979611</v>
      </c>
      <c r="AC16" s="59">
        <v>31.871247126979611</v>
      </c>
      <c r="AD16" s="59">
        <v>31.871247126979611</v>
      </c>
      <c r="AE16" s="59">
        <v>31.871247126979611</v>
      </c>
    </row>
    <row r="17" spans="1:31" s="63" customFormat="1" x14ac:dyDescent="0.2">
      <c r="A17" s="65"/>
      <c r="B17" s="77" t="s">
        <v>138</v>
      </c>
      <c r="C17" s="5"/>
      <c r="D17" s="76">
        <f>+D15*(D16)/100</f>
        <v>91.842290254543201</v>
      </c>
      <c r="E17" s="76">
        <f t="shared" ref="E17:AE17" si="0">+E15*(E16)/100</f>
        <v>98.245749944562462</v>
      </c>
      <c r="F17" s="76">
        <f t="shared" si="0"/>
        <v>107.55367089912383</v>
      </c>
      <c r="G17" s="76">
        <f t="shared" si="0"/>
        <v>111.19113604688478</v>
      </c>
      <c r="H17" s="76">
        <f t="shared" si="0"/>
        <v>114.96607511007198</v>
      </c>
      <c r="I17" s="76">
        <f t="shared" si="0"/>
        <v>118.8507787802357</v>
      </c>
      <c r="J17" s="76">
        <f t="shared" si="0"/>
        <v>122.90240182859132</v>
      </c>
      <c r="K17" s="76">
        <f t="shared" si="0"/>
        <v>127.0464473822243</v>
      </c>
      <c r="L17" s="76">
        <f t="shared" si="0"/>
        <v>131.28298441051342</v>
      </c>
      <c r="M17" s="76">
        <f t="shared" si="0"/>
        <v>135.61198113782532</v>
      </c>
      <c r="N17" s="76">
        <f t="shared" si="0"/>
        <v>140.03330156954846</v>
      </c>
      <c r="O17" s="76">
        <f t="shared" si="0"/>
        <v>144.54670217748355</v>
      </c>
      <c r="P17" s="76">
        <f t="shared" si="0"/>
        <v>149.15182871271884</v>
      </c>
      <c r="Q17" s="76">
        <f t="shared" si="0"/>
        <v>153.84821301850522</v>
      </c>
      <c r="R17" s="76">
        <f t="shared" si="0"/>
        <v>158.6352700981017</v>
      </c>
      <c r="S17" s="76">
        <f t="shared" si="0"/>
        <v>163.51229515074928</v>
      </c>
      <c r="T17" s="76">
        <f t="shared" si="0"/>
        <v>168.47846086261509</v>
      </c>
      <c r="U17" s="76">
        <f t="shared" si="0"/>
        <v>173.53281466586495</v>
      </c>
      <c r="V17" s="76">
        <f t="shared" si="0"/>
        <v>178.73879911444615</v>
      </c>
      <c r="W17" s="76">
        <f t="shared" si="0"/>
        <v>184.10096309584733</v>
      </c>
      <c r="X17" s="76">
        <f t="shared" si="0"/>
        <v>189.62399200210868</v>
      </c>
      <c r="Y17" s="76">
        <f t="shared" si="0"/>
        <v>195.3127117455989</v>
      </c>
      <c r="Z17" s="76">
        <f t="shared" si="0"/>
        <v>201.17209309350488</v>
      </c>
      <c r="AA17" s="76">
        <f t="shared" si="0"/>
        <v>207.20725590670764</v>
      </c>
      <c r="AB17" s="76">
        <f t="shared" si="0"/>
        <v>213.42347356988549</v>
      </c>
      <c r="AC17" s="76">
        <f t="shared" si="0"/>
        <v>219.82617777220136</v>
      </c>
      <c r="AD17" s="76">
        <f t="shared" si="0"/>
        <v>226.42096309676219</v>
      </c>
      <c r="AE17" s="76">
        <f t="shared" si="0"/>
        <v>233.21359199253348</v>
      </c>
    </row>
    <row r="18" spans="1:31" s="63" customFormat="1" x14ac:dyDescent="0.2">
      <c r="A18" s="5"/>
      <c r="B18" s="60"/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spans="1:31" s="63" customFormat="1" x14ac:dyDescent="0.2">
      <c r="A19" s="5"/>
      <c r="B19" s="60"/>
      <c r="C19" s="61"/>
      <c r="D19" s="68" t="s">
        <v>135</v>
      </c>
      <c r="E19" s="69"/>
      <c r="F19" s="69"/>
      <c r="G19" s="69"/>
      <c r="H19" s="69"/>
      <c r="I19" s="69"/>
      <c r="J19" s="69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 spans="1:31" x14ac:dyDescent="0.2">
      <c r="A20" s="1" t="s">
        <v>30</v>
      </c>
      <c r="B20" s="5"/>
      <c r="C20" s="5"/>
      <c r="D20" s="74">
        <f>+D3/D$17</f>
        <v>0</v>
      </c>
      <c r="E20" s="74">
        <f>+E3/E$17</f>
        <v>0</v>
      </c>
      <c r="F20" s="74">
        <f>+F3/F$17</f>
        <v>1.5253385304325391E-2</v>
      </c>
      <c r="G20" s="74">
        <f>+G3/G$17</f>
        <v>3.1140093969849098E-3</v>
      </c>
      <c r="H20" s="74">
        <f>+H3/H$17</f>
        <v>1.6678600055635078E-2</v>
      </c>
      <c r="I20" s="74">
        <f>+I3/I$17</f>
        <v>2.186738818890839E-2</v>
      </c>
      <c r="J20" s="74">
        <f>+J3/J$17</f>
        <v>6.0385674040843974E-2</v>
      </c>
      <c r="K20" s="74">
        <f>+K3/K$17</f>
        <v>9.7297481601401156E-2</v>
      </c>
      <c r="L20" s="74">
        <f>+L3/L$17</f>
        <v>8.0223782077556385E-2</v>
      </c>
      <c r="M20" s="74">
        <f>+M3/M$17</f>
        <v>1.8603048998809331E-2</v>
      </c>
      <c r="N20" s="74">
        <f>+N3/N$17</f>
        <v>0</v>
      </c>
      <c r="O20" s="74">
        <f>+O3/O$17</f>
        <v>0</v>
      </c>
      <c r="P20" s="74">
        <f>+P3/P$17</f>
        <v>0</v>
      </c>
      <c r="Q20" s="74">
        <f>+Q3/Q$17</f>
        <v>1.1074693133731669E-3</v>
      </c>
      <c r="R20" s="74">
        <f>+R3/R$17</f>
        <v>1.0975926422988424E-2</v>
      </c>
      <c r="S20" s="74">
        <f>+S3/S$17</f>
        <v>9.940376265658234E-3</v>
      </c>
      <c r="T20" s="74">
        <f>+T3/T$17</f>
        <v>8.2142751364938718E-3</v>
      </c>
      <c r="U20" s="74">
        <f>+U3/U$17</f>
        <v>2.1108362118296446E-3</v>
      </c>
      <c r="V20" s="74">
        <f>+V3/V$17</f>
        <v>7.0202180567719942E-3</v>
      </c>
      <c r="W20" s="74">
        <f>+W3/W$17</f>
        <v>6.3867911921705219E-3</v>
      </c>
      <c r="X20" s="74">
        <f>+X3/X$17</f>
        <v>5.9534189223917726E-3</v>
      </c>
      <c r="Y20" s="74">
        <f>+Y3/Y$17</f>
        <v>0</v>
      </c>
      <c r="Z20" s="74">
        <f>+Z3/Z$17</f>
        <v>9.8870005514085698E-3</v>
      </c>
      <c r="AA20" s="74">
        <f>+AA3/AA$17</f>
        <v>5.3609473620412134E-3</v>
      </c>
      <c r="AB20" s="74">
        <f>+AB3/AB$17</f>
        <v>9.1321747222802493E-3</v>
      </c>
      <c r="AC20" s="74">
        <f>+AC3/AC$17</f>
        <v>8.1366899968248457E-3</v>
      </c>
      <c r="AD20" s="74">
        <f>+AD3/AD$17</f>
        <v>1.4811510837212081E-2</v>
      </c>
      <c r="AE20" s="74">
        <f>+AE3/AE$17</f>
        <v>3.053671659476322E-2</v>
      </c>
    </row>
    <row r="21" spans="1:31" x14ac:dyDescent="0.2">
      <c r="A21" s="1" t="s">
        <v>31</v>
      </c>
      <c r="B21" s="5"/>
      <c r="C21" s="5"/>
      <c r="D21" s="74">
        <f>+D4/D$17</f>
        <v>0</v>
      </c>
      <c r="E21" s="74">
        <f>+E4/E$17</f>
        <v>0</v>
      </c>
      <c r="F21" s="74">
        <f>+F4/F$17</f>
        <v>0</v>
      </c>
      <c r="G21" s="74">
        <f>+G4/G$17</f>
        <v>1.1145266917400121E-4</v>
      </c>
      <c r="H21" s="74">
        <f>+H4/H$17</f>
        <v>2.084216149531316E-4</v>
      </c>
      <c r="I21" s="74">
        <f>+I4/I$17</f>
        <v>2.9210479082633341E-4</v>
      </c>
      <c r="J21" s="74">
        <f>+J4/J$17</f>
        <v>3.6351543601976903E-4</v>
      </c>
      <c r="K21" s="74">
        <f>+K4/K$17</f>
        <v>5.1026448913002703E-4</v>
      </c>
      <c r="L21" s="74">
        <f>+L4/L$17</f>
        <v>6.6402198245311646E-4</v>
      </c>
      <c r="M21" s="74">
        <f>+M4/M$17</f>
        <v>8.5307480211996973E-4</v>
      </c>
      <c r="N21" s="74">
        <f>+N4/N$17</f>
        <v>1.1373101382151725E-3</v>
      </c>
      <c r="O21" s="74">
        <f>+O4/O$17</f>
        <v>1.6311169559098482E-3</v>
      </c>
      <c r="P21" s="74">
        <f>+P4/P$17</f>
        <v>2.4960792593396943E-3</v>
      </c>
      <c r="Q21" s="74">
        <f>+Q4/Q$17</f>
        <v>3.7972368218884668E-3</v>
      </c>
      <c r="R21" s="74">
        <f>+R4/R$17</f>
        <v>5.2548349546920744E-3</v>
      </c>
      <c r="S21" s="74">
        <f>+S4/S$17</f>
        <v>6.3904192639510794E-3</v>
      </c>
      <c r="T21" s="74">
        <f>+T4/T$17</f>
        <v>7.0224025243825977E-3</v>
      </c>
      <c r="U21" s="74">
        <f>+U4/U$17</f>
        <v>7.2842201687906942E-3</v>
      </c>
      <c r="V21" s="74">
        <f>+V4/V$17</f>
        <v>7.3501381406578985E-3</v>
      </c>
      <c r="W21" s="74">
        <f>+W4/W$17</f>
        <v>7.3280099791170825E-3</v>
      </c>
      <c r="X21" s="74">
        <f>+X4/X$17</f>
        <v>7.2696499354380157E-3</v>
      </c>
      <c r="Y21" s="74">
        <f>+Y4/Y$17</f>
        <v>7.1976298012692026E-3</v>
      </c>
      <c r="Z21" s="74">
        <f>+Z4/Z$17</f>
        <v>7.0812009777934618E-3</v>
      </c>
      <c r="AA21" s="74">
        <f>+AA4/AA$17</f>
        <v>6.9598775217618696E-3</v>
      </c>
      <c r="AB21" s="74">
        <f>+AB4/AB$17</f>
        <v>6.8436012453793075E-3</v>
      </c>
      <c r="AC21" s="74">
        <f>+AC4/AC$17</f>
        <v>6.7322358561588387E-3</v>
      </c>
      <c r="AD21" s="74">
        <f>+AD4/AD$17</f>
        <v>6.625646876647631E-3</v>
      </c>
      <c r="AE21" s="74">
        <f>+AE4/AE$17</f>
        <v>6.5237005174898569E-3</v>
      </c>
    </row>
    <row r="22" spans="1:31" x14ac:dyDescent="0.2">
      <c r="A22" s="1" t="s">
        <v>32</v>
      </c>
      <c r="B22" s="5"/>
      <c r="C22" s="5"/>
      <c r="D22" s="74">
        <f>+D5/D$17</f>
        <v>0</v>
      </c>
      <c r="E22" s="74">
        <f>+E5/E$17</f>
        <v>0</v>
      </c>
      <c r="F22" s="74">
        <f>+F5/F$17</f>
        <v>6.6343417617623114E-6</v>
      </c>
      <c r="G22" s="74">
        <f>+G5/G$17</f>
        <v>3.1332408806802271E-5</v>
      </c>
      <c r="H22" s="74">
        <f>+H5/H$17</f>
        <v>5.5807236440297946E-5</v>
      </c>
      <c r="I22" s="74">
        <f>+I5/I$17</f>
        <v>8.0060460671103087E-5</v>
      </c>
      <c r="J22" s="74">
        <f>+J5/J$17</f>
        <v>1.0410765412896874E-4</v>
      </c>
      <c r="K22" s="74">
        <f>+K5/K$17</f>
        <v>1.279316803144219E-4</v>
      </c>
      <c r="L22" s="74">
        <f>+L5/L$17</f>
        <v>1.5152586412722747E-4</v>
      </c>
      <c r="M22" s="74">
        <f>+M5/M$17</f>
        <v>1.7488263552327676E-4</v>
      </c>
      <c r="N22" s="74">
        <f>+N5/N$17</f>
        <v>7.5716334960803495E-4</v>
      </c>
      <c r="O22" s="74">
        <f>+O5/O$17</f>
        <v>1.2409436019325873E-3</v>
      </c>
      <c r="P22" s="74">
        <f>+P5/P$17</f>
        <v>1.6408160238351355E-3</v>
      </c>
      <c r="Q22" s="74">
        <f>+Q5/Q$17</f>
        <v>1.9694014944381024E-3</v>
      </c>
      <c r="R22" s="74">
        <f>+R5/R$17</f>
        <v>2.2375940703095272E-3</v>
      </c>
      <c r="S22" s="74">
        <f>+S5/S$17</f>
        <v>2.4547783290488749E-3</v>
      </c>
      <c r="T22" s="74">
        <f>+T5/T$17</f>
        <v>2.6290191189938502E-3</v>
      </c>
      <c r="U22" s="74">
        <f>+U5/U$17</f>
        <v>2.767230354604462E-3</v>
      </c>
      <c r="V22" s="74">
        <f>+V5/V$17</f>
        <v>2.8756941270238734E-3</v>
      </c>
      <c r="W22" s="74">
        <f>+W5/W$17</f>
        <v>2.9594759306880215E-3</v>
      </c>
      <c r="X22" s="74">
        <f>+X5/X$17</f>
        <v>3.0228666494178289E-3</v>
      </c>
      <c r="Y22" s="74">
        <f>+Y5/Y$17</f>
        <v>3.0694859015888741E-3</v>
      </c>
      <c r="Z22" s="74">
        <f>+Z5/Z$17</f>
        <v>3.1023756547556717E-3</v>
      </c>
      <c r="AA22" s="74">
        <f>+AA5/AA$17</f>
        <v>3.1240805832784221E-3</v>
      </c>
      <c r="AB22" s="74">
        <f>+AB5/AB$17</f>
        <v>3.1367236004945604E-3</v>
      </c>
      <c r="AC22" s="74">
        <f>+AC5/AC$17</f>
        <v>3.1420578293973995E-3</v>
      </c>
      <c r="AD22" s="74">
        <f>+AD5/AD$17</f>
        <v>3.1415225247838859E-3</v>
      </c>
      <c r="AE22" s="74">
        <f>+AE5/AE$17</f>
        <v>3.1362901351084721E-3</v>
      </c>
    </row>
    <row r="23" spans="1:31" x14ac:dyDescent="0.2">
      <c r="A23" s="1" t="s">
        <v>33</v>
      </c>
      <c r="B23" s="5"/>
      <c r="C23" s="5"/>
      <c r="D23" s="74">
        <f>+D6/D$17</f>
        <v>0</v>
      </c>
      <c r="E23" s="74">
        <f>+E6/E$17</f>
        <v>0</v>
      </c>
      <c r="F23" s="74">
        <f>+F6/F$17</f>
        <v>1.3926449931869474E-4</v>
      </c>
      <c r="G23" s="74">
        <f>+G6/G$17</f>
        <v>3.4714185891615047E-4</v>
      </c>
      <c r="H23" s="74">
        <f>+H6/H$17</f>
        <v>5.3799318167974141E-4</v>
      </c>
      <c r="I23" s="74">
        <f>+I6/I$17</f>
        <v>7.381432035031872E-4</v>
      </c>
      <c r="J23" s="74">
        <f>+J6/J$17</f>
        <v>9.2168644772990481E-4</v>
      </c>
      <c r="K23" s="74">
        <f>+K6/K$17</f>
        <v>1.0907167517194814E-3</v>
      </c>
      <c r="L23" s="74">
        <f>+L6/L$17</f>
        <v>1.2469088474364133E-3</v>
      </c>
      <c r="M23" s="74">
        <f>+M6/M$17</f>
        <v>1.3917576661698118E-3</v>
      </c>
      <c r="N23" s="74">
        <f>+N6/N$17</f>
        <v>1.5266056752426553E-3</v>
      </c>
      <c r="O23" s="74">
        <f>+O6/O$17</f>
        <v>1.6526009209698097E-3</v>
      </c>
      <c r="P23" s="74">
        <f>+P6/P$17</f>
        <v>1.7705665545700087E-3</v>
      </c>
      <c r="Q23" s="74">
        <f>+Q6/Q$17</f>
        <v>1.880894734575724E-3</v>
      </c>
      <c r="R23" s="74">
        <f>+R6/R$17</f>
        <v>1.9836894574497502E-3</v>
      </c>
      <c r="S23" s="74">
        <f>+S6/S$17</f>
        <v>2.0791080261914042E-3</v>
      </c>
      <c r="T23" s="74">
        <f>+T6/T$17</f>
        <v>2.1675409724003667E-3</v>
      </c>
      <c r="U23" s="74">
        <f>+U6/U$17</f>
        <v>2.2495331398830133E-3</v>
      </c>
      <c r="V23" s="74">
        <f>+V6/V$17</f>
        <v>2.3251889699732521E-3</v>
      </c>
      <c r="W23" s="74">
        <f>+W6/W$17</f>
        <v>2.3949728067992233E-3</v>
      </c>
      <c r="X23" s="74">
        <f>+X6/X$17</f>
        <v>2.4592844278373965E-3</v>
      </c>
      <c r="Y23" s="74">
        <f>+Y6/Y$17</f>
        <v>2.5184602698362971E-3</v>
      </c>
      <c r="Z23" s="74">
        <f>+Z6/Z$17</f>
        <v>2.5727900481557898E-3</v>
      </c>
      <c r="AA23" s="74">
        <f>+AA6/AA$17</f>
        <v>2.6225225956244018E-3</v>
      </c>
      <c r="AB23" s="74">
        <f>+AB6/AB$17</f>
        <v>2.6678734986891914E-3</v>
      </c>
      <c r="AC23" s="74">
        <f>+AC6/AC$17</f>
        <v>2.7090332733038184E-3</v>
      </c>
      <c r="AD23" s="74">
        <f>+AD6/AD$17</f>
        <v>2.7452158327257487E-3</v>
      </c>
      <c r="AE23" s="74">
        <f>+AE6/AE$17</f>
        <v>2.7774650551602494E-3</v>
      </c>
    </row>
    <row r="24" spans="1:31" x14ac:dyDescent="0.2">
      <c r="A24" s="1" t="s">
        <v>34</v>
      </c>
      <c r="B24" s="5"/>
      <c r="C24" s="5"/>
      <c r="D24" s="74">
        <f>+D7/D$17</f>
        <v>0</v>
      </c>
      <c r="E24" s="74">
        <f>+E7/E$17</f>
        <v>0</v>
      </c>
      <c r="F24" s="74">
        <f>+F7/F$17</f>
        <v>0</v>
      </c>
      <c r="G24" s="74">
        <f>+G7/G$17</f>
        <v>7.3200342321509638E-3</v>
      </c>
      <c r="H24" s="74">
        <f>+H7/H$17</f>
        <v>7.9006280531586804E-3</v>
      </c>
      <c r="I24" s="74">
        <f>+I7/I$17</f>
        <v>8.4546282755481681E-3</v>
      </c>
      <c r="J24" s="74">
        <f>+J7/J$17</f>
        <v>8.9807782739448512E-3</v>
      </c>
      <c r="K24" s="74">
        <f>+K7/K$17</f>
        <v>9.4831706586407383E-3</v>
      </c>
      <c r="L24" s="74">
        <f>+L7/L$17</f>
        <v>9.9628808478924476E-3</v>
      </c>
      <c r="M24" s="74">
        <f>+M7/M$17</f>
        <v>1.0420936084192091E-2</v>
      </c>
      <c r="N24" s="74">
        <f>+N7/N$17</f>
        <v>1.0858318307903642E-2</v>
      </c>
      <c r="O24" s="74">
        <f>+O7/O$17</f>
        <v>1.12759664449169E-2</v>
      </c>
      <c r="P24" s="74">
        <f>+P7/P$17</f>
        <v>1.1674778453933306E-2</v>
      </c>
      <c r="Q24" s="74">
        <f>+Q7/Q$17</f>
        <v>1.2055613229788474E-2</v>
      </c>
      <c r="R24" s="74">
        <f>+R7/R$17</f>
        <v>1.2419292394582429E-2</v>
      </c>
      <c r="S24" s="74">
        <f>+S7/S$17</f>
        <v>1.2766602004186511E-2</v>
      </c>
      <c r="T24" s="74">
        <f>+T7/T$17</f>
        <v>1.3098294159724386E-2</v>
      </c>
      <c r="U24" s="74">
        <f>+U7/U$17</f>
        <v>1.3415088553594041E-2</v>
      </c>
      <c r="V24" s="74">
        <f>+V7/V$17</f>
        <v>1.3714990651452885E-2</v>
      </c>
      <c r="W24" s="74">
        <f>+W7/W$17</f>
        <v>1.399850707388841E-2</v>
      </c>
      <c r="X24" s="74">
        <f>+X7/X$17</f>
        <v>1.4266131845206293E-2</v>
      </c>
      <c r="Y24" s="74">
        <f>+Y7/Y$17</f>
        <v>1.4518346675988501E-2</v>
      </c>
      <c r="Z24" s="74">
        <f>+Z7/Z$17</f>
        <v>1.4755621241558367E-2</v>
      </c>
      <c r="AA24" s="74">
        <f>+AA7/AA$17</f>
        <v>1.4978413459840806E-2</v>
      </c>
      <c r="AB24" s="74">
        <f>+AB7/AB$17</f>
        <v>1.5187169777601161E-2</v>
      </c>
      <c r="AC24" s="74">
        <f>+AC7/AC$17</f>
        <v>1.5382325400395564E-2</v>
      </c>
      <c r="AD24" s="74">
        <f>+AD7/AD$17</f>
        <v>1.5564304563666965E-2</v>
      </c>
      <c r="AE24" s="74">
        <f>+AE7/AE$17</f>
        <v>1.5733520784280711E-2</v>
      </c>
    </row>
    <row r="25" spans="1:31" x14ac:dyDescent="0.2">
      <c r="A25" s="1" t="s">
        <v>35</v>
      </c>
      <c r="B25" s="5"/>
      <c r="C25" s="5"/>
      <c r="D25" s="74">
        <f>+D8/D$17</f>
        <v>0</v>
      </c>
      <c r="E25" s="74">
        <f>+E8/E$17</f>
        <v>0</v>
      </c>
      <c r="F25" s="74">
        <f>+F8/F$17</f>
        <v>8.0938609924385602E-4</v>
      </c>
      <c r="G25" s="74">
        <f>+G8/G$17</f>
        <v>1.0214972266392587E-3</v>
      </c>
      <c r="H25" s="74">
        <f>+H8/H$17</f>
        <v>1.217114705297607E-3</v>
      </c>
      <c r="I25" s="74">
        <f>+I8/I$17</f>
        <v>1.376076227945144E-3</v>
      </c>
      <c r="J25" s="74">
        <f>+J8/J$17</f>
        <v>1.4886315703696725E-3</v>
      </c>
      <c r="K25" s="74">
        <f>+K8/K$17</f>
        <v>1.5581007800638156E-3</v>
      </c>
      <c r="L25" s="74">
        <f>+L8/L$17</f>
        <v>1.5933501752476878E-3</v>
      </c>
      <c r="M25" s="74">
        <f>+M8/M$17</f>
        <v>1.6043729821464446E-3</v>
      </c>
      <c r="N25" s="74">
        <f>+N8/N$17</f>
        <v>1.5995509119396804E-3</v>
      </c>
      <c r="O25" s="74">
        <f>+O8/O$17</f>
        <v>1.5849372353753945E-3</v>
      </c>
      <c r="P25" s="74">
        <f>+P8/P$17</f>
        <v>1.5644521874595581E-3</v>
      </c>
      <c r="Q25" s="74">
        <f>+Q8/Q$17</f>
        <v>1.547959078861675E-3</v>
      </c>
      <c r="R25" s="74">
        <f>+R8/R$17</f>
        <v>1.5292124034483748E-3</v>
      </c>
      <c r="S25" s="74">
        <f>+S8/S$17</f>
        <v>1.5089144226311082E-3</v>
      </c>
      <c r="T25" s="74">
        <f>+T8/T$17</f>
        <v>1.4876218608443118E-3</v>
      </c>
      <c r="U25" s="74">
        <f>+U8/U$17</f>
        <v>1.465798167547952E-3</v>
      </c>
      <c r="V25" s="74">
        <f>+V8/V$17</f>
        <v>1.4432767201331986E-3</v>
      </c>
      <c r="W25" s="74">
        <f>+W8/W$17</f>
        <v>1.4203214069285056E-3</v>
      </c>
      <c r="X25" s="74">
        <f>+X8/X$17</f>
        <v>1.3710086402570145E-3</v>
      </c>
      <c r="Y25" s="74">
        <f>+Y8/Y$17</f>
        <v>1.3234320132798547E-3</v>
      </c>
      <c r="Z25" s="74">
        <f>+Z8/Z$17</f>
        <v>1.2775823715401912E-3</v>
      </c>
      <c r="AA25" s="74">
        <f>+AA8/AA$17</f>
        <v>1.2334409750035967E-3</v>
      </c>
      <c r="AB25" s="74">
        <f>+AB8/AB$17</f>
        <v>1.190976858829511E-3</v>
      </c>
      <c r="AC25" s="74">
        <f>+AC8/AC$17</f>
        <v>1.1501602650456904E-3</v>
      </c>
      <c r="AD25" s="74">
        <f>+AD8/AD$17</f>
        <v>1.1099118124274902E-3</v>
      </c>
      <c r="AE25" s="74">
        <f>+AE8/AE$17</f>
        <v>1.0712637497932742E-3</v>
      </c>
    </row>
    <row r="26" spans="1:31" x14ac:dyDescent="0.2">
      <c r="A26" s="1" t="s">
        <v>36</v>
      </c>
      <c r="B26" s="5"/>
      <c r="C26" s="5"/>
      <c r="D26" s="74">
        <f>+D9/D$17</f>
        <v>0</v>
      </c>
      <c r="E26" s="74">
        <f>+E9/E$17</f>
        <v>0</v>
      </c>
      <c r="F26" s="74">
        <f>+F9/F$17</f>
        <v>0</v>
      </c>
      <c r="G26" s="74">
        <f>+G9/G$17</f>
        <v>1.0531251027238787E-3</v>
      </c>
      <c r="H26" s="74">
        <f>+H9/H$17</f>
        <v>2.1683179852859144E-3</v>
      </c>
      <c r="I26" s="74">
        <f>+I9/I$17</f>
        <v>3.3456622239861969E-3</v>
      </c>
      <c r="J26" s="74">
        <f>+J9/J$17</f>
        <v>4.5845676068429746E-3</v>
      </c>
      <c r="K26" s="74">
        <f>+K9/K$17</f>
        <v>5.8858361479444971E-3</v>
      </c>
      <c r="L26" s="74">
        <f>+L9/L$17</f>
        <v>7.249763843585692E-3</v>
      </c>
      <c r="M26" s="74">
        <f>+M9/M$17</f>
        <v>8.6766426775866119E-3</v>
      </c>
      <c r="N26" s="74">
        <f>+N9/N$17</f>
        <v>1.0166766118675022E-2</v>
      </c>
      <c r="O26" s="74">
        <f>+O9/O$17</f>
        <v>1.1720431823438546E-2</v>
      </c>
      <c r="P26" s="74">
        <f>+P9/P$17</f>
        <v>1.3337939506691238E-2</v>
      </c>
      <c r="Q26" s="74">
        <f>+Q9/Q$17</f>
        <v>1.3285511024888003E-2</v>
      </c>
      <c r="R26" s="74">
        <f>+R9/R$17</f>
        <v>1.3234094513172397E-2</v>
      </c>
      <c r="S26" s="74">
        <f>+S9/S$17</f>
        <v>1.3183698562499443E-2</v>
      </c>
      <c r="T26" s="74">
        <f>+T9/T$17</f>
        <v>1.3134334897378913E-2</v>
      </c>
      <c r="U26" s="74">
        <f>+U9/U$17</f>
        <v>1.3086015040573129E-2</v>
      </c>
      <c r="V26" s="74">
        <f>+V9/V$17</f>
        <v>1.3037559733633415E-2</v>
      </c>
      <c r="W26" s="74">
        <f>+W9/W$17</f>
        <v>1.2989019982373444E-2</v>
      </c>
      <c r="X26" s="74">
        <f>+X9/X$17</f>
        <v>1.2940445067757413E-2</v>
      </c>
      <c r="Y26" s="74">
        <f>+Y9/Y$17</f>
        <v>1.28918896794989E-2</v>
      </c>
      <c r="Z26" s="74">
        <f>+Z9/Z$17</f>
        <v>1.2843408167615318E-2</v>
      </c>
      <c r="AA26" s="74">
        <f>+AA9/AA$17</f>
        <v>1.2795053874889085E-2</v>
      </c>
      <c r="AB26" s="74">
        <f>+AB9/AB$17</f>
        <v>1.2746860933306094E-2</v>
      </c>
      <c r="AC26" s="74">
        <f>+AC9/AC$17</f>
        <v>1.2698871814948016E-2</v>
      </c>
      <c r="AD26" s="74">
        <f>+AD9/AD$17</f>
        <v>1.2651126729763772E-2</v>
      </c>
      <c r="AE26" s="74">
        <f>+AE9/AE$17</f>
        <v>1.2603659348954896E-2</v>
      </c>
    </row>
    <row r="27" spans="1:31" x14ac:dyDescent="0.2">
      <c r="A27" s="1" t="s">
        <v>37</v>
      </c>
      <c r="B27" s="5"/>
      <c r="C27" s="5"/>
      <c r="D27" s="74">
        <f>+D10/D$17</f>
        <v>0</v>
      </c>
      <c r="E27" s="74">
        <f>+E10/E$17</f>
        <v>0</v>
      </c>
      <c r="F27" s="74">
        <f>+F10/F$17</f>
        <v>0</v>
      </c>
      <c r="G27" s="74">
        <f>+G10/G$17</f>
        <v>0</v>
      </c>
      <c r="H27" s="74">
        <f>+H10/H$17</f>
        <v>0</v>
      </c>
      <c r="I27" s="74">
        <f>+I10/I$17</f>
        <v>0</v>
      </c>
      <c r="J27" s="74">
        <f>+J10/J$17</f>
        <v>0</v>
      </c>
      <c r="K27" s="74">
        <f>+K10/K$17</f>
        <v>0</v>
      </c>
      <c r="L27" s="74">
        <f>+L10/L$17</f>
        <v>0</v>
      </c>
      <c r="M27" s="74">
        <f>+M10/M$17</f>
        <v>0</v>
      </c>
      <c r="N27" s="74">
        <f>+N10/N$17</f>
        <v>0</v>
      </c>
      <c r="O27" s="74">
        <f>+O10/O$17</f>
        <v>0</v>
      </c>
      <c r="P27" s="74">
        <f>+P10/P$17</f>
        <v>0</v>
      </c>
      <c r="Q27" s="74">
        <f>+Q10/Q$17</f>
        <v>0</v>
      </c>
      <c r="R27" s="74">
        <f>+R10/R$17</f>
        <v>0</v>
      </c>
      <c r="S27" s="74">
        <f>+S10/S$17</f>
        <v>0</v>
      </c>
      <c r="T27" s="74">
        <f>+T10/T$17</f>
        <v>0</v>
      </c>
      <c r="U27" s="74">
        <f>+U10/U$17</f>
        <v>0</v>
      </c>
      <c r="V27" s="74">
        <f>+V10/V$17</f>
        <v>0</v>
      </c>
      <c r="W27" s="74">
        <f>+W10/W$17</f>
        <v>0</v>
      </c>
      <c r="X27" s="74">
        <f>+X10/X$17</f>
        <v>0</v>
      </c>
      <c r="Y27" s="74">
        <f>+Y10/Y$17</f>
        <v>0</v>
      </c>
      <c r="Z27" s="74">
        <f>+Z10/Z$17</f>
        <v>0</v>
      </c>
      <c r="AA27" s="74">
        <f>+AA10/AA$17</f>
        <v>0</v>
      </c>
      <c r="AB27" s="74">
        <f>+AB10/AB$17</f>
        <v>0</v>
      </c>
      <c r="AC27" s="74">
        <f>+AC10/AC$17</f>
        <v>0</v>
      </c>
      <c r="AD27" s="74">
        <f>+AD10/AD$17</f>
        <v>0</v>
      </c>
      <c r="AE27" s="74">
        <f>+AE10/AE$17</f>
        <v>0</v>
      </c>
    </row>
    <row r="28" spans="1:31" x14ac:dyDescent="0.2">
      <c r="A28" s="1" t="s">
        <v>38</v>
      </c>
      <c r="B28" s="5"/>
      <c r="C28" s="5"/>
      <c r="D28" s="74">
        <f>+D11/D$17</f>
        <v>0</v>
      </c>
      <c r="E28" s="74">
        <f>+E11/E$17</f>
        <v>0</v>
      </c>
      <c r="F28" s="74">
        <f>+F11/F$17</f>
        <v>0</v>
      </c>
      <c r="G28" s="74">
        <f>+G11/G$17</f>
        <v>0</v>
      </c>
      <c r="H28" s="74">
        <f>+H11/H$17</f>
        <v>0</v>
      </c>
      <c r="I28" s="74">
        <f>+I11/I$17</f>
        <v>0</v>
      </c>
      <c r="J28" s="74">
        <f>+J11/J$17</f>
        <v>0</v>
      </c>
      <c r="K28" s="74">
        <f>+K11/K$17</f>
        <v>0</v>
      </c>
      <c r="L28" s="74">
        <f>+L11/L$17</f>
        <v>0</v>
      </c>
      <c r="M28" s="74">
        <f>+M11/M$17</f>
        <v>0</v>
      </c>
      <c r="N28" s="74">
        <f>+N11/N$17</f>
        <v>0</v>
      </c>
      <c r="O28" s="74">
        <f>+O11/O$17</f>
        <v>0</v>
      </c>
      <c r="P28" s="74">
        <f>+P11/P$17</f>
        <v>0</v>
      </c>
      <c r="Q28" s="74">
        <f>+Q11/Q$17</f>
        <v>0</v>
      </c>
      <c r="R28" s="74">
        <f>+R11/R$17</f>
        <v>0</v>
      </c>
      <c r="S28" s="74">
        <f>+S11/S$17</f>
        <v>0</v>
      </c>
      <c r="T28" s="74">
        <f>+T11/T$17</f>
        <v>0</v>
      </c>
      <c r="U28" s="74">
        <f>+U11/U$17</f>
        <v>0</v>
      </c>
      <c r="V28" s="74">
        <f>+V11/V$17</f>
        <v>0</v>
      </c>
      <c r="W28" s="74">
        <f>+W11/W$17</f>
        <v>0</v>
      </c>
      <c r="X28" s="74">
        <f>+X11/X$17</f>
        <v>0</v>
      </c>
      <c r="Y28" s="74">
        <f>+Y11/Y$17</f>
        <v>0</v>
      </c>
      <c r="Z28" s="74">
        <f>+Z11/Z$17</f>
        <v>0</v>
      </c>
      <c r="AA28" s="74">
        <f>+AA11/AA$17</f>
        <v>0</v>
      </c>
      <c r="AB28" s="74">
        <f>+AB11/AB$17</f>
        <v>0</v>
      </c>
      <c r="AC28" s="74">
        <f>+AC11/AC$17</f>
        <v>0</v>
      </c>
      <c r="AD28" s="74">
        <f>+AD11/AD$17</f>
        <v>0</v>
      </c>
      <c r="AE28" s="74">
        <f>+AE11/AE$17</f>
        <v>0</v>
      </c>
    </row>
    <row r="29" spans="1:31" x14ac:dyDescent="0.2">
      <c r="A29" s="1" t="s">
        <v>39</v>
      </c>
      <c r="B29" s="5"/>
      <c r="C29" s="5"/>
      <c r="D29" s="74">
        <f>+D12/D$17</f>
        <v>0</v>
      </c>
      <c r="E29" s="74">
        <f>+E12/E$17</f>
        <v>0</v>
      </c>
      <c r="F29" s="74">
        <f>+F12/F$17</f>
        <v>9.1629964611867794E-3</v>
      </c>
      <c r="G29" s="74">
        <f>+G12/G$17</f>
        <v>1.095079172994203E-2</v>
      </c>
      <c r="H29" s="74">
        <f>+H12/H$17</f>
        <v>1.2394758234062095E-2</v>
      </c>
      <c r="I29" s="74">
        <f>+I12/I$17</f>
        <v>1.3495835300218756E-2</v>
      </c>
      <c r="J29" s="74">
        <f>+J12/J$17</f>
        <v>1.4311791823856026E-2</v>
      </c>
      <c r="K29" s="74">
        <f>+K12/K$17</f>
        <v>1.4876785974229857E-2</v>
      </c>
      <c r="L29" s="74">
        <f>+L12/L$17</f>
        <v>1.5301402791353818E-2</v>
      </c>
      <c r="M29" s="74">
        <f>+M12/M$17</f>
        <v>1.5624051488096601E-2</v>
      </c>
      <c r="N29" s="74">
        <f>+N12/N$17</f>
        <v>1.5868036458712893E-2</v>
      </c>
      <c r="O29" s="74">
        <f>+O12/O$17</f>
        <v>1.6054761490548179E-2</v>
      </c>
      <c r="P29" s="74">
        <f>+P12/P$17</f>
        <v>1.6201752463868815E-2</v>
      </c>
      <c r="Q29" s="74">
        <f>+Q12/Q$17</f>
        <v>1.6320106369337117E-2</v>
      </c>
      <c r="R29" s="74">
        <f>+R12/R$17</f>
        <v>1.6413823775313561E-2</v>
      </c>
      <c r="S29" s="74">
        <f>+S12/S$17</f>
        <v>1.6478313996096512E-2</v>
      </c>
      <c r="T29" s="74">
        <f>+T12/T$17</f>
        <v>1.6509436940981403E-2</v>
      </c>
      <c r="U29" s="74">
        <f>+U12/U$17</f>
        <v>1.6501291461731345E-2</v>
      </c>
      <c r="V29" s="74">
        <f>+V12/V$17</f>
        <v>1.6440786809737172E-2</v>
      </c>
      <c r="W29" s="74">
        <f>+W12/W$17</f>
        <v>1.633228234078422E-2</v>
      </c>
      <c r="X29" s="74">
        <f>+X12/X$17</f>
        <v>1.6159337588313012E-2</v>
      </c>
      <c r="Y29" s="74">
        <f>+Y12/Y$17</f>
        <v>1.5893843773212398E-2</v>
      </c>
      <c r="Z29" s="74">
        <f>+Z12/Z$17</f>
        <v>1.5582656845844823E-2</v>
      </c>
      <c r="AA29" s="74">
        <f>+AA12/AA$17</f>
        <v>1.5229275955965441E-2</v>
      </c>
      <c r="AB29" s="74">
        <f>+AB12/AB$17</f>
        <v>1.4833289082806149E-2</v>
      </c>
      <c r="AC29" s="74">
        <f>+AC12/AC$17</f>
        <v>1.4393994700219358E-2</v>
      </c>
      <c r="AD29" s="74">
        <f>+AD12/AD$17</f>
        <v>1.3829170023098971E-2</v>
      </c>
      <c r="AE29" s="74">
        <f>+AE12/AE$17</f>
        <v>1.4053380978429023E-2</v>
      </c>
    </row>
    <row r="30" spans="1:31" x14ac:dyDescent="0.2">
      <c r="A30" s="5"/>
      <c r="B30" s="5"/>
    </row>
    <row r="31" spans="1:31" s="63" customFormat="1" x14ac:dyDescent="0.2">
      <c r="A31" s="5"/>
      <c r="B31" s="5"/>
      <c r="D31" s="78">
        <f>+SUM(D20:D29)</f>
        <v>0</v>
      </c>
      <c r="E31" s="78">
        <f t="shared" ref="E31:AE31" si="1">+SUM(E20:E29)</f>
        <v>0</v>
      </c>
      <c r="F31" s="78">
        <f t="shared" si="1"/>
        <v>2.5371666705836484E-2</v>
      </c>
      <c r="G31" s="78">
        <f t="shared" si="1"/>
        <v>2.3949384625337994E-2</v>
      </c>
      <c r="H31" s="78">
        <f t="shared" si="1"/>
        <v>4.1161641066512544E-2</v>
      </c>
      <c r="I31" s="78">
        <f t="shared" si="1"/>
        <v>4.9649898671607282E-2</v>
      </c>
      <c r="J31" s="78">
        <f t="shared" si="1"/>
        <v>9.1140752853736143E-2</v>
      </c>
      <c r="K31" s="78">
        <f t="shared" si="1"/>
        <v>0.13083028808344399</v>
      </c>
      <c r="L31" s="78">
        <f t="shared" si="1"/>
        <v>0.11639363642965279</v>
      </c>
      <c r="M31" s="78">
        <f t="shared" si="1"/>
        <v>5.7348767334644141E-2</v>
      </c>
      <c r="N31" s="78">
        <f t="shared" si="1"/>
        <v>4.1913750960297105E-2</v>
      </c>
      <c r="O31" s="78">
        <f t="shared" si="1"/>
        <v>4.516075847309127E-2</v>
      </c>
      <c r="P31" s="78">
        <f t="shared" si="1"/>
        <v>4.8686384449697764E-2</v>
      </c>
      <c r="Q31" s="78">
        <f t="shared" si="1"/>
        <v>5.1964192067150729E-2</v>
      </c>
      <c r="R31" s="78">
        <f t="shared" si="1"/>
        <v>6.4048467991956529E-2</v>
      </c>
      <c r="S31" s="78">
        <f t="shared" si="1"/>
        <v>6.4802210870263166E-2</v>
      </c>
      <c r="T31" s="78">
        <f t="shared" si="1"/>
        <v>6.42629256111997E-2</v>
      </c>
      <c r="U31" s="78">
        <f t="shared" si="1"/>
        <v>5.8880013098554285E-2</v>
      </c>
      <c r="V31" s="78">
        <f t="shared" si="1"/>
        <v>6.4207853209383686E-2</v>
      </c>
      <c r="W31" s="78">
        <f t="shared" si="1"/>
        <v>6.3809380712749428E-2</v>
      </c>
      <c r="X31" s="78">
        <f t="shared" si="1"/>
        <v>6.3442143076618746E-2</v>
      </c>
      <c r="Y31" s="78">
        <f t="shared" si="1"/>
        <v>5.7413088114674035E-2</v>
      </c>
      <c r="Z31" s="78">
        <f t="shared" si="1"/>
        <v>6.7102635858672197E-2</v>
      </c>
      <c r="AA31" s="78">
        <f t="shared" si="1"/>
        <v>6.2303612328404832E-2</v>
      </c>
      <c r="AB31" s="78">
        <f t="shared" si="1"/>
        <v>6.5738669719386231E-2</v>
      </c>
      <c r="AC31" s="78">
        <f t="shared" si="1"/>
        <v>6.4345369136293531E-2</v>
      </c>
      <c r="AD31" s="78">
        <f t="shared" si="1"/>
        <v>7.0478409200326553E-2</v>
      </c>
      <c r="AE31" s="78">
        <f t="shared" si="1"/>
        <v>8.6435997163979705E-2</v>
      </c>
    </row>
    <row r="33" spans="1:31" x14ac:dyDescent="0.2">
      <c r="A33" s="8" t="s">
        <v>1</v>
      </c>
      <c r="B33" s="9" t="s">
        <v>83</v>
      </c>
      <c r="C33" s="9" t="s">
        <v>84</v>
      </c>
      <c r="D33" s="2" t="s">
        <v>2</v>
      </c>
      <c r="E33" s="2" t="s">
        <v>3</v>
      </c>
      <c r="F33" s="2" t="s">
        <v>4</v>
      </c>
      <c r="G33" s="2" t="s">
        <v>5</v>
      </c>
      <c r="H33" s="2" t="s">
        <v>6</v>
      </c>
      <c r="I33" s="2" t="s">
        <v>7</v>
      </c>
      <c r="J33" s="2" t="s">
        <v>8</v>
      </c>
      <c r="K33" s="2" t="s">
        <v>9</v>
      </c>
      <c r="L33" s="2" t="s">
        <v>10</v>
      </c>
      <c r="M33" s="2" t="s">
        <v>11</v>
      </c>
      <c r="N33" s="2" t="s">
        <v>12</v>
      </c>
      <c r="O33" s="2" t="s">
        <v>13</v>
      </c>
      <c r="P33" s="2" t="s">
        <v>14</v>
      </c>
      <c r="Q33" s="2" t="s">
        <v>15</v>
      </c>
      <c r="R33" s="2" t="s">
        <v>16</v>
      </c>
      <c r="S33" s="2" t="s">
        <v>17</v>
      </c>
      <c r="T33" s="2" t="s">
        <v>18</v>
      </c>
      <c r="U33" s="2" t="s">
        <v>19</v>
      </c>
      <c r="V33" s="2" t="s">
        <v>20</v>
      </c>
      <c r="W33" s="2" t="s">
        <v>21</v>
      </c>
      <c r="X33" s="2" t="s">
        <v>22</v>
      </c>
      <c r="Y33" s="2" t="s">
        <v>23</v>
      </c>
      <c r="Z33" s="2" t="s">
        <v>24</v>
      </c>
      <c r="AA33" s="2" t="s">
        <v>25</v>
      </c>
      <c r="AB33" s="2" t="s">
        <v>26</v>
      </c>
      <c r="AC33" s="2" t="s">
        <v>27</v>
      </c>
      <c r="AD33" s="2" t="s">
        <v>28</v>
      </c>
      <c r="AE33" s="2" t="s">
        <v>29</v>
      </c>
    </row>
    <row r="34" spans="1:31" x14ac:dyDescent="0.2">
      <c r="A34" s="49" t="s">
        <v>30</v>
      </c>
      <c r="B34" s="5" t="s">
        <v>85</v>
      </c>
      <c r="C34" s="10">
        <f>+C102</f>
        <v>0.25</v>
      </c>
      <c r="D34" s="4">
        <f t="shared" ref="D34:M36" si="2">+D$3*$C34</f>
        <v>0</v>
      </c>
      <c r="E34" s="4">
        <f t="shared" si="2"/>
        <v>0</v>
      </c>
      <c r="F34" s="4">
        <f t="shared" si="2"/>
        <v>0.41013939577973624</v>
      </c>
      <c r="G34" s="4">
        <f t="shared" si="2"/>
        <v>8.656256062785668E-2</v>
      </c>
      <c r="H34" s="4">
        <f t="shared" si="2"/>
        <v>0.47936829668174824</v>
      </c>
      <c r="I34" s="4">
        <f t="shared" si="2"/>
        <v>0.64973902903537251</v>
      </c>
      <c r="J34" s="4">
        <f t="shared" si="2"/>
        <v>1.8553860939145355</v>
      </c>
      <c r="K34" s="4">
        <f t="shared" si="2"/>
        <v>3.0903248441738373</v>
      </c>
      <c r="L34" s="4">
        <f t="shared" si="2"/>
        <v>2.6330043829600651</v>
      </c>
      <c r="M34" s="4">
        <f t="shared" si="2"/>
        <v>0.63069908248314277</v>
      </c>
      <c r="N34" s="4">
        <f t="shared" ref="N34:W36" si="3">+N$3*$C34</f>
        <v>0</v>
      </c>
      <c r="O34" s="4">
        <f t="shared" si="3"/>
        <v>0</v>
      </c>
      <c r="P34" s="4">
        <f t="shared" si="3"/>
        <v>0</v>
      </c>
      <c r="Q34" s="4">
        <f t="shared" si="3"/>
        <v>4.2595543708823173E-2</v>
      </c>
      <c r="R34" s="4">
        <f t="shared" si="3"/>
        <v>0.43529226317191499</v>
      </c>
      <c r="S34" s="4">
        <f t="shared" si="3"/>
        <v>0.40634343446495302</v>
      </c>
      <c r="T34" s="4">
        <f t="shared" si="3"/>
        <v>0.34598210802463375</v>
      </c>
      <c r="U34" s="4">
        <f t="shared" si="3"/>
        <v>9.1574837284357544E-2</v>
      </c>
      <c r="V34" s="4">
        <f t="shared" si="3"/>
        <v>0.31369633624724425</v>
      </c>
      <c r="W34" s="4">
        <f t="shared" si="3"/>
        <v>0.29395360239266699</v>
      </c>
      <c r="X34" s="4">
        <f t="shared" ref="X34:AE36" si="4">+X$3*$C34</f>
        <v>0.28222776553120499</v>
      </c>
      <c r="Y34" s="4">
        <f t="shared" si="4"/>
        <v>0</v>
      </c>
      <c r="Z34" s="4">
        <f t="shared" si="4"/>
        <v>0.49724714883587473</v>
      </c>
      <c r="AA34" s="4">
        <f t="shared" si="4"/>
        <v>0.27770679798721576</v>
      </c>
      <c r="AB34" s="4">
        <f t="shared" si="4"/>
        <v>0.48725511261903875</v>
      </c>
      <c r="AC34" s="4">
        <f t="shared" si="4"/>
        <v>0.44716436542982774</v>
      </c>
      <c r="AD34" s="4">
        <f t="shared" si="4"/>
        <v>0.83840913716992249</v>
      </c>
      <c r="AE34" s="47">
        <f t="shared" si="4"/>
        <v>1.780394341180684</v>
      </c>
    </row>
    <row r="35" spans="1:31" x14ac:dyDescent="0.2">
      <c r="A35" s="50"/>
      <c r="B35" s="5" t="s">
        <v>86</v>
      </c>
      <c r="C35" s="10">
        <f>+D102</f>
        <v>0.7</v>
      </c>
      <c r="D35" s="4">
        <f t="shared" si="2"/>
        <v>0</v>
      </c>
      <c r="E35" s="4">
        <f t="shared" si="2"/>
        <v>0</v>
      </c>
      <c r="F35" s="4">
        <f t="shared" si="2"/>
        <v>1.1483903081832614</v>
      </c>
      <c r="G35" s="4">
        <f t="shared" si="2"/>
        <v>0.24237516975799869</v>
      </c>
      <c r="H35" s="4">
        <f t="shared" si="2"/>
        <v>1.3422312307088951</v>
      </c>
      <c r="I35" s="4">
        <f t="shared" si="2"/>
        <v>1.819269281299043</v>
      </c>
      <c r="J35" s="4">
        <f t="shared" si="2"/>
        <v>5.1950810629606989</v>
      </c>
      <c r="K35" s="4">
        <f t="shared" si="2"/>
        <v>8.6529095636867446</v>
      </c>
      <c r="L35" s="4">
        <f t="shared" si="2"/>
        <v>7.372412272288182</v>
      </c>
      <c r="M35" s="4">
        <f t="shared" si="2"/>
        <v>1.7659574309527997</v>
      </c>
      <c r="N35" s="4">
        <f t="shared" si="3"/>
        <v>0</v>
      </c>
      <c r="O35" s="4">
        <f t="shared" si="3"/>
        <v>0</v>
      </c>
      <c r="P35" s="4">
        <f t="shared" si="3"/>
        <v>0</v>
      </c>
      <c r="Q35" s="4">
        <f t="shared" si="3"/>
        <v>0.11926752238470488</v>
      </c>
      <c r="R35" s="4">
        <f t="shared" si="3"/>
        <v>1.2188183368813619</v>
      </c>
      <c r="S35" s="4">
        <f t="shared" si="3"/>
        <v>1.1377616165018685</v>
      </c>
      <c r="T35" s="4">
        <f t="shared" si="3"/>
        <v>0.96874990246897441</v>
      </c>
      <c r="U35" s="4">
        <f t="shared" si="3"/>
        <v>0.25640954439620112</v>
      </c>
      <c r="V35" s="4">
        <f t="shared" si="3"/>
        <v>0.87834974149228384</v>
      </c>
      <c r="W35" s="4">
        <f t="shared" si="3"/>
        <v>0.82307008669946757</v>
      </c>
      <c r="X35" s="4">
        <f t="shared" si="4"/>
        <v>0.79023774348737397</v>
      </c>
      <c r="Y35" s="4">
        <f t="shared" si="4"/>
        <v>0</v>
      </c>
      <c r="Z35" s="4">
        <f t="shared" si="4"/>
        <v>1.3922920167404491</v>
      </c>
      <c r="AA35" s="4">
        <f t="shared" si="4"/>
        <v>0.77757903436420406</v>
      </c>
      <c r="AB35" s="4">
        <f t="shared" si="4"/>
        <v>1.3643143153333084</v>
      </c>
      <c r="AC35" s="4">
        <f t="shared" si="4"/>
        <v>1.2520602232035176</v>
      </c>
      <c r="AD35" s="4">
        <f t="shared" si="4"/>
        <v>2.3475455840757826</v>
      </c>
      <c r="AE35" s="47">
        <f t="shared" si="4"/>
        <v>4.9851041553059146</v>
      </c>
    </row>
    <row r="36" spans="1:31" x14ac:dyDescent="0.2">
      <c r="A36" s="51"/>
      <c r="B36" s="11" t="s">
        <v>87</v>
      </c>
      <c r="C36" s="12">
        <f>+E102</f>
        <v>0.05</v>
      </c>
      <c r="D36" s="13">
        <f t="shared" si="2"/>
        <v>0</v>
      </c>
      <c r="E36" s="13">
        <f t="shared" si="2"/>
        <v>0</v>
      </c>
      <c r="F36" s="13">
        <f t="shared" si="2"/>
        <v>8.2027879155947253E-2</v>
      </c>
      <c r="G36" s="13">
        <f t="shared" si="2"/>
        <v>1.7312512125571337E-2</v>
      </c>
      <c r="H36" s="13">
        <f t="shared" si="2"/>
        <v>9.5873659336349656E-2</v>
      </c>
      <c r="I36" s="13">
        <f t="shared" si="2"/>
        <v>0.12994780580707452</v>
      </c>
      <c r="J36" s="13">
        <f t="shared" si="2"/>
        <v>0.37107721878290711</v>
      </c>
      <c r="K36" s="13">
        <f t="shared" si="2"/>
        <v>0.61806496883476747</v>
      </c>
      <c r="L36" s="13">
        <f t="shared" si="2"/>
        <v>0.52660087659201305</v>
      </c>
      <c r="M36" s="13">
        <f t="shared" si="2"/>
        <v>0.12613981649662856</v>
      </c>
      <c r="N36" s="13">
        <f t="shared" si="3"/>
        <v>0</v>
      </c>
      <c r="O36" s="13">
        <f t="shared" si="3"/>
        <v>0</v>
      </c>
      <c r="P36" s="13">
        <f t="shared" si="3"/>
        <v>0</v>
      </c>
      <c r="Q36" s="13">
        <f t="shared" si="3"/>
        <v>8.519108741764635E-3</v>
      </c>
      <c r="R36" s="13">
        <f t="shared" si="3"/>
        <v>8.7058452634382999E-2</v>
      </c>
      <c r="S36" s="13">
        <f t="shared" si="3"/>
        <v>8.1268686892990605E-2</v>
      </c>
      <c r="T36" s="13">
        <f t="shared" si="3"/>
        <v>6.9196421604926756E-2</v>
      </c>
      <c r="U36" s="13">
        <f t="shared" si="3"/>
        <v>1.8314967456871511E-2</v>
      </c>
      <c r="V36" s="13">
        <f t="shared" si="3"/>
        <v>6.2739267249448852E-2</v>
      </c>
      <c r="W36" s="13">
        <f t="shared" si="3"/>
        <v>5.8790720478533398E-2</v>
      </c>
      <c r="X36" s="13">
        <f t="shared" si="4"/>
        <v>5.6445553106240998E-2</v>
      </c>
      <c r="Y36" s="13">
        <f t="shared" si="4"/>
        <v>0</v>
      </c>
      <c r="Z36" s="13">
        <f t="shared" si="4"/>
        <v>9.9449429767174954E-2</v>
      </c>
      <c r="AA36" s="13">
        <f t="shared" si="4"/>
        <v>5.5541359597443156E-2</v>
      </c>
      <c r="AB36" s="13">
        <f t="shared" si="4"/>
        <v>9.7451022523807759E-2</v>
      </c>
      <c r="AC36" s="13">
        <f t="shared" si="4"/>
        <v>8.943287308596555E-2</v>
      </c>
      <c r="AD36" s="13">
        <f t="shared" si="4"/>
        <v>0.16768182743398452</v>
      </c>
      <c r="AE36" s="48">
        <f t="shared" si="4"/>
        <v>0.35607886823613683</v>
      </c>
    </row>
    <row r="37" spans="1:31" x14ac:dyDescent="0.2">
      <c r="A37" s="49" t="s">
        <v>31</v>
      </c>
      <c r="B37" s="5" t="s">
        <v>85</v>
      </c>
      <c r="C37" s="10">
        <f>+C103</f>
        <v>0.1</v>
      </c>
      <c r="D37" s="4">
        <f t="shared" ref="D37:M39" si="5">+D$4*$C37</f>
        <v>0</v>
      </c>
      <c r="E37" s="4">
        <f t="shared" si="5"/>
        <v>0</v>
      </c>
      <c r="F37" s="4">
        <f t="shared" si="5"/>
        <v>0</v>
      </c>
      <c r="G37" s="4">
        <f t="shared" si="5"/>
        <v>1.239254890091481E-3</v>
      </c>
      <c r="H37" s="4">
        <f t="shared" si="5"/>
        <v>2.3961415039264232E-3</v>
      </c>
      <c r="I37" s="4">
        <f t="shared" si="5"/>
        <v>3.4716881875147577E-3</v>
      </c>
      <c r="J37" s="4">
        <f t="shared" si="5"/>
        <v>4.4676920188597233E-3</v>
      </c>
      <c r="K37" s="4">
        <f t="shared" si="5"/>
        <v>6.4827290569275543E-3</v>
      </c>
      <c r="L37" s="4">
        <f t="shared" si="5"/>
        <v>8.7174787570630709E-3</v>
      </c>
      <c r="M37" s="4">
        <f t="shared" si="5"/>
        <v>1.156871639742474E-2</v>
      </c>
      <c r="N37" s="4">
        <f t="shared" ref="N37:W39" si="6">+N$4*$C37</f>
        <v>1.592612935627901E-2</v>
      </c>
      <c r="O37" s="4">
        <f t="shared" si="6"/>
        <v>2.3577257684254442E-2</v>
      </c>
      <c r="P37" s="4">
        <f t="shared" si="6"/>
        <v>3.7229478614240419E-2</v>
      </c>
      <c r="Q37" s="4">
        <f t="shared" si="6"/>
        <v>5.8419809945560869E-2</v>
      </c>
      <c r="R37" s="4">
        <f t="shared" si="6"/>
        <v>8.3360216235852325E-2</v>
      </c>
      <c r="S37" s="4">
        <f t="shared" si="6"/>
        <v>0.10449121208242029</v>
      </c>
      <c r="T37" s="4">
        <f t="shared" si="6"/>
        <v>0.1183123568865723</v>
      </c>
      <c r="U37" s="4">
        <f t="shared" si="6"/>
        <v>0.12640512285361111</v>
      </c>
      <c r="V37" s="4">
        <f t="shared" si="6"/>
        <v>0.13137548645864811</v>
      </c>
      <c r="W37" s="4">
        <f t="shared" si="6"/>
        <v>0.1349093694731435</v>
      </c>
      <c r="X37" s="4">
        <f t="shared" ref="X37:AE39" si="7">+X$4*$C37</f>
        <v>0.13785000412156281</v>
      </c>
      <c r="Y37" s="4">
        <f t="shared" si="7"/>
        <v>0.14057885946268242</v>
      </c>
      <c r="Z37" s="4">
        <f t="shared" si="7"/>
        <v>0.14245400223184843</v>
      </c>
      <c r="AA37" s="4">
        <f t="shared" si="7"/>
        <v>0.14421371227310539</v>
      </c>
      <c r="AB37" s="4">
        <f t="shared" si="7"/>
        <v>0.1460585149516046</v>
      </c>
      <c r="AC37" s="4">
        <f t="shared" si="7"/>
        <v>0.14799216761203612</v>
      </c>
      <c r="AD37" s="4">
        <f t="shared" si="7"/>
        <v>0.1500185346949611</v>
      </c>
      <c r="AE37" s="47">
        <f t="shared" si="7"/>
        <v>0.1521415630767359</v>
      </c>
    </row>
    <row r="38" spans="1:31" x14ac:dyDescent="0.2">
      <c r="A38" s="50"/>
      <c r="B38" s="5" t="s">
        <v>86</v>
      </c>
      <c r="C38" s="10">
        <f>+D103</f>
        <v>0.3</v>
      </c>
      <c r="D38" s="4">
        <f t="shared" si="5"/>
        <v>0</v>
      </c>
      <c r="E38" s="4">
        <f t="shared" si="5"/>
        <v>0</v>
      </c>
      <c r="F38" s="4">
        <f t="shared" si="5"/>
        <v>0</v>
      </c>
      <c r="G38" s="4">
        <f t="shared" si="5"/>
        <v>3.7177646702744429E-3</v>
      </c>
      <c r="H38" s="4">
        <f t="shared" si="5"/>
        <v>7.1884245117792688E-3</v>
      </c>
      <c r="I38" s="4">
        <f t="shared" si="5"/>
        <v>1.0415064562544273E-2</v>
      </c>
      <c r="J38" s="4">
        <f t="shared" si="5"/>
        <v>1.3403076056579168E-2</v>
      </c>
      <c r="K38" s="4">
        <f t="shared" si="5"/>
        <v>1.9448187170782661E-2</v>
      </c>
      <c r="L38" s="4">
        <f t="shared" si="5"/>
        <v>2.6152436271189208E-2</v>
      </c>
      <c r="M38" s="4">
        <f t="shared" si="5"/>
        <v>3.4706149192274216E-2</v>
      </c>
      <c r="N38" s="4">
        <f t="shared" si="6"/>
        <v>4.7778388068837024E-2</v>
      </c>
      <c r="O38" s="4">
        <f t="shared" si="6"/>
        <v>7.0731773052763319E-2</v>
      </c>
      <c r="P38" s="4">
        <f t="shared" si="6"/>
        <v>0.11168843584272126</v>
      </c>
      <c r="Q38" s="4">
        <f t="shared" si="6"/>
        <v>0.17525942983668258</v>
      </c>
      <c r="R38" s="4">
        <f t="shared" si="6"/>
        <v>0.25008064870755697</v>
      </c>
      <c r="S38" s="4">
        <f t="shared" si="6"/>
        <v>0.31347363624726088</v>
      </c>
      <c r="T38" s="4">
        <f t="shared" si="6"/>
        <v>0.35493707065971686</v>
      </c>
      <c r="U38" s="4">
        <f t="shared" si="6"/>
        <v>0.37921536856083327</v>
      </c>
      <c r="V38" s="4">
        <f t="shared" si="6"/>
        <v>0.39412645937594426</v>
      </c>
      <c r="W38" s="4">
        <f t="shared" si="6"/>
        <v>0.40472810841943047</v>
      </c>
      <c r="X38" s="4">
        <f t="shared" si="7"/>
        <v>0.41355001236468841</v>
      </c>
      <c r="Y38" s="4">
        <f t="shared" si="7"/>
        <v>0.42173657838804718</v>
      </c>
      <c r="Z38" s="4">
        <f t="shared" si="7"/>
        <v>0.42736200669554519</v>
      </c>
      <c r="AA38" s="4">
        <f t="shared" si="7"/>
        <v>0.43264113681931621</v>
      </c>
      <c r="AB38" s="4">
        <f t="shared" si="7"/>
        <v>0.4381755448548138</v>
      </c>
      <c r="AC38" s="4">
        <f t="shared" si="7"/>
        <v>0.44397650283610829</v>
      </c>
      <c r="AD38" s="4">
        <f t="shared" si="7"/>
        <v>0.45005560408488327</v>
      </c>
      <c r="AE38" s="47">
        <f t="shared" si="7"/>
        <v>0.45642468923020768</v>
      </c>
    </row>
    <row r="39" spans="1:31" x14ac:dyDescent="0.2">
      <c r="A39" s="51"/>
      <c r="B39" s="11" t="s">
        <v>87</v>
      </c>
      <c r="C39" s="12">
        <f>+E103</f>
        <v>0.6</v>
      </c>
      <c r="D39" s="13">
        <f t="shared" si="5"/>
        <v>0</v>
      </c>
      <c r="E39" s="13">
        <f t="shared" si="5"/>
        <v>0</v>
      </c>
      <c r="F39" s="13">
        <f t="shared" si="5"/>
        <v>0</v>
      </c>
      <c r="G39" s="13">
        <f t="shared" si="5"/>
        <v>7.4355293405488857E-3</v>
      </c>
      <c r="H39" s="13">
        <f t="shared" si="5"/>
        <v>1.4376849023558538E-2</v>
      </c>
      <c r="I39" s="13">
        <f t="shared" si="5"/>
        <v>2.0830129125088546E-2</v>
      </c>
      <c r="J39" s="13">
        <f t="shared" si="5"/>
        <v>2.6806152113158337E-2</v>
      </c>
      <c r="K39" s="13">
        <f t="shared" si="5"/>
        <v>3.8896374341565322E-2</v>
      </c>
      <c r="L39" s="13">
        <f t="shared" si="5"/>
        <v>5.2304872542378415E-2</v>
      </c>
      <c r="M39" s="13">
        <f t="shared" si="5"/>
        <v>6.9412298384548432E-2</v>
      </c>
      <c r="N39" s="13">
        <f t="shared" si="6"/>
        <v>9.5556776137674049E-2</v>
      </c>
      <c r="O39" s="13">
        <f t="shared" si="6"/>
        <v>0.14146354610552664</v>
      </c>
      <c r="P39" s="13">
        <f t="shared" si="6"/>
        <v>0.22337687168544251</v>
      </c>
      <c r="Q39" s="13">
        <f t="shared" si="6"/>
        <v>0.35051885967336516</v>
      </c>
      <c r="R39" s="13">
        <f t="shared" si="6"/>
        <v>0.50016129741511395</v>
      </c>
      <c r="S39" s="13">
        <f t="shared" si="6"/>
        <v>0.62694727249452176</v>
      </c>
      <c r="T39" s="13">
        <f t="shared" si="6"/>
        <v>0.70987414131943372</v>
      </c>
      <c r="U39" s="13">
        <f t="shared" si="6"/>
        <v>0.75843073712166653</v>
      </c>
      <c r="V39" s="13">
        <f t="shared" si="6"/>
        <v>0.78825291875188852</v>
      </c>
      <c r="W39" s="13">
        <f t="shared" si="6"/>
        <v>0.80945621683886093</v>
      </c>
      <c r="X39" s="13">
        <f t="shared" si="7"/>
        <v>0.82710002472937683</v>
      </c>
      <c r="Y39" s="13">
        <f t="shared" si="7"/>
        <v>0.84347315677609436</v>
      </c>
      <c r="Z39" s="13">
        <f t="shared" si="7"/>
        <v>0.85472401339109039</v>
      </c>
      <c r="AA39" s="13">
        <f t="shared" si="7"/>
        <v>0.86528227363863242</v>
      </c>
      <c r="AB39" s="13">
        <f t="shared" si="7"/>
        <v>0.87635108970962761</v>
      </c>
      <c r="AC39" s="13">
        <f t="shared" si="7"/>
        <v>0.88795300567221658</v>
      </c>
      <c r="AD39" s="13">
        <f t="shared" si="7"/>
        <v>0.90011120816976653</v>
      </c>
      <c r="AE39" s="48">
        <f t="shared" si="7"/>
        <v>0.91284937846041536</v>
      </c>
    </row>
    <row r="40" spans="1:31" x14ac:dyDescent="0.2">
      <c r="A40" s="49" t="s">
        <v>32</v>
      </c>
      <c r="B40" s="5" t="s">
        <v>85</v>
      </c>
      <c r="C40" s="10">
        <f>+C104</f>
        <v>0.05</v>
      </c>
      <c r="D40" s="4">
        <f t="shared" ref="D40:M42" si="8">+D$5*$C40</f>
        <v>0</v>
      </c>
      <c r="E40" s="4">
        <f t="shared" si="8"/>
        <v>0</v>
      </c>
      <c r="F40" s="4">
        <f t="shared" si="8"/>
        <v>3.5677390523844854E-5</v>
      </c>
      <c r="G40" s="4">
        <f t="shared" si="8"/>
        <v>1.741943065156881E-4</v>
      </c>
      <c r="H40" s="4">
        <f t="shared" si="8"/>
        <v>3.2079694681404203E-4</v>
      </c>
      <c r="I40" s="4">
        <f t="shared" si="8"/>
        <v>4.7576240501325169E-4</v>
      </c>
      <c r="J40" s="4">
        <f t="shared" si="8"/>
        <v>6.397540370595261E-4</v>
      </c>
      <c r="K40" s="4">
        <f t="shared" si="8"/>
        <v>8.1266327457928708E-4</v>
      </c>
      <c r="L40" s="4">
        <f t="shared" si="8"/>
        <v>9.9463838290021907E-4</v>
      </c>
      <c r="M40" s="4">
        <f t="shared" si="8"/>
        <v>1.1858090334957896E-3</v>
      </c>
      <c r="N40" s="4">
        <f t="shared" ref="N40:W42" si="9">+N$5*$C40</f>
        <v>5.3014041836535707E-3</v>
      </c>
      <c r="O40" s="4">
        <f t="shared" si="9"/>
        <v>8.96871526238017E-3</v>
      </c>
      <c r="P40" s="4">
        <f t="shared" si="9"/>
        <v>1.2236535526807125E-2</v>
      </c>
      <c r="Q40" s="4">
        <f t="shared" si="9"/>
        <v>1.5149445031763787E-2</v>
      </c>
      <c r="R40" s="4">
        <f t="shared" si="9"/>
        <v>1.774806698567313E-2</v>
      </c>
      <c r="S40" s="4">
        <f t="shared" si="9"/>
        <v>2.0069321933455141E-2</v>
      </c>
      <c r="T40" s="4">
        <f t="shared" si="9"/>
        <v>2.214665473732361E-2</v>
      </c>
      <c r="U40" s="4">
        <f t="shared" si="9"/>
        <v>2.4010263613166594E-2</v>
      </c>
      <c r="V40" s="4">
        <f t="shared" si="9"/>
        <v>2.5699905744235637E-2</v>
      </c>
      <c r="W40" s="4">
        <f t="shared" si="9"/>
        <v>2.7242118454932199E-2</v>
      </c>
      <c r="X40" s="4">
        <f t="shared" ref="X40:AE42" si="10">+X$5*$C40</f>
        <v>2.8660402067632373E-2</v>
      </c>
      <c r="Y40" s="4">
        <f t="shared" si="10"/>
        <v>2.9975480755210379E-2</v>
      </c>
      <c r="Z40" s="4">
        <f t="shared" si="10"/>
        <v>3.120557020147656E-2</v>
      </c>
      <c r="AA40" s="4">
        <f t="shared" si="10"/>
        <v>3.2366608244627428E-2</v>
      </c>
      <c r="AB40" s="4">
        <f t="shared" si="10"/>
        <v>3.3472522322309343E-2</v>
      </c>
      <c r="AC40" s="4">
        <f t="shared" si="10"/>
        <v>3.4535328148782497E-2</v>
      </c>
      <c r="AD40" s="4">
        <f t="shared" si="10"/>
        <v>3.5565327782586968E-2</v>
      </c>
      <c r="AE40" s="47">
        <f t="shared" si="10"/>
        <v>3.6571274396969743E-2</v>
      </c>
    </row>
    <row r="41" spans="1:31" x14ac:dyDescent="0.2">
      <c r="A41" s="50"/>
      <c r="B41" s="5" t="s">
        <v>86</v>
      </c>
      <c r="C41" s="10">
        <f>+D104</f>
        <v>0.4</v>
      </c>
      <c r="D41" s="4">
        <f t="shared" si="8"/>
        <v>0</v>
      </c>
      <c r="E41" s="4">
        <f t="shared" si="8"/>
        <v>0</v>
      </c>
      <c r="F41" s="4">
        <f t="shared" si="8"/>
        <v>2.8541912419075883E-4</v>
      </c>
      <c r="G41" s="4">
        <f t="shared" si="8"/>
        <v>1.3935544521255048E-3</v>
      </c>
      <c r="H41" s="4">
        <f t="shared" si="8"/>
        <v>2.5663755745123362E-3</v>
      </c>
      <c r="I41" s="4">
        <f t="shared" si="8"/>
        <v>3.8060992401060135E-3</v>
      </c>
      <c r="J41" s="4">
        <f t="shared" si="8"/>
        <v>5.1180322964762088E-3</v>
      </c>
      <c r="K41" s="4">
        <f t="shared" si="8"/>
        <v>6.5013061966342966E-3</v>
      </c>
      <c r="L41" s="4">
        <f t="shared" si="8"/>
        <v>7.9571070632017526E-3</v>
      </c>
      <c r="M41" s="4">
        <f t="shared" si="8"/>
        <v>9.4864722679663168E-3</v>
      </c>
      <c r="N41" s="4">
        <f t="shared" si="9"/>
        <v>4.2411233469228565E-2</v>
      </c>
      <c r="O41" s="4">
        <f t="shared" si="9"/>
        <v>7.174972209904136E-2</v>
      </c>
      <c r="P41" s="4">
        <f t="shared" si="9"/>
        <v>9.7892284214457004E-2</v>
      </c>
      <c r="Q41" s="4">
        <f t="shared" si="9"/>
        <v>0.1211955602541103</v>
      </c>
      <c r="R41" s="4">
        <f t="shared" si="9"/>
        <v>0.14198453588538504</v>
      </c>
      <c r="S41" s="4">
        <f t="shared" si="9"/>
        <v>0.16055457546764113</v>
      </c>
      <c r="T41" s="4">
        <f t="shared" si="9"/>
        <v>0.17717323789858888</v>
      </c>
      <c r="U41" s="4">
        <f t="shared" si="9"/>
        <v>0.19208210890533275</v>
      </c>
      <c r="V41" s="4">
        <f t="shared" si="9"/>
        <v>0.2055992459538851</v>
      </c>
      <c r="W41" s="4">
        <f t="shared" si="9"/>
        <v>0.21793694763945759</v>
      </c>
      <c r="X41" s="4">
        <f t="shared" si="10"/>
        <v>0.22928321654105899</v>
      </c>
      <c r="Y41" s="4">
        <f t="shared" si="10"/>
        <v>0.23980384604168303</v>
      </c>
      <c r="Z41" s="4">
        <f t="shared" si="10"/>
        <v>0.24964456161181248</v>
      </c>
      <c r="AA41" s="4">
        <f t="shared" si="10"/>
        <v>0.25893286595701942</v>
      </c>
      <c r="AB41" s="4">
        <f t="shared" si="10"/>
        <v>0.26778017857847475</v>
      </c>
      <c r="AC41" s="4">
        <f t="shared" si="10"/>
        <v>0.27628262519025998</v>
      </c>
      <c r="AD41" s="4">
        <f t="shared" si="10"/>
        <v>0.28452262226069575</v>
      </c>
      <c r="AE41" s="47">
        <f t="shared" si="10"/>
        <v>0.29257019517575794</v>
      </c>
    </row>
    <row r="42" spans="1:31" x14ac:dyDescent="0.2">
      <c r="A42" s="51"/>
      <c r="B42" s="11" t="s">
        <v>87</v>
      </c>
      <c r="C42" s="12">
        <f>+E104</f>
        <v>0.55000000000000004</v>
      </c>
      <c r="D42" s="13">
        <f t="shared" si="8"/>
        <v>0</v>
      </c>
      <c r="E42" s="13">
        <f t="shared" si="8"/>
        <v>0</v>
      </c>
      <c r="F42" s="13">
        <f t="shared" si="8"/>
        <v>3.9245129576229339E-4</v>
      </c>
      <c r="G42" s="13">
        <f t="shared" si="8"/>
        <v>1.9161373716725691E-3</v>
      </c>
      <c r="H42" s="13">
        <f t="shared" si="8"/>
        <v>3.5287664149544623E-3</v>
      </c>
      <c r="I42" s="13">
        <f t="shared" si="8"/>
        <v>5.2333864551457688E-3</v>
      </c>
      <c r="J42" s="13">
        <f t="shared" si="8"/>
        <v>7.037294407654787E-3</v>
      </c>
      <c r="K42" s="13">
        <f t="shared" si="8"/>
        <v>8.9392960203721582E-3</v>
      </c>
      <c r="L42" s="13">
        <f t="shared" si="8"/>
        <v>1.0941022211902409E-2</v>
      </c>
      <c r="M42" s="13">
        <f t="shared" si="8"/>
        <v>1.3043899368453685E-2</v>
      </c>
      <c r="N42" s="13">
        <f t="shared" si="9"/>
        <v>5.8315446020189274E-2</v>
      </c>
      <c r="O42" s="13">
        <f t="shared" si="9"/>
        <v>9.8655867886181872E-2</v>
      </c>
      <c r="P42" s="13">
        <f t="shared" si="9"/>
        <v>0.13460189079487839</v>
      </c>
      <c r="Q42" s="13">
        <f t="shared" si="9"/>
        <v>0.16664389534940166</v>
      </c>
      <c r="R42" s="13">
        <f t="shared" si="9"/>
        <v>0.19522873684240444</v>
      </c>
      <c r="S42" s="13">
        <f t="shared" si="9"/>
        <v>0.22076254126800654</v>
      </c>
      <c r="T42" s="13">
        <f t="shared" si="9"/>
        <v>0.24361320211055973</v>
      </c>
      <c r="U42" s="13">
        <f t="shared" si="9"/>
        <v>0.26411289974483254</v>
      </c>
      <c r="V42" s="13">
        <f t="shared" si="9"/>
        <v>0.28269896318659199</v>
      </c>
      <c r="W42" s="13">
        <f t="shared" si="9"/>
        <v>0.2996633030042542</v>
      </c>
      <c r="X42" s="13">
        <f t="shared" si="10"/>
        <v>0.31526442274395611</v>
      </c>
      <c r="Y42" s="13">
        <f t="shared" si="10"/>
        <v>0.32973028830731416</v>
      </c>
      <c r="Z42" s="13">
        <f t="shared" si="10"/>
        <v>0.34326127221624214</v>
      </c>
      <c r="AA42" s="13">
        <f t="shared" si="10"/>
        <v>0.35603269069090171</v>
      </c>
      <c r="AB42" s="13">
        <f t="shared" si="10"/>
        <v>0.3681977455454028</v>
      </c>
      <c r="AC42" s="13">
        <f t="shared" si="10"/>
        <v>0.37988860963660748</v>
      </c>
      <c r="AD42" s="13">
        <f t="shared" si="10"/>
        <v>0.39121860560845667</v>
      </c>
      <c r="AE42" s="48">
        <f t="shared" si="10"/>
        <v>0.40228401836666722</v>
      </c>
    </row>
    <row r="43" spans="1:31" x14ac:dyDescent="0.2">
      <c r="A43" s="49" t="s">
        <v>33</v>
      </c>
      <c r="B43" s="5" t="s">
        <v>85</v>
      </c>
      <c r="C43" s="10">
        <f>+C105</f>
        <v>0.05</v>
      </c>
      <c r="D43" s="4">
        <f t="shared" ref="D43:M45" si="11">+D$6*$C43</f>
        <v>0</v>
      </c>
      <c r="E43" s="4">
        <f t="shared" si="11"/>
        <v>0</v>
      </c>
      <c r="F43" s="4">
        <f t="shared" si="11"/>
        <v>7.4892040638270757E-4</v>
      </c>
      <c r="G43" s="4">
        <f t="shared" si="11"/>
        <v>1.9299548831157084E-3</v>
      </c>
      <c r="H43" s="4">
        <f t="shared" si="11"/>
        <v>3.0925482266849877E-3</v>
      </c>
      <c r="I43" s="4">
        <f t="shared" si="11"/>
        <v>4.3864447293845898E-3</v>
      </c>
      <c r="J43" s="4">
        <f t="shared" si="11"/>
        <v>5.6638739079433852E-3</v>
      </c>
      <c r="K43" s="4">
        <f t="shared" si="11"/>
        <v>6.9285844203119855E-3</v>
      </c>
      <c r="L43" s="4">
        <f t="shared" si="11"/>
        <v>8.1848957389662955E-3</v>
      </c>
      <c r="M43" s="4">
        <f t="shared" si="11"/>
        <v>9.4369507186522154E-3</v>
      </c>
      <c r="N43" s="4">
        <f t="shared" ref="N43:W45" si="12">+N$6*$C43</f>
        <v>1.0688781644951946E-2</v>
      </c>
      <c r="O43" s="4">
        <f t="shared" si="12"/>
        <v>1.1943900657082906E-2</v>
      </c>
      <c r="P43" s="4">
        <f t="shared" si="12"/>
        <v>1.3204161973584736E-2</v>
      </c>
      <c r="Q43" s="4">
        <f t="shared" si="12"/>
        <v>1.4468614689519542E-2</v>
      </c>
      <c r="R43" s="4">
        <f t="shared" si="12"/>
        <v>1.5734155643664895E-2</v>
      </c>
      <c r="S43" s="4">
        <f t="shared" si="12"/>
        <v>1.6997986261445032E-2</v>
      </c>
      <c r="T43" s="4">
        <f t="shared" si="12"/>
        <v>1.8259198344333493E-2</v>
      </c>
      <c r="U43" s="4">
        <f t="shared" si="12"/>
        <v>1.9518390872402012E-2</v>
      </c>
      <c r="V43" s="4">
        <f t="shared" si="12"/>
        <v>2.0780074210358754E-2</v>
      </c>
      <c r="W43" s="4">
        <f t="shared" si="12"/>
        <v>2.2045840016005087E-2</v>
      </c>
      <c r="X43" s="4">
        <f t="shared" ref="X43:AE45" si="13">+X$6*$C43</f>
        <v>2.3316966533757446E-2</v>
      </c>
      <c r="Y43" s="4">
        <f t="shared" si="13"/>
        <v>2.4594365236264001E-2</v>
      </c>
      <c r="Z43" s="4">
        <f t="shared" si="13"/>
        <v>2.5878677953881976E-2</v>
      </c>
      <c r="AA43" s="4">
        <f t="shared" si="13"/>
        <v>2.7170285529633433E-2</v>
      </c>
      <c r="AB43" s="4">
        <f t="shared" si="13"/>
        <v>2.8469341456764531E-2</v>
      </c>
      <c r="AC43" s="4">
        <f t="shared" si="13"/>
        <v>2.9775821496404689E-2</v>
      </c>
      <c r="AD43" s="4">
        <f t="shared" si="13"/>
        <v>3.1078720637712207E-2</v>
      </c>
      <c r="AE43" s="47">
        <f t="shared" si="13"/>
        <v>3.2387130107383096E-2</v>
      </c>
    </row>
    <row r="44" spans="1:31" x14ac:dyDescent="0.2">
      <c r="A44" s="50"/>
      <c r="B44" s="5" t="s">
        <v>86</v>
      </c>
      <c r="C44" s="10">
        <f>+D105</f>
        <v>0.95</v>
      </c>
      <c r="D44" s="4">
        <f t="shared" si="11"/>
        <v>0</v>
      </c>
      <c r="E44" s="4">
        <f t="shared" si="11"/>
        <v>0</v>
      </c>
      <c r="F44" s="4">
        <f t="shared" si="11"/>
        <v>1.4229487721271441E-2</v>
      </c>
      <c r="G44" s="4">
        <f t="shared" si="11"/>
        <v>3.6669142779198458E-2</v>
      </c>
      <c r="H44" s="4">
        <f t="shared" si="11"/>
        <v>5.8758416307014762E-2</v>
      </c>
      <c r="I44" s="4">
        <f t="shared" si="11"/>
        <v>8.3342449858307202E-2</v>
      </c>
      <c r="J44" s="4">
        <f t="shared" si="11"/>
        <v>0.10761360425092431</v>
      </c>
      <c r="K44" s="4">
        <f t="shared" si="11"/>
        <v>0.13164310398592771</v>
      </c>
      <c r="L44" s="4">
        <f t="shared" si="11"/>
        <v>0.15551301904035961</v>
      </c>
      <c r="M44" s="4">
        <f t="shared" si="11"/>
        <v>0.17930206365439208</v>
      </c>
      <c r="N44" s="4">
        <f t="shared" si="12"/>
        <v>0.20308685125408693</v>
      </c>
      <c r="O44" s="4">
        <f t="shared" si="12"/>
        <v>0.22693411248457518</v>
      </c>
      <c r="P44" s="4">
        <f t="shared" si="12"/>
        <v>0.25087907749810995</v>
      </c>
      <c r="Q44" s="4">
        <f t="shared" si="12"/>
        <v>0.27490367910087127</v>
      </c>
      <c r="R44" s="4">
        <f t="shared" si="12"/>
        <v>0.29894895722963299</v>
      </c>
      <c r="S44" s="4">
        <f t="shared" si="12"/>
        <v>0.32296173896745556</v>
      </c>
      <c r="T44" s="4">
        <f t="shared" si="12"/>
        <v>0.34692476854233634</v>
      </c>
      <c r="U44" s="4">
        <f t="shared" si="12"/>
        <v>0.37084942657563819</v>
      </c>
      <c r="V44" s="4">
        <f t="shared" si="12"/>
        <v>0.39482140999681631</v>
      </c>
      <c r="W44" s="4">
        <f t="shared" si="12"/>
        <v>0.4188709603040966</v>
      </c>
      <c r="X44" s="4">
        <f t="shared" si="13"/>
        <v>0.4430223641413914</v>
      </c>
      <c r="Y44" s="4">
        <f t="shared" si="13"/>
        <v>0.46729293948901596</v>
      </c>
      <c r="Z44" s="4">
        <f t="shared" si="13"/>
        <v>0.49169488112375748</v>
      </c>
      <c r="AA44" s="4">
        <f t="shared" si="13"/>
        <v>0.51623542506303521</v>
      </c>
      <c r="AB44" s="4">
        <f t="shared" si="13"/>
        <v>0.54091748767852599</v>
      </c>
      <c r="AC44" s="4">
        <f t="shared" si="13"/>
        <v>0.56574060843168905</v>
      </c>
      <c r="AD44" s="4">
        <f t="shared" si="13"/>
        <v>0.59049569211653186</v>
      </c>
      <c r="AE44" s="47">
        <f t="shared" si="13"/>
        <v>0.61535547204027874</v>
      </c>
    </row>
    <row r="45" spans="1:31" x14ac:dyDescent="0.2">
      <c r="A45" s="51"/>
      <c r="B45" s="11" t="s">
        <v>87</v>
      </c>
      <c r="C45" s="12">
        <f>+E105</f>
        <v>0</v>
      </c>
      <c r="D45" s="13">
        <f t="shared" si="11"/>
        <v>0</v>
      </c>
      <c r="E45" s="13">
        <f t="shared" si="11"/>
        <v>0</v>
      </c>
      <c r="F45" s="13">
        <f t="shared" si="11"/>
        <v>0</v>
      </c>
      <c r="G45" s="13">
        <f t="shared" si="11"/>
        <v>0</v>
      </c>
      <c r="H45" s="13">
        <f t="shared" si="11"/>
        <v>0</v>
      </c>
      <c r="I45" s="13">
        <f t="shared" si="11"/>
        <v>0</v>
      </c>
      <c r="J45" s="13">
        <f t="shared" si="11"/>
        <v>0</v>
      </c>
      <c r="K45" s="13">
        <f t="shared" si="11"/>
        <v>0</v>
      </c>
      <c r="L45" s="13">
        <f t="shared" si="11"/>
        <v>0</v>
      </c>
      <c r="M45" s="13">
        <f t="shared" si="11"/>
        <v>0</v>
      </c>
      <c r="N45" s="13">
        <f t="shared" si="12"/>
        <v>0</v>
      </c>
      <c r="O45" s="13">
        <f t="shared" si="12"/>
        <v>0</v>
      </c>
      <c r="P45" s="13">
        <f t="shared" si="12"/>
        <v>0</v>
      </c>
      <c r="Q45" s="13">
        <f t="shared" si="12"/>
        <v>0</v>
      </c>
      <c r="R45" s="13">
        <f t="shared" si="12"/>
        <v>0</v>
      </c>
      <c r="S45" s="13">
        <f t="shared" si="12"/>
        <v>0</v>
      </c>
      <c r="T45" s="13">
        <f t="shared" si="12"/>
        <v>0</v>
      </c>
      <c r="U45" s="13">
        <f t="shared" si="12"/>
        <v>0</v>
      </c>
      <c r="V45" s="13">
        <f t="shared" si="12"/>
        <v>0</v>
      </c>
      <c r="W45" s="13">
        <f t="shared" si="12"/>
        <v>0</v>
      </c>
      <c r="X45" s="13">
        <f t="shared" si="13"/>
        <v>0</v>
      </c>
      <c r="Y45" s="13">
        <f t="shared" si="13"/>
        <v>0</v>
      </c>
      <c r="Z45" s="13">
        <f t="shared" si="13"/>
        <v>0</v>
      </c>
      <c r="AA45" s="13">
        <f t="shared" si="13"/>
        <v>0</v>
      </c>
      <c r="AB45" s="13">
        <f t="shared" si="13"/>
        <v>0</v>
      </c>
      <c r="AC45" s="13">
        <f t="shared" si="13"/>
        <v>0</v>
      </c>
      <c r="AD45" s="13">
        <f t="shared" si="13"/>
        <v>0</v>
      </c>
      <c r="AE45" s="48">
        <f t="shared" si="13"/>
        <v>0</v>
      </c>
    </row>
    <row r="46" spans="1:31" x14ac:dyDescent="0.2">
      <c r="A46" s="49" t="s">
        <v>34</v>
      </c>
      <c r="B46" s="5" t="s">
        <v>85</v>
      </c>
      <c r="C46" s="10">
        <f>+C106</f>
        <v>0.05</v>
      </c>
      <c r="D46" s="4">
        <f t="shared" ref="D46:M48" si="14">+D$7*$C46</f>
        <v>0</v>
      </c>
      <c r="E46" s="4">
        <f t="shared" si="14"/>
        <v>0</v>
      </c>
      <c r="F46" s="4">
        <f t="shared" si="14"/>
        <v>0</v>
      </c>
      <c r="G46" s="4">
        <f t="shared" si="14"/>
        <v>4.0696146108747583E-2</v>
      </c>
      <c r="H46" s="4">
        <f t="shared" si="14"/>
        <v>4.541520990880913E-2</v>
      </c>
      <c r="I46" s="4">
        <f t="shared" si="14"/>
        <v>5.0241957742315047E-2</v>
      </c>
      <c r="J46" s="4">
        <f t="shared" si="14"/>
        <v>5.5187961007892652E-2</v>
      </c>
      <c r="K46" s="4">
        <f t="shared" si="14"/>
        <v>6.0240157104982699E-2</v>
      </c>
      <c r="L46" s="4">
        <f t="shared" si="14"/>
        <v>6.5397836551883345E-2</v>
      </c>
      <c r="M46" s="4">
        <f t="shared" si="14"/>
        <v>7.0660189384397054E-2</v>
      </c>
      <c r="N46" s="4">
        <f t="shared" ref="N46:W48" si="15">+N$7*$C46</f>
        <v>7.6026308107441001E-2</v>
      </c>
      <c r="O46" s="4">
        <f t="shared" si="15"/>
        <v>8.1495188173835054E-2</v>
      </c>
      <c r="P46" s="4">
        <f t="shared" si="15"/>
        <v>8.7065727811000054E-2</v>
      </c>
      <c r="Q46" s="4">
        <f t="shared" si="15"/>
        <v>9.2736727612260358E-2</v>
      </c>
      <c r="R46" s="4">
        <f t="shared" si="15"/>
        <v>9.85068901720942E-2</v>
      </c>
      <c r="S46" s="4">
        <f t="shared" si="15"/>
        <v>0.10437481974903461</v>
      </c>
      <c r="T46" s="4">
        <f t="shared" si="15"/>
        <v>0.11033902199780726</v>
      </c>
      <c r="U46" s="4">
        <f t="shared" si="15"/>
        <v>0.11639790378485004</v>
      </c>
      <c r="V46" s="4">
        <f t="shared" si="15"/>
        <v>0.12257004794532721</v>
      </c>
      <c r="W46" s="4">
        <f t="shared" si="15"/>
        <v>0.1288569317103444</v>
      </c>
      <c r="X46" s="4">
        <f t="shared" ref="X46:AE48" si="16">+X$7*$C46</f>
        <v>0.1352600435458213</v>
      </c>
      <c r="Y46" s="4">
        <f t="shared" si="16"/>
        <v>0.1417808829675008</v>
      </c>
      <c r="Z46" s="4">
        <f t="shared" si="16"/>
        <v>0.14842096050296391</v>
      </c>
      <c r="AA46" s="4">
        <f t="shared" si="16"/>
        <v>0.1551817975424854</v>
      </c>
      <c r="AB46" s="4">
        <f t="shared" si="16"/>
        <v>0.16206492638156125</v>
      </c>
      <c r="AC46" s="4">
        <f t="shared" si="16"/>
        <v>0.16907188990086019</v>
      </c>
      <c r="AD46" s="4">
        <f t="shared" si="16"/>
        <v>0.17620424146184027</v>
      </c>
      <c r="AE46" s="47">
        <f t="shared" si="16"/>
        <v>0.18346354483956437</v>
      </c>
    </row>
    <row r="47" spans="1:31" x14ac:dyDescent="0.2">
      <c r="A47" s="50"/>
      <c r="B47" s="5" t="s">
        <v>86</v>
      </c>
      <c r="C47" s="10">
        <f>+D106</f>
        <v>0.95</v>
      </c>
      <c r="D47" s="4">
        <f t="shared" si="14"/>
        <v>0</v>
      </c>
      <c r="E47" s="4">
        <f t="shared" si="14"/>
        <v>0</v>
      </c>
      <c r="F47" s="4">
        <f t="shared" si="14"/>
        <v>0</v>
      </c>
      <c r="G47" s="4">
        <f t="shared" si="14"/>
        <v>0.77322677606620394</v>
      </c>
      <c r="H47" s="4">
        <f t="shared" si="14"/>
        <v>0.86288898826737337</v>
      </c>
      <c r="I47" s="4">
        <f t="shared" si="14"/>
        <v>0.95459719710398583</v>
      </c>
      <c r="J47" s="4">
        <f t="shared" si="14"/>
        <v>1.0485712591499603</v>
      </c>
      <c r="K47" s="4">
        <f t="shared" si="14"/>
        <v>1.1445629849946712</v>
      </c>
      <c r="L47" s="4">
        <f t="shared" si="14"/>
        <v>1.2425588944857835</v>
      </c>
      <c r="M47" s="4">
        <f t="shared" si="14"/>
        <v>1.3425435983035439</v>
      </c>
      <c r="N47" s="4">
        <f t="shared" si="15"/>
        <v>1.4444998540413789</v>
      </c>
      <c r="O47" s="4">
        <f t="shared" si="15"/>
        <v>1.548408575302866</v>
      </c>
      <c r="P47" s="4">
        <f t="shared" si="15"/>
        <v>1.6542488284090009</v>
      </c>
      <c r="Q47" s="4">
        <f t="shared" si="15"/>
        <v>1.7619978246329466</v>
      </c>
      <c r="R47" s="4">
        <f t="shared" si="15"/>
        <v>1.8716309132697897</v>
      </c>
      <c r="S47" s="4">
        <f t="shared" si="15"/>
        <v>1.9831215752316573</v>
      </c>
      <c r="T47" s="4">
        <f t="shared" si="15"/>
        <v>2.0964414179583377</v>
      </c>
      <c r="U47" s="4">
        <f t="shared" si="15"/>
        <v>2.2115601719121507</v>
      </c>
      <c r="V47" s="4">
        <f t="shared" si="15"/>
        <v>2.3288309109612166</v>
      </c>
      <c r="W47" s="4">
        <f t="shared" si="15"/>
        <v>2.4482817024965433</v>
      </c>
      <c r="X47" s="4">
        <f t="shared" si="16"/>
        <v>2.5699408273706048</v>
      </c>
      <c r="Y47" s="4">
        <f t="shared" si="16"/>
        <v>2.6938367763825148</v>
      </c>
      <c r="Z47" s="4">
        <f t="shared" si="16"/>
        <v>2.8199982495563138</v>
      </c>
      <c r="AA47" s="4">
        <f t="shared" si="16"/>
        <v>2.9484541533072224</v>
      </c>
      <c r="AB47" s="4">
        <f t="shared" si="16"/>
        <v>3.0792336012496637</v>
      </c>
      <c r="AC47" s="4">
        <f t="shared" si="16"/>
        <v>3.2123659081163436</v>
      </c>
      <c r="AD47" s="4">
        <f t="shared" si="16"/>
        <v>3.3478805877749647</v>
      </c>
      <c r="AE47" s="47">
        <f t="shared" si="16"/>
        <v>3.4858073519517223</v>
      </c>
    </row>
    <row r="48" spans="1:31" x14ac:dyDescent="0.2">
      <c r="A48" s="51"/>
      <c r="B48" s="11" t="s">
        <v>87</v>
      </c>
      <c r="C48" s="12">
        <f>+E106</f>
        <v>0</v>
      </c>
      <c r="D48" s="13">
        <f t="shared" si="14"/>
        <v>0</v>
      </c>
      <c r="E48" s="13">
        <f t="shared" si="14"/>
        <v>0</v>
      </c>
      <c r="F48" s="13">
        <f t="shared" si="14"/>
        <v>0</v>
      </c>
      <c r="G48" s="13">
        <f t="shared" si="14"/>
        <v>0</v>
      </c>
      <c r="H48" s="13">
        <f t="shared" si="14"/>
        <v>0</v>
      </c>
      <c r="I48" s="13">
        <f t="shared" si="14"/>
        <v>0</v>
      </c>
      <c r="J48" s="13">
        <f t="shared" si="14"/>
        <v>0</v>
      </c>
      <c r="K48" s="13">
        <f t="shared" si="14"/>
        <v>0</v>
      </c>
      <c r="L48" s="13">
        <f t="shared" si="14"/>
        <v>0</v>
      </c>
      <c r="M48" s="13">
        <f t="shared" si="14"/>
        <v>0</v>
      </c>
      <c r="N48" s="13">
        <f t="shared" si="15"/>
        <v>0</v>
      </c>
      <c r="O48" s="13">
        <f t="shared" si="15"/>
        <v>0</v>
      </c>
      <c r="P48" s="13">
        <f t="shared" si="15"/>
        <v>0</v>
      </c>
      <c r="Q48" s="13">
        <f t="shared" si="15"/>
        <v>0</v>
      </c>
      <c r="R48" s="13">
        <f t="shared" si="15"/>
        <v>0</v>
      </c>
      <c r="S48" s="13">
        <f t="shared" si="15"/>
        <v>0</v>
      </c>
      <c r="T48" s="13">
        <f t="shared" si="15"/>
        <v>0</v>
      </c>
      <c r="U48" s="13">
        <f t="shared" si="15"/>
        <v>0</v>
      </c>
      <c r="V48" s="13">
        <f t="shared" si="15"/>
        <v>0</v>
      </c>
      <c r="W48" s="13">
        <f t="shared" si="15"/>
        <v>0</v>
      </c>
      <c r="X48" s="13">
        <f t="shared" si="16"/>
        <v>0</v>
      </c>
      <c r="Y48" s="13">
        <f t="shared" si="16"/>
        <v>0</v>
      </c>
      <c r="Z48" s="13">
        <f t="shared" si="16"/>
        <v>0</v>
      </c>
      <c r="AA48" s="13">
        <f t="shared" si="16"/>
        <v>0</v>
      </c>
      <c r="AB48" s="13">
        <f t="shared" si="16"/>
        <v>0</v>
      </c>
      <c r="AC48" s="13">
        <f t="shared" si="16"/>
        <v>0</v>
      </c>
      <c r="AD48" s="13">
        <f t="shared" si="16"/>
        <v>0</v>
      </c>
      <c r="AE48" s="48">
        <f t="shared" si="16"/>
        <v>0</v>
      </c>
    </row>
    <row r="49" spans="1:31" x14ac:dyDescent="0.2">
      <c r="A49" s="49" t="s">
        <v>35</v>
      </c>
      <c r="B49" s="5" t="s">
        <v>85</v>
      </c>
      <c r="C49" s="10">
        <f>+C107</f>
        <v>0.8</v>
      </c>
      <c r="D49" s="4">
        <f t="shared" ref="D49:M51" si="17">+D$8*$C49</f>
        <v>0</v>
      </c>
      <c r="E49" s="4">
        <f t="shared" si="17"/>
        <v>0</v>
      </c>
      <c r="F49" s="4">
        <f t="shared" si="17"/>
        <v>6.9641956918719425E-2</v>
      </c>
      <c r="G49" s="4">
        <f t="shared" si="17"/>
        <v>9.086514967900905E-2</v>
      </c>
      <c r="H49" s="4">
        <f t="shared" si="17"/>
        <v>0.11194152050145426</v>
      </c>
      <c r="I49" s="4">
        <f t="shared" si="17"/>
        <v>0.13083818508179962</v>
      </c>
      <c r="J49" s="4">
        <f t="shared" si="17"/>
        <v>0.14636511634904034</v>
      </c>
      <c r="K49" s="4">
        <f t="shared" si="17"/>
        <v>0.15836093501646417</v>
      </c>
      <c r="L49" s="4">
        <f t="shared" si="17"/>
        <v>0.16734381297402481</v>
      </c>
      <c r="M49" s="4">
        <f t="shared" si="17"/>
        <v>0.17405775887430419</v>
      </c>
      <c r="N49" s="4">
        <f t="shared" ref="N49:W51" si="18">+N$8*$C49</f>
        <v>0.17919231618199641</v>
      </c>
      <c r="O49" s="4">
        <f t="shared" si="18"/>
        <v>0.18327796042544905</v>
      </c>
      <c r="P49" s="4">
        <f t="shared" si="18"/>
        <v>0.18667272375456506</v>
      </c>
      <c r="Q49" s="4">
        <f t="shared" si="18"/>
        <v>0.19052059048691208</v>
      </c>
      <c r="R49" s="4">
        <f t="shared" si="18"/>
        <v>0.19406961812672019</v>
      </c>
      <c r="S49" s="4">
        <f t="shared" si="18"/>
        <v>0.19738084834438419</v>
      </c>
      <c r="T49" s="4">
        <f t="shared" si="18"/>
        <v>0.20050579316850323</v>
      </c>
      <c r="U49" s="4">
        <f t="shared" si="18"/>
        <v>0.20349126539733056</v>
      </c>
      <c r="V49" s="4">
        <f t="shared" si="18"/>
        <v>0.2063756381971556</v>
      </c>
      <c r="W49" s="4">
        <f t="shared" si="18"/>
        <v>0.20918603113694945</v>
      </c>
      <c r="X49" s="4">
        <f t="shared" ref="X49:AE51" si="19">+X$8*$C49</f>
        <v>0.20798090514793441</v>
      </c>
      <c r="Y49" s="4">
        <f t="shared" si="19"/>
        <v>0.2067864762597007</v>
      </c>
      <c r="Z49" s="4">
        <f t="shared" si="19"/>
        <v>0.20561113582568327</v>
      </c>
      <c r="AA49" s="4">
        <f t="shared" si="19"/>
        <v>0.20446233580271139</v>
      </c>
      <c r="AB49" s="4">
        <f t="shared" si="19"/>
        <v>0.20334593452219632</v>
      </c>
      <c r="AC49" s="4">
        <f t="shared" si="19"/>
        <v>0.20226826791236496</v>
      </c>
      <c r="AD49" s="4">
        <f t="shared" si="19"/>
        <v>0.20104584121784416</v>
      </c>
      <c r="AE49" s="47">
        <f t="shared" si="19"/>
        <v>0.19986661364854408</v>
      </c>
    </row>
    <row r="50" spans="1:31" x14ac:dyDescent="0.2">
      <c r="A50" s="50"/>
      <c r="B50" s="5" t="s">
        <v>86</v>
      </c>
      <c r="C50" s="10">
        <f>+D107</f>
        <v>0.2</v>
      </c>
      <c r="D50" s="4">
        <f t="shared" si="17"/>
        <v>0</v>
      </c>
      <c r="E50" s="4">
        <f t="shared" si="17"/>
        <v>0</v>
      </c>
      <c r="F50" s="4">
        <f t="shared" si="17"/>
        <v>1.7410489229679856E-2</v>
      </c>
      <c r="G50" s="4">
        <f t="shared" si="17"/>
        <v>2.2716287419752262E-2</v>
      </c>
      <c r="H50" s="4">
        <f t="shared" si="17"/>
        <v>2.7985380125363564E-2</v>
      </c>
      <c r="I50" s="4">
        <f t="shared" si="17"/>
        <v>3.2709546270449905E-2</v>
      </c>
      <c r="J50" s="4">
        <f t="shared" si="17"/>
        <v>3.6591279087260085E-2</v>
      </c>
      <c r="K50" s="4">
        <f t="shared" si="17"/>
        <v>3.9590233754116043E-2</v>
      </c>
      <c r="L50" s="4">
        <f t="shared" si="17"/>
        <v>4.1835953243506203E-2</v>
      </c>
      <c r="M50" s="4">
        <f t="shared" si="17"/>
        <v>4.3514439718576048E-2</v>
      </c>
      <c r="N50" s="4">
        <f t="shared" si="18"/>
        <v>4.4798079045499102E-2</v>
      </c>
      <c r="O50" s="4">
        <f t="shared" si="18"/>
        <v>4.5819490106362264E-2</v>
      </c>
      <c r="P50" s="4">
        <f t="shared" si="18"/>
        <v>4.6668180938641265E-2</v>
      </c>
      <c r="Q50" s="4">
        <f t="shared" si="18"/>
        <v>4.7630147621728021E-2</v>
      </c>
      <c r="R50" s="4">
        <f t="shared" si="18"/>
        <v>4.8517404531680047E-2</v>
      </c>
      <c r="S50" s="4">
        <f t="shared" si="18"/>
        <v>4.9345212086096046E-2</v>
      </c>
      <c r="T50" s="4">
        <f t="shared" si="18"/>
        <v>5.0126448292125807E-2</v>
      </c>
      <c r="U50" s="4">
        <f t="shared" si="18"/>
        <v>5.087281634933264E-2</v>
      </c>
      <c r="V50" s="4">
        <f t="shared" si="18"/>
        <v>5.1593909549288899E-2</v>
      </c>
      <c r="W50" s="4">
        <f t="shared" si="18"/>
        <v>5.2296507784237362E-2</v>
      </c>
      <c r="X50" s="4">
        <f t="shared" si="19"/>
        <v>5.1995226286983602E-2</v>
      </c>
      <c r="Y50" s="4">
        <f t="shared" si="19"/>
        <v>5.1696619064925176E-2</v>
      </c>
      <c r="Z50" s="4">
        <f t="shared" si="19"/>
        <v>5.1402783956420818E-2</v>
      </c>
      <c r="AA50" s="4">
        <f t="shared" si="19"/>
        <v>5.1115583950677848E-2</v>
      </c>
      <c r="AB50" s="4">
        <f t="shared" si="19"/>
        <v>5.083648363054908E-2</v>
      </c>
      <c r="AC50" s="4">
        <f t="shared" si="19"/>
        <v>5.0567066978091241E-2</v>
      </c>
      <c r="AD50" s="4">
        <f t="shared" si="19"/>
        <v>5.0261460304461041E-2</v>
      </c>
      <c r="AE50" s="47">
        <f t="shared" si="19"/>
        <v>4.996665341213602E-2</v>
      </c>
    </row>
    <row r="51" spans="1:31" x14ac:dyDescent="0.2">
      <c r="A51" s="51"/>
      <c r="B51" s="11" t="s">
        <v>87</v>
      </c>
      <c r="C51" s="12">
        <f>+E107</f>
        <v>0</v>
      </c>
      <c r="D51" s="13">
        <f t="shared" si="17"/>
        <v>0</v>
      </c>
      <c r="E51" s="13">
        <f t="shared" si="17"/>
        <v>0</v>
      </c>
      <c r="F51" s="13">
        <f t="shared" si="17"/>
        <v>0</v>
      </c>
      <c r="G51" s="13">
        <f t="shared" si="17"/>
        <v>0</v>
      </c>
      <c r="H51" s="13">
        <f t="shared" si="17"/>
        <v>0</v>
      </c>
      <c r="I51" s="13">
        <f t="shared" si="17"/>
        <v>0</v>
      </c>
      <c r="J51" s="13">
        <f t="shared" si="17"/>
        <v>0</v>
      </c>
      <c r="K51" s="13">
        <f t="shared" si="17"/>
        <v>0</v>
      </c>
      <c r="L51" s="13">
        <f t="shared" si="17"/>
        <v>0</v>
      </c>
      <c r="M51" s="13">
        <f t="shared" si="17"/>
        <v>0</v>
      </c>
      <c r="N51" s="13">
        <f t="shared" si="18"/>
        <v>0</v>
      </c>
      <c r="O51" s="13">
        <f t="shared" si="18"/>
        <v>0</v>
      </c>
      <c r="P51" s="13">
        <f t="shared" si="18"/>
        <v>0</v>
      </c>
      <c r="Q51" s="13">
        <f t="shared" si="18"/>
        <v>0</v>
      </c>
      <c r="R51" s="13">
        <f t="shared" si="18"/>
        <v>0</v>
      </c>
      <c r="S51" s="13">
        <f t="shared" si="18"/>
        <v>0</v>
      </c>
      <c r="T51" s="13">
        <f t="shared" si="18"/>
        <v>0</v>
      </c>
      <c r="U51" s="13">
        <f t="shared" si="18"/>
        <v>0</v>
      </c>
      <c r="V51" s="13">
        <f t="shared" si="18"/>
        <v>0</v>
      </c>
      <c r="W51" s="13">
        <f t="shared" si="18"/>
        <v>0</v>
      </c>
      <c r="X51" s="13">
        <f t="shared" si="19"/>
        <v>0</v>
      </c>
      <c r="Y51" s="13">
        <f t="shared" si="19"/>
        <v>0</v>
      </c>
      <c r="Z51" s="13">
        <f t="shared" si="19"/>
        <v>0</v>
      </c>
      <c r="AA51" s="13">
        <f t="shared" si="19"/>
        <v>0</v>
      </c>
      <c r="AB51" s="13">
        <f t="shared" si="19"/>
        <v>0</v>
      </c>
      <c r="AC51" s="13">
        <f t="shared" si="19"/>
        <v>0</v>
      </c>
      <c r="AD51" s="13">
        <f t="shared" si="19"/>
        <v>0</v>
      </c>
      <c r="AE51" s="48">
        <f t="shared" si="19"/>
        <v>0</v>
      </c>
    </row>
    <row r="52" spans="1:31" x14ac:dyDescent="0.2">
      <c r="A52" s="49" t="s">
        <v>36</v>
      </c>
      <c r="B52" s="5" t="s">
        <v>85</v>
      </c>
      <c r="C52" s="10">
        <f>+C108</f>
        <v>0.85</v>
      </c>
      <c r="D52" s="4">
        <f t="shared" ref="D52:M54" si="20">+D$9*$C52</f>
        <v>0</v>
      </c>
      <c r="E52" s="4">
        <f t="shared" si="20"/>
        <v>0</v>
      </c>
      <c r="F52" s="4">
        <f t="shared" si="20"/>
        <v>0</v>
      </c>
      <c r="G52" s="4">
        <f t="shared" si="20"/>
        <v>9.9533450085656255E-2</v>
      </c>
      <c r="H52" s="4">
        <f t="shared" si="20"/>
        <v>0.21189055710506535</v>
      </c>
      <c r="I52" s="4">
        <f t="shared" si="20"/>
        <v>0.33798937672791862</v>
      </c>
      <c r="J52" s="4">
        <f t="shared" si="20"/>
        <v>0.47893621469257475</v>
      </c>
      <c r="K52" s="4">
        <f t="shared" si="20"/>
        <v>0.63560838659969066</v>
      </c>
      <c r="L52" s="4">
        <f t="shared" si="20"/>
        <v>0.80900503860875961</v>
      </c>
      <c r="M52" s="4">
        <f t="shared" si="20"/>
        <v>1.000158197662647</v>
      </c>
      <c r="N52" s="4">
        <f t="shared" ref="N52:W54" si="21">+N$9*$C52</f>
        <v>1.210132952000964</v>
      </c>
      <c r="O52" s="4">
        <f t="shared" si="21"/>
        <v>1.4400273029479611</v>
      </c>
      <c r="P52" s="4">
        <f t="shared" si="21"/>
        <v>1.6909713583802244</v>
      </c>
      <c r="Q52" s="4">
        <f t="shared" si="21"/>
        <v>1.7373593106841685</v>
      </c>
      <c r="R52" s="4">
        <f t="shared" si="21"/>
        <v>1.7844850339607725</v>
      </c>
      <c r="S52" s="4">
        <f t="shared" si="21"/>
        <v>1.8323422889504304</v>
      </c>
      <c r="T52" s="4">
        <f t="shared" si="21"/>
        <v>1.8809246487698528</v>
      </c>
      <c r="U52" s="4">
        <f t="shared" si="21"/>
        <v>1.9302250693379235</v>
      </c>
      <c r="V52" s="4">
        <f t="shared" si="21"/>
        <v>1.9807701046466208</v>
      </c>
      <c r="W52" s="4">
        <f t="shared" si="21"/>
        <v>2.0325974251622334</v>
      </c>
      <c r="X52" s="4">
        <f t="shared" ref="X52:AE54" si="22">+X$9*$C52</f>
        <v>2.0857460242273342</v>
      </c>
      <c r="Y52" s="4">
        <f t="shared" si="22"/>
        <v>2.1402574429038257</v>
      </c>
      <c r="Z52" s="4">
        <f t="shared" si="22"/>
        <v>2.1961750080033813</v>
      </c>
      <c r="AA52" s="4">
        <f t="shared" si="22"/>
        <v>2.2535438022051157</v>
      </c>
      <c r="AB52" s="4">
        <f t="shared" si="22"/>
        <v>2.31240743687369</v>
      </c>
      <c r="AC52" s="4">
        <f t="shared" si="22"/>
        <v>2.3728127851342857</v>
      </c>
      <c r="AD52" s="4">
        <f t="shared" si="22"/>
        <v>2.4348082536504592</v>
      </c>
      <c r="AE52" s="47">
        <f t="shared" si="22"/>
        <v>2.4984429686670402</v>
      </c>
    </row>
    <row r="53" spans="1:31" x14ac:dyDescent="0.2">
      <c r="A53" s="50"/>
      <c r="B53" s="5" t="s">
        <v>86</v>
      </c>
      <c r="C53" s="10">
        <f>+D108</f>
        <v>0.15</v>
      </c>
      <c r="D53" s="4">
        <f t="shared" si="20"/>
        <v>0</v>
      </c>
      <c r="E53" s="4">
        <f t="shared" si="20"/>
        <v>0</v>
      </c>
      <c r="F53" s="4">
        <f t="shared" si="20"/>
        <v>0</v>
      </c>
      <c r="G53" s="4">
        <f t="shared" si="20"/>
        <v>1.7564726485704046E-2</v>
      </c>
      <c r="H53" s="4">
        <f t="shared" si="20"/>
        <v>3.7392451253835057E-2</v>
      </c>
      <c r="I53" s="4">
        <f t="shared" si="20"/>
        <v>5.9645184128456229E-2</v>
      </c>
      <c r="J53" s="4">
        <f t="shared" si="20"/>
        <v>8.4518155533983771E-2</v>
      </c>
      <c r="K53" s="4">
        <f t="shared" si="20"/>
        <v>0.11216618587053363</v>
      </c>
      <c r="L53" s="4">
        <f t="shared" si="20"/>
        <v>0.14276559504860464</v>
      </c>
      <c r="M53" s="4">
        <f t="shared" si="20"/>
        <v>0.17649850546987889</v>
      </c>
      <c r="N53" s="4">
        <f t="shared" si="21"/>
        <v>0.21355287388252306</v>
      </c>
      <c r="O53" s="4">
        <f t="shared" si="21"/>
        <v>0.25412246522611082</v>
      </c>
      <c r="P53" s="4">
        <f t="shared" si="21"/>
        <v>0.29840671030239252</v>
      </c>
      <c r="Q53" s="4">
        <f t="shared" si="21"/>
        <v>0.30659281953250034</v>
      </c>
      <c r="R53" s="4">
        <f t="shared" si="21"/>
        <v>0.31490912364013635</v>
      </c>
      <c r="S53" s="4">
        <f t="shared" si="21"/>
        <v>0.32335452157948769</v>
      </c>
      <c r="T53" s="4">
        <f t="shared" si="21"/>
        <v>0.33192787919467992</v>
      </c>
      <c r="U53" s="4">
        <f t="shared" si="21"/>
        <v>0.34062795341257474</v>
      </c>
      <c r="V53" s="4">
        <f t="shared" si="21"/>
        <v>0.34954766552587424</v>
      </c>
      <c r="W53" s="4">
        <f t="shared" si="21"/>
        <v>0.35869366326392355</v>
      </c>
      <c r="X53" s="4">
        <f t="shared" si="22"/>
        <v>0.3680728278048237</v>
      </c>
      <c r="Y53" s="4">
        <f t="shared" si="22"/>
        <v>0.37769248992420451</v>
      </c>
      <c r="Z53" s="4">
        <f t="shared" si="22"/>
        <v>0.38756029553000848</v>
      </c>
      <c r="AA53" s="4">
        <f t="shared" si="22"/>
        <v>0.39768420038913804</v>
      </c>
      <c r="AB53" s="4">
        <f t="shared" si="22"/>
        <v>0.40807190062476884</v>
      </c>
      <c r="AC53" s="4">
        <f t="shared" si="22"/>
        <v>0.41873166796487399</v>
      </c>
      <c r="AD53" s="4">
        <f t="shared" si="22"/>
        <v>0.42967204476184573</v>
      </c>
      <c r="AE53" s="47">
        <f t="shared" si="22"/>
        <v>0.44090170035300708</v>
      </c>
    </row>
    <row r="54" spans="1:31" x14ac:dyDescent="0.2">
      <c r="A54" s="51"/>
      <c r="B54" s="11" t="s">
        <v>87</v>
      </c>
      <c r="C54" s="12">
        <f>+E108</f>
        <v>0</v>
      </c>
      <c r="D54" s="13">
        <f t="shared" si="20"/>
        <v>0</v>
      </c>
      <c r="E54" s="13">
        <f t="shared" si="20"/>
        <v>0</v>
      </c>
      <c r="F54" s="13">
        <f t="shared" si="20"/>
        <v>0</v>
      </c>
      <c r="G54" s="13">
        <f t="shared" si="20"/>
        <v>0</v>
      </c>
      <c r="H54" s="13">
        <f t="shared" si="20"/>
        <v>0</v>
      </c>
      <c r="I54" s="13">
        <f t="shared" si="20"/>
        <v>0</v>
      </c>
      <c r="J54" s="13">
        <f t="shared" si="20"/>
        <v>0</v>
      </c>
      <c r="K54" s="13">
        <f t="shared" si="20"/>
        <v>0</v>
      </c>
      <c r="L54" s="13">
        <f t="shared" si="20"/>
        <v>0</v>
      </c>
      <c r="M54" s="13">
        <f t="shared" si="20"/>
        <v>0</v>
      </c>
      <c r="N54" s="13">
        <f t="shared" si="21"/>
        <v>0</v>
      </c>
      <c r="O54" s="13">
        <f t="shared" si="21"/>
        <v>0</v>
      </c>
      <c r="P54" s="13">
        <f t="shared" si="21"/>
        <v>0</v>
      </c>
      <c r="Q54" s="13">
        <f t="shared" si="21"/>
        <v>0</v>
      </c>
      <c r="R54" s="13">
        <f t="shared" si="21"/>
        <v>0</v>
      </c>
      <c r="S54" s="13">
        <f t="shared" si="21"/>
        <v>0</v>
      </c>
      <c r="T54" s="13">
        <f t="shared" si="21"/>
        <v>0</v>
      </c>
      <c r="U54" s="13">
        <f t="shared" si="21"/>
        <v>0</v>
      </c>
      <c r="V54" s="13">
        <f t="shared" si="21"/>
        <v>0</v>
      </c>
      <c r="W54" s="13">
        <f t="shared" si="21"/>
        <v>0</v>
      </c>
      <c r="X54" s="13">
        <f t="shared" si="22"/>
        <v>0</v>
      </c>
      <c r="Y54" s="13">
        <f t="shared" si="22"/>
        <v>0</v>
      </c>
      <c r="Z54" s="13">
        <f t="shared" si="22"/>
        <v>0</v>
      </c>
      <c r="AA54" s="13">
        <f t="shared" si="22"/>
        <v>0</v>
      </c>
      <c r="AB54" s="13">
        <f t="shared" si="22"/>
        <v>0</v>
      </c>
      <c r="AC54" s="13">
        <f t="shared" si="22"/>
        <v>0</v>
      </c>
      <c r="AD54" s="13">
        <f t="shared" si="22"/>
        <v>0</v>
      </c>
      <c r="AE54" s="48">
        <f t="shared" si="22"/>
        <v>0</v>
      </c>
    </row>
    <row r="55" spans="1:31" x14ac:dyDescent="0.2">
      <c r="A55" s="49" t="s">
        <v>37</v>
      </c>
      <c r="B55" s="5" t="s">
        <v>85</v>
      </c>
      <c r="C55" s="10">
        <f>+C109</f>
        <v>0.85</v>
      </c>
      <c r="D55" s="4">
        <f t="shared" ref="D55:M57" si="23">+D$10*$C55</f>
        <v>0</v>
      </c>
      <c r="E55" s="4">
        <f t="shared" si="23"/>
        <v>0</v>
      </c>
      <c r="F55" s="4">
        <f t="shared" si="23"/>
        <v>0</v>
      </c>
      <c r="G55" s="4">
        <f t="shared" si="23"/>
        <v>0</v>
      </c>
      <c r="H55" s="4">
        <f t="shared" si="23"/>
        <v>0</v>
      </c>
      <c r="I55" s="4">
        <f t="shared" si="23"/>
        <v>0</v>
      </c>
      <c r="J55" s="4">
        <f t="shared" si="23"/>
        <v>0</v>
      </c>
      <c r="K55" s="4">
        <f t="shared" si="23"/>
        <v>0</v>
      </c>
      <c r="L55" s="4">
        <f t="shared" si="23"/>
        <v>0</v>
      </c>
      <c r="M55" s="4">
        <f t="shared" si="23"/>
        <v>0</v>
      </c>
      <c r="N55" s="4">
        <f t="shared" ref="N55:W57" si="24">+N$10*$C55</f>
        <v>0</v>
      </c>
      <c r="O55" s="4">
        <f t="shared" si="24"/>
        <v>0</v>
      </c>
      <c r="P55" s="4">
        <f t="shared" si="24"/>
        <v>0</v>
      </c>
      <c r="Q55" s="4">
        <f t="shared" si="24"/>
        <v>0</v>
      </c>
      <c r="R55" s="4">
        <f t="shared" si="24"/>
        <v>0</v>
      </c>
      <c r="S55" s="4">
        <f t="shared" si="24"/>
        <v>0</v>
      </c>
      <c r="T55" s="4">
        <f t="shared" si="24"/>
        <v>0</v>
      </c>
      <c r="U55" s="4">
        <f t="shared" si="24"/>
        <v>0</v>
      </c>
      <c r="V55" s="4">
        <f t="shared" si="24"/>
        <v>0</v>
      </c>
      <c r="W55" s="4">
        <f t="shared" si="24"/>
        <v>0</v>
      </c>
      <c r="X55" s="4">
        <f t="shared" ref="X55:AE57" si="25">+X$10*$C55</f>
        <v>0</v>
      </c>
      <c r="Y55" s="4">
        <f t="shared" si="25"/>
        <v>0</v>
      </c>
      <c r="Z55" s="4">
        <f t="shared" si="25"/>
        <v>0</v>
      </c>
      <c r="AA55" s="4">
        <f t="shared" si="25"/>
        <v>0</v>
      </c>
      <c r="AB55" s="4">
        <f t="shared" si="25"/>
        <v>0</v>
      </c>
      <c r="AC55" s="4">
        <f t="shared" si="25"/>
        <v>0</v>
      </c>
      <c r="AD55" s="4">
        <f t="shared" si="25"/>
        <v>0</v>
      </c>
      <c r="AE55" s="47">
        <f t="shared" si="25"/>
        <v>0</v>
      </c>
    </row>
    <row r="56" spans="1:31" x14ac:dyDescent="0.2">
      <c r="A56" s="50"/>
      <c r="B56" s="5" t="s">
        <v>86</v>
      </c>
      <c r="C56" s="10">
        <f>+D109</f>
        <v>0.15</v>
      </c>
      <c r="D56" s="4">
        <f t="shared" si="23"/>
        <v>0</v>
      </c>
      <c r="E56" s="4">
        <f t="shared" si="23"/>
        <v>0</v>
      </c>
      <c r="F56" s="4">
        <f t="shared" si="23"/>
        <v>0</v>
      </c>
      <c r="G56" s="4">
        <f t="shared" si="23"/>
        <v>0</v>
      </c>
      <c r="H56" s="4">
        <f t="shared" si="23"/>
        <v>0</v>
      </c>
      <c r="I56" s="4">
        <f t="shared" si="23"/>
        <v>0</v>
      </c>
      <c r="J56" s="4">
        <f t="shared" si="23"/>
        <v>0</v>
      </c>
      <c r="K56" s="4">
        <f t="shared" si="23"/>
        <v>0</v>
      </c>
      <c r="L56" s="4">
        <f t="shared" si="23"/>
        <v>0</v>
      </c>
      <c r="M56" s="4">
        <f t="shared" si="23"/>
        <v>0</v>
      </c>
      <c r="N56" s="4">
        <f t="shared" si="24"/>
        <v>0</v>
      </c>
      <c r="O56" s="4">
        <f t="shared" si="24"/>
        <v>0</v>
      </c>
      <c r="P56" s="4">
        <f t="shared" si="24"/>
        <v>0</v>
      </c>
      <c r="Q56" s="4">
        <f t="shared" si="24"/>
        <v>0</v>
      </c>
      <c r="R56" s="4">
        <f t="shared" si="24"/>
        <v>0</v>
      </c>
      <c r="S56" s="4">
        <f t="shared" si="24"/>
        <v>0</v>
      </c>
      <c r="T56" s="4">
        <f t="shared" si="24"/>
        <v>0</v>
      </c>
      <c r="U56" s="4">
        <f t="shared" si="24"/>
        <v>0</v>
      </c>
      <c r="V56" s="4">
        <f t="shared" si="24"/>
        <v>0</v>
      </c>
      <c r="W56" s="4">
        <f t="shared" si="24"/>
        <v>0</v>
      </c>
      <c r="X56" s="4">
        <f t="shared" si="25"/>
        <v>0</v>
      </c>
      <c r="Y56" s="4">
        <f t="shared" si="25"/>
        <v>0</v>
      </c>
      <c r="Z56" s="4">
        <f t="shared" si="25"/>
        <v>0</v>
      </c>
      <c r="AA56" s="4">
        <f t="shared" si="25"/>
        <v>0</v>
      </c>
      <c r="AB56" s="4">
        <f t="shared" si="25"/>
        <v>0</v>
      </c>
      <c r="AC56" s="4">
        <f t="shared" si="25"/>
        <v>0</v>
      </c>
      <c r="AD56" s="4">
        <f t="shared" si="25"/>
        <v>0</v>
      </c>
      <c r="AE56" s="47">
        <f t="shared" si="25"/>
        <v>0</v>
      </c>
    </row>
    <row r="57" spans="1:31" x14ac:dyDescent="0.2">
      <c r="A57" s="51"/>
      <c r="B57" s="11" t="s">
        <v>87</v>
      </c>
      <c r="C57" s="12">
        <f>+E109</f>
        <v>0</v>
      </c>
      <c r="D57" s="13">
        <f t="shared" si="23"/>
        <v>0</v>
      </c>
      <c r="E57" s="13">
        <f t="shared" si="23"/>
        <v>0</v>
      </c>
      <c r="F57" s="13">
        <f t="shared" si="23"/>
        <v>0</v>
      </c>
      <c r="G57" s="13">
        <f t="shared" si="23"/>
        <v>0</v>
      </c>
      <c r="H57" s="13">
        <f t="shared" si="23"/>
        <v>0</v>
      </c>
      <c r="I57" s="13">
        <f t="shared" si="23"/>
        <v>0</v>
      </c>
      <c r="J57" s="13">
        <f t="shared" si="23"/>
        <v>0</v>
      </c>
      <c r="K57" s="13">
        <f t="shared" si="23"/>
        <v>0</v>
      </c>
      <c r="L57" s="13">
        <f t="shared" si="23"/>
        <v>0</v>
      </c>
      <c r="M57" s="13">
        <f t="shared" si="23"/>
        <v>0</v>
      </c>
      <c r="N57" s="13">
        <f t="shared" si="24"/>
        <v>0</v>
      </c>
      <c r="O57" s="13">
        <f t="shared" si="24"/>
        <v>0</v>
      </c>
      <c r="P57" s="13">
        <f t="shared" si="24"/>
        <v>0</v>
      </c>
      <c r="Q57" s="13">
        <f t="shared" si="24"/>
        <v>0</v>
      </c>
      <c r="R57" s="13">
        <f t="shared" si="24"/>
        <v>0</v>
      </c>
      <c r="S57" s="13">
        <f t="shared" si="24"/>
        <v>0</v>
      </c>
      <c r="T57" s="13">
        <f t="shared" si="24"/>
        <v>0</v>
      </c>
      <c r="U57" s="13">
        <f t="shared" si="24"/>
        <v>0</v>
      </c>
      <c r="V57" s="13">
        <f t="shared" si="24"/>
        <v>0</v>
      </c>
      <c r="W57" s="13">
        <f t="shared" si="24"/>
        <v>0</v>
      </c>
      <c r="X57" s="13">
        <f t="shared" si="25"/>
        <v>0</v>
      </c>
      <c r="Y57" s="13">
        <f t="shared" si="25"/>
        <v>0</v>
      </c>
      <c r="Z57" s="13">
        <f t="shared" si="25"/>
        <v>0</v>
      </c>
      <c r="AA57" s="13">
        <f t="shared" si="25"/>
        <v>0</v>
      </c>
      <c r="AB57" s="13">
        <f t="shared" si="25"/>
        <v>0</v>
      </c>
      <c r="AC57" s="13">
        <f t="shared" si="25"/>
        <v>0</v>
      </c>
      <c r="AD57" s="13">
        <f t="shared" si="25"/>
        <v>0</v>
      </c>
      <c r="AE57" s="48">
        <f t="shared" si="25"/>
        <v>0</v>
      </c>
    </row>
    <row r="58" spans="1:31" x14ac:dyDescent="0.2">
      <c r="A58" s="49" t="s">
        <v>38</v>
      </c>
      <c r="B58" s="5" t="s">
        <v>85</v>
      </c>
      <c r="C58" s="10">
        <f>+C110</f>
        <v>0.5</v>
      </c>
      <c r="D58" s="4">
        <f t="shared" ref="D58:M60" si="26">+D$11*$C58</f>
        <v>0</v>
      </c>
      <c r="E58" s="4">
        <f t="shared" si="26"/>
        <v>0</v>
      </c>
      <c r="F58" s="4">
        <f t="shared" si="26"/>
        <v>0</v>
      </c>
      <c r="G58" s="4">
        <f t="shared" si="26"/>
        <v>0</v>
      </c>
      <c r="H58" s="4">
        <f t="shared" si="26"/>
        <v>0</v>
      </c>
      <c r="I58" s="4">
        <f t="shared" si="26"/>
        <v>0</v>
      </c>
      <c r="J58" s="4">
        <f t="shared" si="26"/>
        <v>0</v>
      </c>
      <c r="K58" s="4">
        <f t="shared" si="26"/>
        <v>0</v>
      </c>
      <c r="L58" s="4">
        <f t="shared" si="26"/>
        <v>0</v>
      </c>
      <c r="M58" s="4">
        <f t="shared" si="26"/>
        <v>0</v>
      </c>
      <c r="N58" s="4">
        <f t="shared" ref="N58:W60" si="27">+N$11*$C58</f>
        <v>0</v>
      </c>
      <c r="O58" s="4">
        <f t="shared" si="27"/>
        <v>0</v>
      </c>
      <c r="P58" s="4">
        <f t="shared" si="27"/>
        <v>0</v>
      </c>
      <c r="Q58" s="4">
        <f t="shared" si="27"/>
        <v>0</v>
      </c>
      <c r="R58" s="4">
        <f t="shared" si="27"/>
        <v>0</v>
      </c>
      <c r="S58" s="4">
        <f t="shared" si="27"/>
        <v>0</v>
      </c>
      <c r="T58" s="4">
        <f t="shared" si="27"/>
        <v>0</v>
      </c>
      <c r="U58" s="4">
        <f t="shared" si="27"/>
        <v>0</v>
      </c>
      <c r="V58" s="4">
        <f t="shared" si="27"/>
        <v>0</v>
      </c>
      <c r="W58" s="4">
        <f t="shared" si="27"/>
        <v>0</v>
      </c>
      <c r="X58" s="4">
        <f t="shared" ref="X58:AE60" si="28">+X$11*$C58</f>
        <v>0</v>
      </c>
      <c r="Y58" s="4">
        <f t="shared" si="28"/>
        <v>0</v>
      </c>
      <c r="Z58" s="4">
        <f t="shared" si="28"/>
        <v>0</v>
      </c>
      <c r="AA58" s="4">
        <f t="shared" si="28"/>
        <v>0</v>
      </c>
      <c r="AB58" s="4">
        <f t="shared" si="28"/>
        <v>0</v>
      </c>
      <c r="AC58" s="4">
        <f t="shared" si="28"/>
        <v>0</v>
      </c>
      <c r="AD58" s="4">
        <f t="shared" si="28"/>
        <v>0</v>
      </c>
      <c r="AE58" s="47">
        <f t="shared" si="28"/>
        <v>0</v>
      </c>
    </row>
    <row r="59" spans="1:31" x14ac:dyDescent="0.2">
      <c r="A59" s="50"/>
      <c r="B59" s="5" t="s">
        <v>86</v>
      </c>
      <c r="C59" s="10">
        <f>+D110</f>
        <v>0.5</v>
      </c>
      <c r="D59" s="4">
        <f t="shared" si="26"/>
        <v>0</v>
      </c>
      <c r="E59" s="4">
        <f t="shared" si="26"/>
        <v>0</v>
      </c>
      <c r="F59" s="4">
        <f t="shared" si="26"/>
        <v>0</v>
      </c>
      <c r="G59" s="4">
        <f t="shared" si="26"/>
        <v>0</v>
      </c>
      <c r="H59" s="4">
        <f t="shared" si="26"/>
        <v>0</v>
      </c>
      <c r="I59" s="4">
        <f t="shared" si="26"/>
        <v>0</v>
      </c>
      <c r="J59" s="4">
        <f t="shared" si="26"/>
        <v>0</v>
      </c>
      <c r="K59" s="4">
        <f t="shared" si="26"/>
        <v>0</v>
      </c>
      <c r="L59" s="4">
        <f t="shared" si="26"/>
        <v>0</v>
      </c>
      <c r="M59" s="4">
        <f t="shared" si="26"/>
        <v>0</v>
      </c>
      <c r="N59" s="4">
        <f t="shared" si="27"/>
        <v>0</v>
      </c>
      <c r="O59" s="4">
        <f t="shared" si="27"/>
        <v>0</v>
      </c>
      <c r="P59" s="4">
        <f t="shared" si="27"/>
        <v>0</v>
      </c>
      <c r="Q59" s="4">
        <f t="shared" si="27"/>
        <v>0</v>
      </c>
      <c r="R59" s="4">
        <f t="shared" si="27"/>
        <v>0</v>
      </c>
      <c r="S59" s="4">
        <f t="shared" si="27"/>
        <v>0</v>
      </c>
      <c r="T59" s="4">
        <f t="shared" si="27"/>
        <v>0</v>
      </c>
      <c r="U59" s="4">
        <f t="shared" si="27"/>
        <v>0</v>
      </c>
      <c r="V59" s="4">
        <f t="shared" si="27"/>
        <v>0</v>
      </c>
      <c r="W59" s="4">
        <f t="shared" si="27"/>
        <v>0</v>
      </c>
      <c r="X59" s="4">
        <f t="shared" si="28"/>
        <v>0</v>
      </c>
      <c r="Y59" s="4">
        <f t="shared" si="28"/>
        <v>0</v>
      </c>
      <c r="Z59" s="4">
        <f t="shared" si="28"/>
        <v>0</v>
      </c>
      <c r="AA59" s="4">
        <f t="shared" si="28"/>
        <v>0</v>
      </c>
      <c r="AB59" s="4">
        <f t="shared" si="28"/>
        <v>0</v>
      </c>
      <c r="AC59" s="4">
        <f t="shared" si="28"/>
        <v>0</v>
      </c>
      <c r="AD59" s="4">
        <f t="shared" si="28"/>
        <v>0</v>
      </c>
      <c r="AE59" s="47">
        <f t="shared" si="28"/>
        <v>0</v>
      </c>
    </row>
    <row r="60" spans="1:31" x14ac:dyDescent="0.2">
      <c r="A60" s="51"/>
      <c r="B60" s="11" t="s">
        <v>87</v>
      </c>
      <c r="C60" s="12">
        <f>+E110</f>
        <v>0</v>
      </c>
      <c r="D60" s="13">
        <f t="shared" si="26"/>
        <v>0</v>
      </c>
      <c r="E60" s="13">
        <f t="shared" si="26"/>
        <v>0</v>
      </c>
      <c r="F60" s="13">
        <f t="shared" si="26"/>
        <v>0</v>
      </c>
      <c r="G60" s="13">
        <f t="shared" si="26"/>
        <v>0</v>
      </c>
      <c r="H60" s="13">
        <f t="shared" si="26"/>
        <v>0</v>
      </c>
      <c r="I60" s="13">
        <f t="shared" si="26"/>
        <v>0</v>
      </c>
      <c r="J60" s="13">
        <f t="shared" si="26"/>
        <v>0</v>
      </c>
      <c r="K60" s="13">
        <f t="shared" si="26"/>
        <v>0</v>
      </c>
      <c r="L60" s="13">
        <f t="shared" si="26"/>
        <v>0</v>
      </c>
      <c r="M60" s="13">
        <f t="shared" si="26"/>
        <v>0</v>
      </c>
      <c r="N60" s="13">
        <f t="shared" si="27"/>
        <v>0</v>
      </c>
      <c r="O60" s="13">
        <f t="shared" si="27"/>
        <v>0</v>
      </c>
      <c r="P60" s="13">
        <f t="shared" si="27"/>
        <v>0</v>
      </c>
      <c r="Q60" s="13">
        <f t="shared" si="27"/>
        <v>0</v>
      </c>
      <c r="R60" s="13">
        <f t="shared" si="27"/>
        <v>0</v>
      </c>
      <c r="S60" s="13">
        <f t="shared" si="27"/>
        <v>0</v>
      </c>
      <c r="T60" s="13">
        <f t="shared" si="27"/>
        <v>0</v>
      </c>
      <c r="U60" s="13">
        <f t="shared" si="27"/>
        <v>0</v>
      </c>
      <c r="V60" s="13">
        <f t="shared" si="27"/>
        <v>0</v>
      </c>
      <c r="W60" s="13">
        <f t="shared" si="27"/>
        <v>0</v>
      </c>
      <c r="X60" s="13">
        <f t="shared" si="28"/>
        <v>0</v>
      </c>
      <c r="Y60" s="13">
        <f t="shared" si="28"/>
        <v>0</v>
      </c>
      <c r="Z60" s="13">
        <f t="shared" si="28"/>
        <v>0</v>
      </c>
      <c r="AA60" s="13">
        <f t="shared" si="28"/>
        <v>0</v>
      </c>
      <c r="AB60" s="13">
        <f t="shared" si="28"/>
        <v>0</v>
      </c>
      <c r="AC60" s="13">
        <f t="shared" si="28"/>
        <v>0</v>
      </c>
      <c r="AD60" s="13">
        <f t="shared" si="28"/>
        <v>0</v>
      </c>
      <c r="AE60" s="48">
        <f t="shared" si="28"/>
        <v>0</v>
      </c>
    </row>
    <row r="61" spans="1:31" x14ac:dyDescent="0.2">
      <c r="A61" s="49" t="s">
        <v>39</v>
      </c>
      <c r="B61" s="5" t="s">
        <v>85</v>
      </c>
      <c r="C61" s="10">
        <f>+C111</f>
        <v>0.85</v>
      </c>
      <c r="D61" s="4">
        <f t="shared" ref="D61:M63" si="29">+D$12*$C61</f>
        <v>0</v>
      </c>
      <c r="E61" s="4">
        <f t="shared" si="29"/>
        <v>0</v>
      </c>
      <c r="F61" s="4">
        <f t="shared" si="29"/>
        <v>0.83768681996087124</v>
      </c>
      <c r="G61" s="4">
        <f t="shared" si="29"/>
        <v>1.0349863271053221</v>
      </c>
      <c r="H61" s="4">
        <f t="shared" si="29"/>
        <v>1.2112302001921111</v>
      </c>
      <c r="I61" s="4">
        <f t="shared" si="29"/>
        <v>1.3633919553626759</v>
      </c>
      <c r="J61" s="4">
        <f t="shared" si="29"/>
        <v>1.4951105511792959</v>
      </c>
      <c r="K61" s="4">
        <f t="shared" si="29"/>
        <v>1.6065363855178649</v>
      </c>
      <c r="L61" s="4">
        <f t="shared" si="29"/>
        <v>1.7074917504988463</v>
      </c>
      <c r="M61" s="4">
        <f t="shared" si="29"/>
        <v>1.8009872893451428</v>
      </c>
      <c r="N61" s="4">
        <f t="shared" ref="N61:W63" si="30">+N$12*$C61</f>
        <v>1.8887455045286021</v>
      </c>
      <c r="O61" s="4">
        <f t="shared" si="30"/>
        <v>1.9725634035490798</v>
      </c>
      <c r="P61" s="4">
        <f t="shared" si="30"/>
        <v>2.0540428570863072</v>
      </c>
      <c r="Q61" s="4">
        <f t="shared" si="30"/>
        <v>2.1341963210152746</v>
      </c>
      <c r="R61" s="4">
        <f t="shared" si="30"/>
        <v>2.2132396627485833</v>
      </c>
      <c r="S61" s="4">
        <f t="shared" si="30"/>
        <v>2.2902459004589875</v>
      </c>
      <c r="T61" s="4">
        <f t="shared" si="30"/>
        <v>2.3642618466962046</v>
      </c>
      <c r="U61" s="4">
        <f t="shared" si="30"/>
        <v>2.4339882200296383</v>
      </c>
      <c r="V61" s="4">
        <f t="shared" si="30"/>
        <v>2.4978155172386907</v>
      </c>
      <c r="W61" s="4">
        <f t="shared" si="30"/>
        <v>2.5557705722179236</v>
      </c>
      <c r="X61" s="4">
        <f t="shared" ref="X61:AE63" si="31">+X$12*$C61</f>
        <v>2.6045683863647948</v>
      </c>
      <c r="Y61" s="4">
        <f t="shared" si="31"/>
        <v>2.6386292682959627</v>
      </c>
      <c r="Z61" s="4">
        <f t="shared" si="31"/>
        <v>2.6645763395909703</v>
      </c>
      <c r="AA61" s="4">
        <f t="shared" si="31"/>
        <v>2.6822740082393608</v>
      </c>
      <c r="AB61" s="4">
        <f t="shared" si="31"/>
        <v>2.6909062684409366</v>
      </c>
      <c r="AC61" s="4">
        <f t="shared" si="31"/>
        <v>2.6895503121491631</v>
      </c>
      <c r="AD61" s="4">
        <f t="shared" si="31"/>
        <v>2.6615318961401009</v>
      </c>
      <c r="AE61" s="47">
        <f t="shared" si="31"/>
        <v>2.7858235389761306</v>
      </c>
    </row>
    <row r="62" spans="1:31" x14ac:dyDescent="0.2">
      <c r="A62" s="50"/>
      <c r="B62" s="5" t="s">
        <v>86</v>
      </c>
      <c r="C62" s="10">
        <f>+D111</f>
        <v>0.1</v>
      </c>
      <c r="D62" s="4">
        <f t="shared" si="29"/>
        <v>0</v>
      </c>
      <c r="E62" s="4">
        <f t="shared" si="29"/>
        <v>0</v>
      </c>
      <c r="F62" s="4">
        <f t="shared" si="29"/>
        <v>9.8551390583631923E-2</v>
      </c>
      <c r="G62" s="4">
        <f t="shared" si="29"/>
        <v>0.1217630973065085</v>
      </c>
      <c r="H62" s="4">
        <f t="shared" si="29"/>
        <v>0.1424976706108366</v>
      </c>
      <c r="I62" s="4">
        <f t="shared" si="29"/>
        <v>0.16039905357207951</v>
      </c>
      <c r="J62" s="4">
        <f t="shared" si="29"/>
        <v>0.17589535896227013</v>
      </c>
      <c r="K62" s="4">
        <f t="shared" si="29"/>
        <v>0.18900428064916061</v>
      </c>
      <c r="L62" s="4">
        <f t="shared" si="29"/>
        <v>0.20088138241162901</v>
      </c>
      <c r="M62" s="4">
        <f t="shared" si="29"/>
        <v>0.21188085757001682</v>
      </c>
      <c r="N62" s="4">
        <f t="shared" si="30"/>
        <v>0.2222053534739532</v>
      </c>
      <c r="O62" s="4">
        <f t="shared" si="30"/>
        <v>0.23206628277048</v>
      </c>
      <c r="P62" s="4">
        <f t="shared" si="30"/>
        <v>0.24165210083368321</v>
      </c>
      <c r="Q62" s="4">
        <f t="shared" si="30"/>
        <v>0.25108192011944408</v>
      </c>
      <c r="R62" s="4">
        <f t="shared" si="30"/>
        <v>0.26038113679395097</v>
      </c>
      <c r="S62" s="4">
        <f t="shared" si="30"/>
        <v>0.26944069417164557</v>
      </c>
      <c r="T62" s="4">
        <f t="shared" si="30"/>
        <v>0.27814845255249471</v>
      </c>
      <c r="U62" s="4">
        <f t="shared" si="30"/>
        <v>0.28635155529760453</v>
      </c>
      <c r="V62" s="4">
        <f t="shared" si="30"/>
        <v>0.29386064908690485</v>
      </c>
      <c r="W62" s="4">
        <f t="shared" si="30"/>
        <v>0.30067889084916755</v>
      </c>
      <c r="X62" s="4">
        <f t="shared" si="31"/>
        <v>0.30641981016056413</v>
      </c>
      <c r="Y62" s="4">
        <f t="shared" si="31"/>
        <v>0.31042697274070152</v>
      </c>
      <c r="Z62" s="4">
        <f t="shared" si="31"/>
        <v>0.31347956936364363</v>
      </c>
      <c r="AA62" s="4">
        <f t="shared" si="31"/>
        <v>0.31556164802816011</v>
      </c>
      <c r="AB62" s="4">
        <f t="shared" si="31"/>
        <v>0.31657720805187495</v>
      </c>
      <c r="AC62" s="4">
        <f t="shared" si="31"/>
        <v>0.31641768378225454</v>
      </c>
      <c r="AD62" s="4">
        <f t="shared" si="31"/>
        <v>0.31312139954589424</v>
      </c>
      <c r="AE62" s="47">
        <f t="shared" si="31"/>
        <v>0.32774394576189775</v>
      </c>
    </row>
    <row r="63" spans="1:31" x14ac:dyDescent="0.2">
      <c r="A63" s="51"/>
      <c r="B63" s="11" t="s">
        <v>87</v>
      </c>
      <c r="C63" s="12">
        <f>+E111</f>
        <v>0.05</v>
      </c>
      <c r="D63" s="13">
        <f t="shared" si="29"/>
        <v>0</v>
      </c>
      <c r="E63" s="13">
        <f t="shared" si="29"/>
        <v>0</v>
      </c>
      <c r="F63" s="13">
        <f t="shared" si="29"/>
        <v>4.9275695291815962E-2</v>
      </c>
      <c r="G63" s="13">
        <f t="shared" si="29"/>
        <v>6.088154865325425E-2</v>
      </c>
      <c r="H63" s="13">
        <f t="shared" si="29"/>
        <v>7.1248835305418298E-2</v>
      </c>
      <c r="I63" s="13">
        <f t="shared" si="29"/>
        <v>8.0199526786039754E-2</v>
      </c>
      <c r="J63" s="13">
        <f t="shared" si="29"/>
        <v>8.7947679481135063E-2</v>
      </c>
      <c r="K63" s="13">
        <f t="shared" si="29"/>
        <v>9.4502140324580305E-2</v>
      </c>
      <c r="L63" s="13">
        <f t="shared" si="29"/>
        <v>0.1004406912058145</v>
      </c>
      <c r="M63" s="13">
        <f t="shared" si="29"/>
        <v>0.10594042878500841</v>
      </c>
      <c r="N63" s="13">
        <f t="shared" si="30"/>
        <v>0.1111026767369766</v>
      </c>
      <c r="O63" s="13">
        <f t="shared" si="30"/>
        <v>0.11603314138524</v>
      </c>
      <c r="P63" s="13">
        <f t="shared" si="30"/>
        <v>0.12082605041684161</v>
      </c>
      <c r="Q63" s="13">
        <f t="shared" si="30"/>
        <v>0.12554096005972204</v>
      </c>
      <c r="R63" s="13">
        <f t="shared" si="30"/>
        <v>0.13019056839697549</v>
      </c>
      <c r="S63" s="13">
        <f t="shared" si="30"/>
        <v>0.13472034708582278</v>
      </c>
      <c r="T63" s="13">
        <f t="shared" si="30"/>
        <v>0.13907422627624735</v>
      </c>
      <c r="U63" s="13">
        <f t="shared" si="30"/>
        <v>0.14317577764880227</v>
      </c>
      <c r="V63" s="13">
        <f t="shared" si="30"/>
        <v>0.14693032454345242</v>
      </c>
      <c r="W63" s="13">
        <f t="shared" si="30"/>
        <v>0.15033944542458377</v>
      </c>
      <c r="X63" s="13">
        <f t="shared" si="31"/>
        <v>0.15320990508028207</v>
      </c>
      <c r="Y63" s="13">
        <f t="shared" si="31"/>
        <v>0.15521348637035076</v>
      </c>
      <c r="Z63" s="13">
        <f t="shared" si="31"/>
        <v>0.15673978468182181</v>
      </c>
      <c r="AA63" s="13">
        <f t="shared" si="31"/>
        <v>0.15778082401408006</v>
      </c>
      <c r="AB63" s="13">
        <f t="shared" si="31"/>
        <v>0.15828860402593747</v>
      </c>
      <c r="AC63" s="13">
        <f t="shared" si="31"/>
        <v>0.15820884189112727</v>
      </c>
      <c r="AD63" s="13">
        <f t="shared" si="31"/>
        <v>0.15656069977294712</v>
      </c>
      <c r="AE63" s="48">
        <f t="shared" si="31"/>
        <v>0.16387197288094887</v>
      </c>
    </row>
    <row r="64" spans="1:31" s="63" customFormat="1" x14ac:dyDescent="0.2">
      <c r="B64" s="65"/>
      <c r="C64" s="70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2"/>
    </row>
    <row r="65" spans="1:31" s="63" customFormat="1" x14ac:dyDescent="0.2">
      <c r="B65" s="65"/>
      <c r="C65" s="70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2"/>
    </row>
    <row r="66" spans="1:31" x14ac:dyDescent="0.2">
      <c r="C66" s="68" t="s">
        <v>135</v>
      </c>
      <c r="D66" s="69"/>
      <c r="E66" s="69"/>
      <c r="F66" s="69"/>
      <c r="G66" s="69"/>
      <c r="H66" s="69"/>
      <c r="I66" s="69"/>
    </row>
    <row r="67" spans="1:31" x14ac:dyDescent="0.2">
      <c r="A67" s="8" t="s">
        <v>1</v>
      </c>
      <c r="B67" s="9" t="s">
        <v>83</v>
      </c>
      <c r="C67" s="9"/>
      <c r="D67" s="2" t="s">
        <v>2</v>
      </c>
      <c r="E67" s="2" t="s">
        <v>3</v>
      </c>
      <c r="F67" s="2" t="s">
        <v>4</v>
      </c>
      <c r="G67" s="2" t="s">
        <v>5</v>
      </c>
      <c r="H67" s="2" t="s">
        <v>6</v>
      </c>
      <c r="I67" s="2" t="s">
        <v>7</v>
      </c>
      <c r="J67" s="2" t="s">
        <v>8</v>
      </c>
      <c r="K67" s="2" t="s">
        <v>9</v>
      </c>
      <c r="L67" s="2" t="s">
        <v>10</v>
      </c>
      <c r="M67" s="2" t="s">
        <v>11</v>
      </c>
      <c r="N67" s="2" t="s">
        <v>12</v>
      </c>
      <c r="O67" s="2" t="s">
        <v>13</v>
      </c>
      <c r="P67" s="2" t="s">
        <v>14</v>
      </c>
      <c r="Q67" s="2" t="s">
        <v>15</v>
      </c>
      <c r="R67" s="2" t="s">
        <v>16</v>
      </c>
      <c r="S67" s="2" t="s">
        <v>17</v>
      </c>
      <c r="T67" s="2" t="s">
        <v>18</v>
      </c>
      <c r="U67" s="2" t="s">
        <v>19</v>
      </c>
      <c r="V67" s="2" t="s">
        <v>20</v>
      </c>
      <c r="W67" s="2" t="s">
        <v>21</v>
      </c>
      <c r="X67" s="2" t="s">
        <v>22</v>
      </c>
      <c r="Y67" s="2" t="s">
        <v>23</v>
      </c>
      <c r="Z67" s="2" t="s">
        <v>24</v>
      </c>
      <c r="AA67" s="2" t="s">
        <v>25</v>
      </c>
      <c r="AB67" s="2" t="s">
        <v>26</v>
      </c>
      <c r="AC67" s="2" t="s">
        <v>27</v>
      </c>
      <c r="AD67" s="2" t="s">
        <v>28</v>
      </c>
      <c r="AE67" s="2" t="s">
        <v>29</v>
      </c>
    </row>
    <row r="68" spans="1:31" ht="15" customHeight="1" x14ac:dyDescent="0.2">
      <c r="A68" s="49" t="s">
        <v>30</v>
      </c>
      <c r="B68" s="5" t="s">
        <v>85</v>
      </c>
      <c r="C68" s="10"/>
      <c r="D68" s="64">
        <f>+D34/D$17</f>
        <v>0</v>
      </c>
      <c r="E68" s="64">
        <f t="shared" ref="E68:AE68" si="32">+E34/E$17</f>
        <v>0</v>
      </c>
      <c r="F68" s="64">
        <f t="shared" si="32"/>
        <v>3.8133463260813477E-3</v>
      </c>
      <c r="G68" s="64">
        <f t="shared" si="32"/>
        <v>7.7850234924622746E-4</v>
      </c>
      <c r="H68" s="64">
        <f t="shared" si="32"/>
        <v>4.1696500139087695E-3</v>
      </c>
      <c r="I68" s="64">
        <f t="shared" si="32"/>
        <v>5.4668470472270976E-3</v>
      </c>
      <c r="J68" s="64">
        <f t="shared" si="32"/>
        <v>1.5096418510210994E-2</v>
      </c>
      <c r="K68" s="64">
        <f t="shared" si="32"/>
        <v>2.4324370400350289E-2</v>
      </c>
      <c r="L68" s="64">
        <f t="shared" si="32"/>
        <v>2.0055945519389096E-2</v>
      </c>
      <c r="M68" s="64">
        <f t="shared" si="32"/>
        <v>4.6507622497023327E-3</v>
      </c>
      <c r="N68" s="64">
        <f t="shared" si="32"/>
        <v>0</v>
      </c>
      <c r="O68" s="64">
        <f t="shared" si="32"/>
        <v>0</v>
      </c>
      <c r="P68" s="64">
        <f t="shared" si="32"/>
        <v>0</v>
      </c>
      <c r="Q68" s="64">
        <f t="shared" si="32"/>
        <v>2.7686732834329171E-4</v>
      </c>
      <c r="R68" s="64">
        <f t="shared" si="32"/>
        <v>2.7439816057471061E-3</v>
      </c>
      <c r="S68" s="64">
        <f t="shared" si="32"/>
        <v>2.4850940664145585E-3</v>
      </c>
      <c r="T68" s="64">
        <f t="shared" si="32"/>
        <v>2.053568784123468E-3</v>
      </c>
      <c r="U68" s="64">
        <f t="shared" si="32"/>
        <v>5.2770905295741115E-4</v>
      </c>
      <c r="V68" s="64">
        <f t="shared" si="32"/>
        <v>1.7550545141929985E-3</v>
      </c>
      <c r="W68" s="64">
        <f t="shared" si="32"/>
        <v>1.5966977980426305E-3</v>
      </c>
      <c r="X68" s="64">
        <f t="shared" si="32"/>
        <v>1.4883547305979431E-3</v>
      </c>
      <c r="Y68" s="64">
        <f t="shared" si="32"/>
        <v>0</v>
      </c>
      <c r="Z68" s="64">
        <f t="shared" si="32"/>
        <v>2.4717501378521425E-3</v>
      </c>
      <c r="AA68" s="64">
        <f t="shared" si="32"/>
        <v>1.3402368405103034E-3</v>
      </c>
      <c r="AB68" s="64">
        <f t="shared" si="32"/>
        <v>2.2830436805700623E-3</v>
      </c>
      <c r="AC68" s="64">
        <f t="shared" si="32"/>
        <v>2.0341724992062114E-3</v>
      </c>
      <c r="AD68" s="64">
        <f t="shared" si="32"/>
        <v>3.7028777093030202E-3</v>
      </c>
      <c r="AE68" s="64">
        <f t="shared" si="32"/>
        <v>7.6341791486908049E-3</v>
      </c>
    </row>
    <row r="69" spans="1:31" x14ac:dyDescent="0.2">
      <c r="A69" s="50"/>
      <c r="B69" s="5" t="s">
        <v>86</v>
      </c>
      <c r="C69" s="10"/>
      <c r="D69" s="74">
        <f t="shared" ref="D69:AE69" si="33">+D35/D$17</f>
        <v>0</v>
      </c>
      <c r="E69" s="74">
        <f t="shared" si="33"/>
        <v>0</v>
      </c>
      <c r="F69" s="74">
        <f t="shared" si="33"/>
        <v>1.0677369713027773E-2</v>
      </c>
      <c r="G69" s="74">
        <f t="shared" si="33"/>
        <v>2.1798065778894367E-3</v>
      </c>
      <c r="H69" s="74">
        <f t="shared" si="33"/>
        <v>1.1675020038944554E-2</v>
      </c>
      <c r="I69" s="74">
        <f t="shared" si="33"/>
        <v>1.5307171732235872E-2</v>
      </c>
      <c r="J69" s="74">
        <f t="shared" si="33"/>
        <v>4.2269971828590776E-2</v>
      </c>
      <c r="K69" s="74">
        <f t="shared" si="33"/>
        <v>6.8108237120980811E-2</v>
      </c>
      <c r="L69" s="74">
        <f t="shared" si="33"/>
        <v>5.6156647454289464E-2</v>
      </c>
      <c r="M69" s="74">
        <f t="shared" si="33"/>
        <v>1.302213429916653E-2</v>
      </c>
      <c r="N69" s="74">
        <f t="shared" si="33"/>
        <v>0</v>
      </c>
      <c r="O69" s="74">
        <f t="shared" si="33"/>
        <v>0</v>
      </c>
      <c r="P69" s="74">
        <f t="shared" si="33"/>
        <v>0</v>
      </c>
      <c r="Q69" s="74">
        <f t="shared" si="33"/>
        <v>7.7522851936121678E-4</v>
      </c>
      <c r="R69" s="74">
        <f t="shared" si="33"/>
        <v>7.6831484960918966E-3</v>
      </c>
      <c r="S69" s="74">
        <f t="shared" si="33"/>
        <v>6.9582633859607635E-3</v>
      </c>
      <c r="T69" s="74">
        <f t="shared" si="33"/>
        <v>5.7499925955457097E-3</v>
      </c>
      <c r="U69" s="74">
        <f t="shared" si="33"/>
        <v>1.4775853482807513E-3</v>
      </c>
      <c r="V69" s="74">
        <f t="shared" si="33"/>
        <v>4.9141526397403958E-3</v>
      </c>
      <c r="W69" s="74">
        <f t="shared" si="33"/>
        <v>4.4707538345193651E-3</v>
      </c>
      <c r="X69" s="74">
        <f t="shared" si="33"/>
        <v>4.1673932456742406E-3</v>
      </c>
      <c r="Y69" s="74">
        <f t="shared" si="33"/>
        <v>0</v>
      </c>
      <c r="Z69" s="74">
        <f t="shared" si="33"/>
        <v>6.9209003859859982E-3</v>
      </c>
      <c r="AA69" s="74">
        <f t="shared" si="33"/>
        <v>3.7526631534288493E-3</v>
      </c>
      <c r="AB69" s="74">
        <f t="shared" si="33"/>
        <v>6.3925223055961737E-3</v>
      </c>
      <c r="AC69" s="74">
        <f t="shared" si="33"/>
        <v>5.6956829977773916E-3</v>
      </c>
      <c r="AD69" s="74">
        <f t="shared" si="33"/>
        <v>1.0368057586048455E-2</v>
      </c>
      <c r="AE69" s="74">
        <f t="shared" si="33"/>
        <v>2.1375701616334251E-2</v>
      </c>
    </row>
    <row r="70" spans="1:31" x14ac:dyDescent="0.2">
      <c r="A70" s="51"/>
      <c r="B70" s="11" t="s">
        <v>87</v>
      </c>
      <c r="C70" s="12"/>
      <c r="D70" s="75">
        <f t="shared" ref="D70:AE70" si="34">+D36/D$17</f>
        <v>0</v>
      </c>
      <c r="E70" s="75">
        <f t="shared" si="34"/>
        <v>0</v>
      </c>
      <c r="F70" s="75">
        <f t="shared" si="34"/>
        <v>7.6266926521626963E-4</v>
      </c>
      <c r="G70" s="75">
        <f t="shared" si="34"/>
        <v>1.5570046984924549E-4</v>
      </c>
      <c r="H70" s="75">
        <f t="shared" si="34"/>
        <v>8.3393000278175386E-4</v>
      </c>
      <c r="I70" s="75">
        <f t="shared" si="34"/>
        <v>1.0933694094454197E-3</v>
      </c>
      <c r="J70" s="75">
        <f t="shared" si="34"/>
        <v>3.0192837020421989E-3</v>
      </c>
      <c r="K70" s="75">
        <f t="shared" si="34"/>
        <v>4.8648740800700582E-3</v>
      </c>
      <c r="L70" s="75">
        <f t="shared" si="34"/>
        <v>4.0111891038778196E-3</v>
      </c>
      <c r="M70" s="75">
        <f t="shared" si="34"/>
        <v>9.3015244994046657E-4</v>
      </c>
      <c r="N70" s="75">
        <f t="shared" si="34"/>
        <v>0</v>
      </c>
      <c r="O70" s="75">
        <f t="shared" si="34"/>
        <v>0</v>
      </c>
      <c r="P70" s="75">
        <f t="shared" si="34"/>
        <v>0</v>
      </c>
      <c r="Q70" s="75">
        <f t="shared" si="34"/>
        <v>5.5373465668658344E-5</v>
      </c>
      <c r="R70" s="75">
        <f t="shared" si="34"/>
        <v>5.4879632114942123E-4</v>
      </c>
      <c r="S70" s="75">
        <f t="shared" si="34"/>
        <v>4.9701881328291172E-4</v>
      </c>
      <c r="T70" s="75">
        <f t="shared" si="34"/>
        <v>4.1071375682469362E-4</v>
      </c>
      <c r="U70" s="75">
        <f t="shared" si="34"/>
        <v>1.0554181059148224E-4</v>
      </c>
      <c r="V70" s="75">
        <f t="shared" si="34"/>
        <v>3.5101090283859974E-4</v>
      </c>
      <c r="W70" s="75">
        <f t="shared" si="34"/>
        <v>3.1933955960852605E-4</v>
      </c>
      <c r="X70" s="75">
        <f t="shared" si="34"/>
        <v>2.9767094611958864E-4</v>
      </c>
      <c r="Y70" s="75">
        <f t="shared" si="34"/>
        <v>0</v>
      </c>
      <c r="Z70" s="75">
        <f t="shared" si="34"/>
        <v>4.9435002757042853E-4</v>
      </c>
      <c r="AA70" s="75">
        <f t="shared" si="34"/>
        <v>2.680473681020607E-4</v>
      </c>
      <c r="AB70" s="75">
        <f t="shared" si="34"/>
        <v>4.5660873611401247E-4</v>
      </c>
      <c r="AC70" s="75">
        <f t="shared" si="34"/>
        <v>4.0683449984124225E-4</v>
      </c>
      <c r="AD70" s="75">
        <f t="shared" si="34"/>
        <v>7.4057554186060417E-4</v>
      </c>
      <c r="AE70" s="75">
        <f t="shared" si="34"/>
        <v>1.526835829738161E-3</v>
      </c>
    </row>
    <row r="71" spans="1:31" x14ac:dyDescent="0.2">
      <c r="A71" s="49" t="s">
        <v>31</v>
      </c>
      <c r="B71" s="5" t="s">
        <v>85</v>
      </c>
      <c r="C71" s="10"/>
      <c r="D71" s="74">
        <f t="shared" ref="D71:AE71" si="35">+D37/D$17</f>
        <v>0</v>
      </c>
      <c r="E71" s="74">
        <f t="shared" si="35"/>
        <v>0</v>
      </c>
      <c r="F71" s="74">
        <f t="shared" si="35"/>
        <v>0</v>
      </c>
      <c r="G71" s="74">
        <f t="shared" si="35"/>
        <v>1.1145266917400121E-5</v>
      </c>
      <c r="H71" s="74">
        <f t="shared" si="35"/>
        <v>2.0842161495313163E-5</v>
      </c>
      <c r="I71" s="74">
        <f t="shared" si="35"/>
        <v>2.9210479082633343E-5</v>
      </c>
      <c r="J71" s="74">
        <f t="shared" si="35"/>
        <v>3.63515436019769E-5</v>
      </c>
      <c r="K71" s="74">
        <f t="shared" si="35"/>
        <v>5.10264489130027E-5</v>
      </c>
      <c r="L71" s="74">
        <f t="shared" si="35"/>
        <v>6.6402198245311652E-5</v>
      </c>
      <c r="M71" s="74">
        <f t="shared" si="35"/>
        <v>8.5307480211996973E-5</v>
      </c>
      <c r="N71" s="74">
        <f t="shared" si="35"/>
        <v>1.1373101382151727E-4</v>
      </c>
      <c r="O71" s="74">
        <f t="shared" si="35"/>
        <v>1.6311169559098484E-4</v>
      </c>
      <c r="P71" s="74">
        <f t="shared" si="35"/>
        <v>2.4960792593396941E-4</v>
      </c>
      <c r="Q71" s="74">
        <f t="shared" si="35"/>
        <v>3.7972368218884675E-4</v>
      </c>
      <c r="R71" s="74">
        <f t="shared" si="35"/>
        <v>5.2548349546920742E-4</v>
      </c>
      <c r="S71" s="74">
        <f t="shared" si="35"/>
        <v>6.39041926395108E-4</v>
      </c>
      <c r="T71" s="74">
        <f t="shared" si="35"/>
        <v>7.0224025243825977E-4</v>
      </c>
      <c r="U71" s="74">
        <f t="shared" si="35"/>
        <v>7.2842201687906949E-4</v>
      </c>
      <c r="V71" s="74">
        <f t="shared" si="35"/>
        <v>7.3501381406578989E-4</v>
      </c>
      <c r="W71" s="74">
        <f t="shared" si="35"/>
        <v>7.3280099791170827E-4</v>
      </c>
      <c r="X71" s="74">
        <f t="shared" si="35"/>
        <v>7.2696499354380157E-4</v>
      </c>
      <c r="Y71" s="74">
        <f t="shared" si="35"/>
        <v>7.1976298012692036E-4</v>
      </c>
      <c r="Z71" s="74">
        <f t="shared" si="35"/>
        <v>7.0812009777934627E-4</v>
      </c>
      <c r="AA71" s="74">
        <f t="shared" si="35"/>
        <v>6.9598775217618702E-4</v>
      </c>
      <c r="AB71" s="74">
        <f t="shared" si="35"/>
        <v>6.8436012453793071E-4</v>
      </c>
      <c r="AC71" s="74">
        <f t="shared" si="35"/>
        <v>6.7322358561588394E-4</v>
      </c>
      <c r="AD71" s="74">
        <f t="shared" si="35"/>
        <v>6.6256468766476317E-4</v>
      </c>
      <c r="AE71" s="74">
        <f t="shared" si="35"/>
        <v>6.5237005174898573E-4</v>
      </c>
    </row>
    <row r="72" spans="1:31" x14ac:dyDescent="0.2">
      <c r="A72" s="50"/>
      <c r="B72" s="5" t="s">
        <v>86</v>
      </c>
      <c r="C72" s="10"/>
      <c r="D72" s="74">
        <f t="shared" ref="D72:AE72" si="36">+D38/D$17</f>
        <v>0</v>
      </c>
      <c r="E72" s="74">
        <f t="shared" si="36"/>
        <v>0</v>
      </c>
      <c r="F72" s="74">
        <f t="shared" si="36"/>
        <v>0</v>
      </c>
      <c r="G72" s="74">
        <f t="shared" si="36"/>
        <v>3.3435800752200361E-5</v>
      </c>
      <c r="H72" s="74">
        <f t="shared" si="36"/>
        <v>6.2526484485939476E-5</v>
      </c>
      <c r="I72" s="74">
        <f t="shared" si="36"/>
        <v>8.7631437247900025E-5</v>
      </c>
      <c r="J72" s="74">
        <f t="shared" si="36"/>
        <v>1.090546308059307E-4</v>
      </c>
      <c r="K72" s="74">
        <f t="shared" si="36"/>
        <v>1.5307934673900809E-4</v>
      </c>
      <c r="L72" s="74">
        <f t="shared" si="36"/>
        <v>1.992065947359349E-4</v>
      </c>
      <c r="M72" s="74">
        <f t="shared" si="36"/>
        <v>2.5592244063599086E-4</v>
      </c>
      <c r="N72" s="74">
        <f t="shared" si="36"/>
        <v>3.4119304146455173E-4</v>
      </c>
      <c r="O72" s="74">
        <f t="shared" si="36"/>
        <v>4.8933508677295441E-4</v>
      </c>
      <c r="P72" s="74">
        <f t="shared" si="36"/>
        <v>7.488237778019083E-4</v>
      </c>
      <c r="Q72" s="74">
        <f t="shared" si="36"/>
        <v>1.1391710465665399E-3</v>
      </c>
      <c r="R72" s="74">
        <f t="shared" si="36"/>
        <v>1.5764504864076224E-3</v>
      </c>
      <c r="S72" s="74">
        <f t="shared" si="36"/>
        <v>1.9171257791853239E-3</v>
      </c>
      <c r="T72" s="74">
        <f t="shared" si="36"/>
        <v>2.1067207573147793E-3</v>
      </c>
      <c r="U72" s="74">
        <f t="shared" si="36"/>
        <v>2.1852660506372079E-3</v>
      </c>
      <c r="V72" s="74">
        <f t="shared" si="36"/>
        <v>2.2050414421973695E-3</v>
      </c>
      <c r="W72" s="74">
        <f t="shared" si="36"/>
        <v>2.1984029937351245E-3</v>
      </c>
      <c r="X72" s="74">
        <f t="shared" si="36"/>
        <v>2.1808949806314047E-3</v>
      </c>
      <c r="Y72" s="74">
        <f t="shared" si="36"/>
        <v>2.1592889403807603E-3</v>
      </c>
      <c r="Z72" s="74">
        <f t="shared" si="36"/>
        <v>2.1243602933380384E-3</v>
      </c>
      <c r="AA72" s="74">
        <f t="shared" si="36"/>
        <v>2.087963256528561E-3</v>
      </c>
      <c r="AB72" s="74">
        <f t="shared" si="36"/>
        <v>2.0530803736137923E-3</v>
      </c>
      <c r="AC72" s="74">
        <f t="shared" si="36"/>
        <v>2.0196707568476513E-3</v>
      </c>
      <c r="AD72" s="74">
        <f t="shared" si="36"/>
        <v>1.9876940629942894E-3</v>
      </c>
      <c r="AE72" s="74">
        <f t="shared" si="36"/>
        <v>1.957110155246957E-3</v>
      </c>
    </row>
    <row r="73" spans="1:31" x14ac:dyDescent="0.2">
      <c r="A73" s="51"/>
      <c r="B73" s="11" t="s">
        <v>87</v>
      </c>
      <c r="C73" s="12"/>
      <c r="D73" s="75">
        <f t="shared" ref="D73:AE73" si="37">+D39/D$17</f>
        <v>0</v>
      </c>
      <c r="E73" s="75">
        <f t="shared" si="37"/>
        <v>0</v>
      </c>
      <c r="F73" s="75">
        <f t="shared" si="37"/>
        <v>0</v>
      </c>
      <c r="G73" s="75">
        <f t="shared" si="37"/>
        <v>6.6871601504400722E-5</v>
      </c>
      <c r="H73" s="75">
        <f t="shared" si="37"/>
        <v>1.2505296897187895E-4</v>
      </c>
      <c r="I73" s="75">
        <f t="shared" si="37"/>
        <v>1.7526287449580005E-4</v>
      </c>
      <c r="J73" s="75">
        <f t="shared" si="37"/>
        <v>2.181092616118614E-4</v>
      </c>
      <c r="K73" s="75">
        <f t="shared" si="37"/>
        <v>3.0615869347801617E-4</v>
      </c>
      <c r="L73" s="75">
        <f t="shared" si="37"/>
        <v>3.984131894718698E-4</v>
      </c>
      <c r="M73" s="75">
        <f t="shared" si="37"/>
        <v>5.1184488127198173E-4</v>
      </c>
      <c r="N73" s="75">
        <f t="shared" si="37"/>
        <v>6.8238608292910347E-4</v>
      </c>
      <c r="O73" s="75">
        <f t="shared" si="37"/>
        <v>9.7867017354590882E-4</v>
      </c>
      <c r="P73" s="75">
        <f t="shared" si="37"/>
        <v>1.4976475556038166E-3</v>
      </c>
      <c r="Q73" s="75">
        <f t="shared" si="37"/>
        <v>2.2783420931330798E-3</v>
      </c>
      <c r="R73" s="75">
        <f t="shared" si="37"/>
        <v>3.1529009728152447E-3</v>
      </c>
      <c r="S73" s="75">
        <f t="shared" si="37"/>
        <v>3.8342515583706478E-3</v>
      </c>
      <c r="T73" s="75">
        <f t="shared" si="37"/>
        <v>4.2134415146295586E-3</v>
      </c>
      <c r="U73" s="75">
        <f t="shared" si="37"/>
        <v>4.3705321012744158E-3</v>
      </c>
      <c r="V73" s="75">
        <f t="shared" si="37"/>
        <v>4.4100828843947389E-3</v>
      </c>
      <c r="W73" s="75">
        <f t="shared" si="37"/>
        <v>4.396805987470249E-3</v>
      </c>
      <c r="X73" s="75">
        <f t="shared" si="37"/>
        <v>4.3617899612628094E-3</v>
      </c>
      <c r="Y73" s="75">
        <f t="shared" si="37"/>
        <v>4.3185778807615207E-3</v>
      </c>
      <c r="Z73" s="75">
        <f t="shared" si="37"/>
        <v>4.2487205866760767E-3</v>
      </c>
      <c r="AA73" s="75">
        <f t="shared" si="37"/>
        <v>4.1759265130571219E-3</v>
      </c>
      <c r="AB73" s="75">
        <f t="shared" si="37"/>
        <v>4.1061607472275847E-3</v>
      </c>
      <c r="AC73" s="75">
        <f t="shared" si="37"/>
        <v>4.0393415136953026E-3</v>
      </c>
      <c r="AD73" s="75">
        <f t="shared" si="37"/>
        <v>3.9753881259885788E-3</v>
      </c>
      <c r="AE73" s="75">
        <f t="shared" si="37"/>
        <v>3.9142203104939139E-3</v>
      </c>
    </row>
    <row r="74" spans="1:31" x14ac:dyDescent="0.2">
      <c r="A74" s="49" t="s">
        <v>32</v>
      </c>
      <c r="B74" s="5" t="s">
        <v>85</v>
      </c>
      <c r="C74" s="10"/>
      <c r="D74" s="74">
        <f t="shared" ref="D74:AE74" si="38">+D40/D$17</f>
        <v>0</v>
      </c>
      <c r="E74" s="74">
        <f t="shared" si="38"/>
        <v>0</v>
      </c>
      <c r="F74" s="74">
        <f t="shared" si="38"/>
        <v>3.317170880881156E-7</v>
      </c>
      <c r="G74" s="74">
        <f t="shared" si="38"/>
        <v>1.5666204403401134E-6</v>
      </c>
      <c r="H74" s="74">
        <f t="shared" si="38"/>
        <v>2.7903618220148974E-6</v>
      </c>
      <c r="I74" s="74">
        <f t="shared" si="38"/>
        <v>4.0030230335551543E-6</v>
      </c>
      <c r="J74" s="74">
        <f t="shared" si="38"/>
        <v>5.2053827064484378E-6</v>
      </c>
      <c r="K74" s="74">
        <f t="shared" si="38"/>
        <v>6.3965840157210944E-6</v>
      </c>
      <c r="L74" s="74">
        <f t="shared" si="38"/>
        <v>7.5762932063613747E-6</v>
      </c>
      <c r="M74" s="74">
        <f t="shared" si="38"/>
        <v>8.7441317761638398E-6</v>
      </c>
      <c r="N74" s="74">
        <f t="shared" si="38"/>
        <v>3.7858167480401749E-5</v>
      </c>
      <c r="O74" s="74">
        <f t="shared" si="38"/>
        <v>6.2047180096629366E-5</v>
      </c>
      <c r="P74" s="74">
        <f t="shared" si="38"/>
        <v>8.2040801191756772E-5</v>
      </c>
      <c r="Q74" s="74">
        <f t="shared" si="38"/>
        <v>9.8470074721905134E-5</v>
      </c>
      <c r="R74" s="74">
        <f t="shared" si="38"/>
        <v>1.1187970351547636E-4</v>
      </c>
      <c r="S74" s="74">
        <f t="shared" si="38"/>
        <v>1.2273891645244375E-4</v>
      </c>
      <c r="T74" s="74">
        <f t="shared" si="38"/>
        <v>1.314509559496925E-4</v>
      </c>
      <c r="U74" s="74">
        <f t="shared" si="38"/>
        <v>1.3836151773022313E-4</v>
      </c>
      <c r="V74" s="74">
        <f t="shared" si="38"/>
        <v>1.4378470635119367E-4</v>
      </c>
      <c r="W74" s="74">
        <f t="shared" si="38"/>
        <v>1.479737965344011E-4</v>
      </c>
      <c r="X74" s="74">
        <f t="shared" si="38"/>
        <v>1.5114333247089146E-4</v>
      </c>
      <c r="Y74" s="74">
        <f t="shared" si="38"/>
        <v>1.5347429507944372E-4</v>
      </c>
      <c r="Z74" s="74">
        <f t="shared" si="38"/>
        <v>1.5511878273778359E-4</v>
      </c>
      <c r="AA74" s="74">
        <f t="shared" si="38"/>
        <v>1.5620402916392113E-4</v>
      </c>
      <c r="AB74" s="74">
        <f t="shared" si="38"/>
        <v>1.5683618002472802E-4</v>
      </c>
      <c r="AC74" s="74">
        <f t="shared" si="38"/>
        <v>1.5710289146986998E-4</v>
      </c>
      <c r="AD74" s="74">
        <f t="shared" si="38"/>
        <v>1.5707612623919428E-4</v>
      </c>
      <c r="AE74" s="74">
        <f t="shared" si="38"/>
        <v>1.5681450675542359E-4</v>
      </c>
    </row>
    <row r="75" spans="1:31" x14ac:dyDescent="0.2">
      <c r="A75" s="50"/>
      <c r="B75" s="5" t="s">
        <v>86</v>
      </c>
      <c r="C75" s="10"/>
      <c r="D75" s="74">
        <f t="shared" ref="D75:AE75" si="39">+D41/D$17</f>
        <v>0</v>
      </c>
      <c r="E75" s="74">
        <f t="shared" si="39"/>
        <v>0</v>
      </c>
      <c r="F75" s="74">
        <f t="shared" si="39"/>
        <v>2.6537367047049248E-6</v>
      </c>
      <c r="G75" s="74">
        <f t="shared" si="39"/>
        <v>1.2532963522720907E-5</v>
      </c>
      <c r="H75" s="74">
        <f t="shared" si="39"/>
        <v>2.2322894576119179E-5</v>
      </c>
      <c r="I75" s="74">
        <f t="shared" si="39"/>
        <v>3.2024184268441235E-5</v>
      </c>
      <c r="J75" s="74">
        <f t="shared" si="39"/>
        <v>4.1643061651587502E-5</v>
      </c>
      <c r="K75" s="74">
        <f t="shared" si="39"/>
        <v>5.1172672125768755E-5</v>
      </c>
      <c r="L75" s="74">
        <f t="shared" si="39"/>
        <v>6.0610345650890997E-5</v>
      </c>
      <c r="M75" s="74">
        <f t="shared" si="39"/>
        <v>6.9953054209310718E-5</v>
      </c>
      <c r="N75" s="74">
        <f t="shared" si="39"/>
        <v>3.0286533984321399E-4</v>
      </c>
      <c r="O75" s="74">
        <f t="shared" si="39"/>
        <v>4.9637744077303493E-4</v>
      </c>
      <c r="P75" s="74">
        <f t="shared" si="39"/>
        <v>6.5632640953405417E-4</v>
      </c>
      <c r="Q75" s="74">
        <f t="shared" si="39"/>
        <v>7.8776059777524107E-4</v>
      </c>
      <c r="R75" s="74">
        <f t="shared" si="39"/>
        <v>8.9503762812381089E-4</v>
      </c>
      <c r="S75" s="74">
        <f t="shared" si="39"/>
        <v>9.8191133161954999E-4</v>
      </c>
      <c r="T75" s="74">
        <f t="shared" si="39"/>
        <v>1.05160764759754E-3</v>
      </c>
      <c r="U75" s="74">
        <f t="shared" si="39"/>
        <v>1.106892141841785E-3</v>
      </c>
      <c r="V75" s="74">
        <f t="shared" si="39"/>
        <v>1.1502776508095494E-3</v>
      </c>
      <c r="W75" s="74">
        <f t="shared" si="39"/>
        <v>1.1837903722752088E-3</v>
      </c>
      <c r="X75" s="74">
        <f t="shared" si="39"/>
        <v>1.2091466597671317E-3</v>
      </c>
      <c r="Y75" s="74">
        <f t="shared" si="39"/>
        <v>1.2277943606355498E-3</v>
      </c>
      <c r="Z75" s="74">
        <f t="shared" si="39"/>
        <v>1.2409502619022687E-3</v>
      </c>
      <c r="AA75" s="74">
        <f t="shared" si="39"/>
        <v>1.249632233311369E-3</v>
      </c>
      <c r="AB75" s="74">
        <f t="shared" si="39"/>
        <v>1.2546894401978242E-3</v>
      </c>
      <c r="AC75" s="74">
        <f t="shared" si="39"/>
        <v>1.2568231317589599E-3</v>
      </c>
      <c r="AD75" s="74">
        <f t="shared" si="39"/>
        <v>1.2566090099135542E-3</v>
      </c>
      <c r="AE75" s="74">
        <f t="shared" si="39"/>
        <v>1.2545160540433887E-3</v>
      </c>
    </row>
    <row r="76" spans="1:31" x14ac:dyDescent="0.2">
      <c r="A76" s="51"/>
      <c r="B76" s="11" t="s">
        <v>87</v>
      </c>
      <c r="C76" s="12"/>
      <c r="D76" s="75">
        <f t="shared" ref="D76:AE76" si="40">+D42/D$17</f>
        <v>0</v>
      </c>
      <c r="E76" s="75">
        <f t="shared" si="40"/>
        <v>0</v>
      </c>
      <c r="F76" s="75">
        <f t="shared" si="40"/>
        <v>3.6488879689692715E-6</v>
      </c>
      <c r="G76" s="75">
        <f t="shared" si="40"/>
        <v>1.723282484374125E-5</v>
      </c>
      <c r="H76" s="75">
        <f t="shared" si="40"/>
        <v>3.069398004216387E-5</v>
      </c>
      <c r="I76" s="75">
        <f t="shared" si="40"/>
        <v>4.4033253369106698E-5</v>
      </c>
      <c r="J76" s="75">
        <f t="shared" si="40"/>
        <v>5.7259209770932811E-5</v>
      </c>
      <c r="K76" s="75">
        <f t="shared" si="40"/>
        <v>7.036242417293205E-5</v>
      </c>
      <c r="L76" s="75">
        <f t="shared" si="40"/>
        <v>8.3339225269975114E-5</v>
      </c>
      <c r="M76" s="75">
        <f t="shared" si="40"/>
        <v>9.6185449537802235E-5</v>
      </c>
      <c r="N76" s="75">
        <f t="shared" si="40"/>
        <v>4.1643984228441924E-4</v>
      </c>
      <c r="O76" s="75">
        <f t="shared" si="40"/>
        <v>6.8251898106292308E-4</v>
      </c>
      <c r="P76" s="75">
        <f t="shared" si="40"/>
        <v>9.0244881310932448E-4</v>
      </c>
      <c r="Q76" s="75">
        <f t="shared" si="40"/>
        <v>1.0831708219409565E-3</v>
      </c>
      <c r="R76" s="75">
        <f t="shared" si="40"/>
        <v>1.23067673867024E-3</v>
      </c>
      <c r="S76" s="75">
        <f t="shared" si="40"/>
        <v>1.3501280809768814E-3</v>
      </c>
      <c r="T76" s="75">
        <f t="shared" si="40"/>
        <v>1.4459605154466177E-3</v>
      </c>
      <c r="U76" s="75">
        <f t="shared" si="40"/>
        <v>1.5219766950324543E-3</v>
      </c>
      <c r="V76" s="75">
        <f t="shared" si="40"/>
        <v>1.5816317698631303E-3</v>
      </c>
      <c r="W76" s="75">
        <f t="shared" si="40"/>
        <v>1.6277117618784121E-3</v>
      </c>
      <c r="X76" s="75">
        <f t="shared" si="40"/>
        <v>1.662576657179806E-3</v>
      </c>
      <c r="Y76" s="75">
        <f t="shared" si="40"/>
        <v>1.6882172458738808E-3</v>
      </c>
      <c r="Z76" s="75">
        <f t="shared" si="40"/>
        <v>1.7063066101156194E-3</v>
      </c>
      <c r="AA76" s="75">
        <f t="shared" si="40"/>
        <v>1.7182443208031324E-3</v>
      </c>
      <c r="AB76" s="75">
        <f t="shared" si="40"/>
        <v>1.7251979802720082E-3</v>
      </c>
      <c r="AC76" s="75">
        <f t="shared" si="40"/>
        <v>1.72813180616857E-3</v>
      </c>
      <c r="AD76" s="75">
        <f t="shared" si="40"/>
        <v>1.7278373886311371E-3</v>
      </c>
      <c r="AE76" s="75">
        <f t="shared" si="40"/>
        <v>1.7249595743096598E-3</v>
      </c>
    </row>
    <row r="77" spans="1:31" x14ac:dyDescent="0.2">
      <c r="A77" s="49" t="s">
        <v>33</v>
      </c>
      <c r="B77" s="5" t="s">
        <v>85</v>
      </c>
      <c r="C77" s="10"/>
      <c r="D77" s="74">
        <f t="shared" ref="D77:AE77" si="41">+D43/D$17</f>
        <v>0</v>
      </c>
      <c r="E77" s="74">
        <f t="shared" si="41"/>
        <v>0</v>
      </c>
      <c r="F77" s="74">
        <f t="shared" si="41"/>
        <v>6.9632249659347385E-6</v>
      </c>
      <c r="G77" s="74">
        <f t="shared" si="41"/>
        <v>1.7357092945807524E-5</v>
      </c>
      <c r="H77" s="74">
        <f t="shared" si="41"/>
        <v>2.6899659083987071E-5</v>
      </c>
      <c r="I77" s="74">
        <f t="shared" si="41"/>
        <v>3.6907160175159355E-5</v>
      </c>
      <c r="J77" s="74">
        <f t="shared" si="41"/>
        <v>4.6084322386495247E-5</v>
      </c>
      <c r="K77" s="74">
        <f t="shared" si="41"/>
        <v>5.4535837585974074E-5</v>
      </c>
      <c r="L77" s="74">
        <f t="shared" si="41"/>
        <v>6.2345442371820666E-5</v>
      </c>
      <c r="M77" s="74">
        <f t="shared" si="41"/>
        <v>6.9587883308490584E-5</v>
      </c>
      <c r="N77" s="74">
        <f t="shared" si="41"/>
        <v>7.6330283762132765E-5</v>
      </c>
      <c r="O77" s="74">
        <f t="shared" si="41"/>
        <v>8.2630046048490487E-5</v>
      </c>
      <c r="P77" s="74">
        <f t="shared" si="41"/>
        <v>8.8528327728500442E-5</v>
      </c>
      <c r="Q77" s="74">
        <f t="shared" si="41"/>
        <v>9.4044736728786209E-5</v>
      </c>
      <c r="R77" s="74">
        <f t="shared" si="41"/>
        <v>9.9184472872487496E-5</v>
      </c>
      <c r="S77" s="74">
        <f t="shared" si="41"/>
        <v>1.039554013095702E-4</v>
      </c>
      <c r="T77" s="74">
        <f t="shared" si="41"/>
        <v>1.0837704862001834E-4</v>
      </c>
      <c r="U77" s="74">
        <f t="shared" si="41"/>
        <v>1.1247665699415068E-4</v>
      </c>
      <c r="V77" s="74">
        <f t="shared" si="41"/>
        <v>1.1625944849866261E-4</v>
      </c>
      <c r="W77" s="74">
        <f t="shared" si="41"/>
        <v>1.1974864033996117E-4</v>
      </c>
      <c r="X77" s="74">
        <f t="shared" si="41"/>
        <v>1.2296422139186983E-4</v>
      </c>
      <c r="Y77" s="74">
        <f t="shared" si="41"/>
        <v>1.2592301349181488E-4</v>
      </c>
      <c r="Z77" s="74">
        <f t="shared" si="41"/>
        <v>1.286395024077895E-4</v>
      </c>
      <c r="AA77" s="74">
        <f t="shared" si="41"/>
        <v>1.311261297812201E-4</v>
      </c>
      <c r="AB77" s="74">
        <f t="shared" si="41"/>
        <v>1.3339367493445957E-4</v>
      </c>
      <c r="AC77" s="74">
        <f t="shared" si="41"/>
        <v>1.3545166366519092E-4</v>
      </c>
      <c r="AD77" s="74">
        <f t="shared" si="41"/>
        <v>1.3726079163628744E-4</v>
      </c>
      <c r="AE77" s="74">
        <f t="shared" si="41"/>
        <v>1.3887325275801246E-4</v>
      </c>
    </row>
    <row r="78" spans="1:31" x14ac:dyDescent="0.2">
      <c r="A78" s="50"/>
      <c r="B78" s="5" t="s">
        <v>86</v>
      </c>
      <c r="C78" s="10"/>
      <c r="D78" s="74">
        <f t="shared" ref="D78:AE78" si="42">+D44/D$17</f>
        <v>0</v>
      </c>
      <c r="E78" s="74">
        <f t="shared" si="42"/>
        <v>0</v>
      </c>
      <c r="F78" s="74">
        <f t="shared" si="42"/>
        <v>1.3230127435276E-4</v>
      </c>
      <c r="G78" s="74">
        <f t="shared" si="42"/>
        <v>3.2978476597034294E-4</v>
      </c>
      <c r="H78" s="74">
        <f t="shared" si="42"/>
        <v>5.1109352259575433E-4</v>
      </c>
      <c r="I78" s="74">
        <f t="shared" si="42"/>
        <v>7.0123604332802774E-4</v>
      </c>
      <c r="J78" s="74">
        <f t="shared" si="42"/>
        <v>8.7560212534340954E-4</v>
      </c>
      <c r="K78" s="74">
        <f t="shared" si="42"/>
        <v>1.0361809141335072E-3</v>
      </c>
      <c r="L78" s="74">
        <f t="shared" si="42"/>
        <v>1.1845634050645926E-3</v>
      </c>
      <c r="M78" s="74">
        <f t="shared" si="42"/>
        <v>1.3221697828613211E-3</v>
      </c>
      <c r="N78" s="74">
        <f t="shared" si="42"/>
        <v>1.4502753914805223E-3</v>
      </c>
      <c r="O78" s="74">
        <f t="shared" si="42"/>
        <v>1.5699708749213189E-3</v>
      </c>
      <c r="P78" s="74">
        <f t="shared" si="42"/>
        <v>1.6820382268415083E-3</v>
      </c>
      <c r="Q78" s="74">
        <f t="shared" si="42"/>
        <v>1.7868499978469377E-3</v>
      </c>
      <c r="R78" s="74">
        <f t="shared" si="42"/>
        <v>1.8845049845772623E-3</v>
      </c>
      <c r="S78" s="74">
        <f t="shared" si="42"/>
        <v>1.9751526248818338E-3</v>
      </c>
      <c r="T78" s="74">
        <f t="shared" si="42"/>
        <v>2.0591639237803484E-3</v>
      </c>
      <c r="U78" s="74">
        <f t="shared" si="42"/>
        <v>2.1370564828888626E-3</v>
      </c>
      <c r="V78" s="74">
        <f t="shared" si="42"/>
        <v>2.2089295214745893E-3</v>
      </c>
      <c r="W78" s="74">
        <f t="shared" si="42"/>
        <v>2.2752241664592619E-3</v>
      </c>
      <c r="X78" s="74">
        <f t="shared" si="42"/>
        <v>2.3363202064455263E-3</v>
      </c>
      <c r="Y78" s="74">
        <f t="shared" si="42"/>
        <v>2.3925372563444822E-3</v>
      </c>
      <c r="Z78" s="74">
        <f t="shared" si="42"/>
        <v>2.4441505457480001E-3</v>
      </c>
      <c r="AA78" s="74">
        <f t="shared" si="42"/>
        <v>2.4913964658431821E-3</v>
      </c>
      <c r="AB78" s="74">
        <f t="shared" si="42"/>
        <v>2.5344798237547316E-3</v>
      </c>
      <c r="AC78" s="74">
        <f t="shared" si="42"/>
        <v>2.5735816096386275E-3</v>
      </c>
      <c r="AD78" s="74">
        <f t="shared" si="42"/>
        <v>2.6079550410894612E-3</v>
      </c>
      <c r="AE78" s="74">
        <f t="shared" si="42"/>
        <v>2.6385918024022367E-3</v>
      </c>
    </row>
    <row r="79" spans="1:31" x14ac:dyDescent="0.2">
      <c r="A79" s="51"/>
      <c r="B79" s="11" t="s">
        <v>87</v>
      </c>
      <c r="C79" s="12"/>
      <c r="D79" s="75">
        <f t="shared" ref="D79:AE79" si="43">+D45/D$17</f>
        <v>0</v>
      </c>
      <c r="E79" s="75">
        <f t="shared" si="43"/>
        <v>0</v>
      </c>
      <c r="F79" s="75">
        <f t="shared" si="43"/>
        <v>0</v>
      </c>
      <c r="G79" s="75">
        <f t="shared" si="43"/>
        <v>0</v>
      </c>
      <c r="H79" s="75">
        <f t="shared" si="43"/>
        <v>0</v>
      </c>
      <c r="I79" s="75">
        <f t="shared" si="43"/>
        <v>0</v>
      </c>
      <c r="J79" s="75">
        <f t="shared" si="43"/>
        <v>0</v>
      </c>
      <c r="K79" s="75">
        <f t="shared" si="43"/>
        <v>0</v>
      </c>
      <c r="L79" s="75">
        <f t="shared" si="43"/>
        <v>0</v>
      </c>
      <c r="M79" s="75">
        <f t="shared" si="43"/>
        <v>0</v>
      </c>
      <c r="N79" s="75">
        <f t="shared" si="43"/>
        <v>0</v>
      </c>
      <c r="O79" s="75">
        <f t="shared" si="43"/>
        <v>0</v>
      </c>
      <c r="P79" s="75">
        <f t="shared" si="43"/>
        <v>0</v>
      </c>
      <c r="Q79" s="75">
        <f t="shared" si="43"/>
        <v>0</v>
      </c>
      <c r="R79" s="75">
        <f t="shared" si="43"/>
        <v>0</v>
      </c>
      <c r="S79" s="75">
        <f t="shared" si="43"/>
        <v>0</v>
      </c>
      <c r="T79" s="75">
        <f t="shared" si="43"/>
        <v>0</v>
      </c>
      <c r="U79" s="75">
        <f t="shared" si="43"/>
        <v>0</v>
      </c>
      <c r="V79" s="75">
        <f t="shared" si="43"/>
        <v>0</v>
      </c>
      <c r="W79" s="75">
        <f t="shared" si="43"/>
        <v>0</v>
      </c>
      <c r="X79" s="75">
        <f t="shared" si="43"/>
        <v>0</v>
      </c>
      <c r="Y79" s="75">
        <f t="shared" si="43"/>
        <v>0</v>
      </c>
      <c r="Z79" s="75">
        <f t="shared" si="43"/>
        <v>0</v>
      </c>
      <c r="AA79" s="75">
        <f t="shared" si="43"/>
        <v>0</v>
      </c>
      <c r="AB79" s="75">
        <f t="shared" si="43"/>
        <v>0</v>
      </c>
      <c r="AC79" s="75">
        <f t="shared" si="43"/>
        <v>0</v>
      </c>
      <c r="AD79" s="75">
        <f t="shared" si="43"/>
        <v>0</v>
      </c>
      <c r="AE79" s="75">
        <f t="shared" si="43"/>
        <v>0</v>
      </c>
    </row>
    <row r="80" spans="1:31" x14ac:dyDescent="0.2">
      <c r="A80" s="49" t="s">
        <v>34</v>
      </c>
      <c r="B80" s="5" t="s">
        <v>85</v>
      </c>
      <c r="C80" s="10"/>
      <c r="D80" s="74">
        <f t="shared" ref="D80:AE80" si="44">+D46/D$17</f>
        <v>0</v>
      </c>
      <c r="E80" s="74">
        <f t="shared" si="44"/>
        <v>0</v>
      </c>
      <c r="F80" s="74">
        <f t="shared" si="44"/>
        <v>0</v>
      </c>
      <c r="G80" s="74">
        <f t="shared" si="44"/>
        <v>3.6600171160754825E-4</v>
      </c>
      <c r="H80" s="74">
        <f t="shared" si="44"/>
        <v>3.9503140265793402E-4</v>
      </c>
      <c r="I80" s="74">
        <f t="shared" si="44"/>
        <v>4.2273141377740842E-4</v>
      </c>
      <c r="J80" s="74">
        <f t="shared" si="44"/>
        <v>4.4903891369724261E-4</v>
      </c>
      <c r="K80" s="74">
        <f t="shared" si="44"/>
        <v>4.7415853293203696E-4</v>
      </c>
      <c r="L80" s="74">
        <f t="shared" si="44"/>
        <v>4.9814404239462238E-4</v>
      </c>
      <c r="M80" s="74">
        <f t="shared" si="44"/>
        <v>5.2104680420960456E-4</v>
      </c>
      <c r="N80" s="74">
        <f t="shared" si="44"/>
        <v>5.4291591539518222E-4</v>
      </c>
      <c r="O80" s="74">
        <f t="shared" si="44"/>
        <v>5.6379832224584493E-4</v>
      </c>
      <c r="P80" s="74">
        <f t="shared" si="44"/>
        <v>5.8373892269666537E-4</v>
      </c>
      <c r="Q80" s="74">
        <f t="shared" si="44"/>
        <v>6.0278066148942381E-4</v>
      </c>
      <c r="R80" s="74">
        <f t="shared" si="44"/>
        <v>6.2096461972912154E-4</v>
      </c>
      <c r="S80" s="74">
        <f t="shared" si="44"/>
        <v>6.3833010020932553E-4</v>
      </c>
      <c r="T80" s="74">
        <f t="shared" si="44"/>
        <v>6.5491470798621939E-4</v>
      </c>
      <c r="U80" s="74">
        <f t="shared" si="44"/>
        <v>6.7075442767970206E-4</v>
      </c>
      <c r="V80" s="74">
        <f t="shared" si="44"/>
        <v>6.8574953257264423E-4</v>
      </c>
      <c r="W80" s="74">
        <f t="shared" si="44"/>
        <v>6.9992535369442054E-4</v>
      </c>
      <c r="X80" s="74">
        <f t="shared" si="44"/>
        <v>7.1330659226031461E-4</v>
      </c>
      <c r="Y80" s="74">
        <f t="shared" si="44"/>
        <v>7.2591733379942503E-4</v>
      </c>
      <c r="Z80" s="74">
        <f t="shared" si="44"/>
        <v>7.377810620779184E-4</v>
      </c>
      <c r="AA80" s="74">
        <f t="shared" si="44"/>
        <v>7.4892067299204028E-4</v>
      </c>
      <c r="AB80" s="74">
        <f t="shared" si="44"/>
        <v>7.5935848888005809E-4</v>
      </c>
      <c r="AC80" s="74">
        <f t="shared" si="44"/>
        <v>7.6911627001977827E-4</v>
      </c>
      <c r="AD80" s="74">
        <f t="shared" si="44"/>
        <v>7.7821522818334826E-4</v>
      </c>
      <c r="AE80" s="74">
        <f t="shared" si="44"/>
        <v>7.866760392140356E-4</v>
      </c>
    </row>
    <row r="81" spans="1:31" x14ac:dyDescent="0.2">
      <c r="A81" s="50"/>
      <c r="B81" s="5" t="s">
        <v>86</v>
      </c>
      <c r="C81" s="10"/>
      <c r="D81" s="74">
        <f t="shared" ref="D81:AE81" si="45">+D47/D$17</f>
        <v>0</v>
      </c>
      <c r="E81" s="74">
        <f t="shared" si="45"/>
        <v>0</v>
      </c>
      <c r="F81" s="74">
        <f t="shared" si="45"/>
        <v>0</v>
      </c>
      <c r="G81" s="74">
        <f t="shared" si="45"/>
        <v>6.9540325205434154E-3</v>
      </c>
      <c r="H81" s="74">
        <f t="shared" si="45"/>
        <v>7.5055966505007451E-3</v>
      </c>
      <c r="I81" s="74">
        <f t="shared" si="45"/>
        <v>8.0318968617707591E-3</v>
      </c>
      <c r="J81" s="74">
        <f t="shared" si="45"/>
        <v>8.5317393602476095E-3</v>
      </c>
      <c r="K81" s="74">
        <f t="shared" si="45"/>
        <v>9.0090121257087007E-3</v>
      </c>
      <c r="L81" s="74">
        <f t="shared" si="45"/>
        <v>9.4647368054978243E-3</v>
      </c>
      <c r="M81" s="74">
        <f t="shared" si="45"/>
        <v>9.8998892799824854E-3</v>
      </c>
      <c r="N81" s="74">
        <f t="shared" si="45"/>
        <v>1.0315402392508461E-2</v>
      </c>
      <c r="O81" s="74">
        <f t="shared" si="45"/>
        <v>1.0712168122671055E-2</v>
      </c>
      <c r="P81" s="74">
        <f t="shared" si="45"/>
        <v>1.109103953123664E-2</v>
      </c>
      <c r="Q81" s="74">
        <f t="shared" si="45"/>
        <v>1.1452832568299052E-2</v>
      </c>
      <c r="R81" s="74">
        <f t="shared" si="45"/>
        <v>1.1798327774853307E-2</v>
      </c>
      <c r="S81" s="74">
        <f t="shared" si="45"/>
        <v>1.2128271903977184E-2</v>
      </c>
      <c r="T81" s="74">
        <f t="shared" si="45"/>
        <v>1.2443379451738167E-2</v>
      </c>
      <c r="U81" s="74">
        <f t="shared" si="45"/>
        <v>1.2744334125914338E-2</v>
      </c>
      <c r="V81" s="74">
        <f t="shared" si="45"/>
        <v>1.3029241118880239E-2</v>
      </c>
      <c r="W81" s="74">
        <f t="shared" si="45"/>
        <v>1.3298581720193988E-2</v>
      </c>
      <c r="X81" s="74">
        <f t="shared" si="45"/>
        <v>1.3552825252945979E-2</v>
      </c>
      <c r="Y81" s="74">
        <f t="shared" si="45"/>
        <v>1.3792429342189074E-2</v>
      </c>
      <c r="Z81" s="74">
        <f t="shared" si="45"/>
        <v>1.4017840179480448E-2</v>
      </c>
      <c r="AA81" s="74">
        <f t="shared" si="45"/>
        <v>1.4229492786848765E-2</v>
      </c>
      <c r="AB81" s="74">
        <f t="shared" si="45"/>
        <v>1.4427811288721103E-2</v>
      </c>
      <c r="AC81" s="74">
        <f t="shared" si="45"/>
        <v>1.4613209130375787E-2</v>
      </c>
      <c r="AD81" s="74">
        <f t="shared" si="45"/>
        <v>1.4786089335483615E-2</v>
      </c>
      <c r="AE81" s="74">
        <f t="shared" si="45"/>
        <v>1.4946844745066674E-2</v>
      </c>
    </row>
    <row r="82" spans="1:31" x14ac:dyDescent="0.2">
      <c r="A82" s="51"/>
      <c r="B82" s="11" t="s">
        <v>87</v>
      </c>
      <c r="C82" s="12"/>
      <c r="D82" s="75">
        <f t="shared" ref="D82:AE82" si="46">+D48/D$17</f>
        <v>0</v>
      </c>
      <c r="E82" s="75">
        <f t="shared" si="46"/>
        <v>0</v>
      </c>
      <c r="F82" s="75">
        <f t="shared" si="46"/>
        <v>0</v>
      </c>
      <c r="G82" s="75">
        <f t="shared" si="46"/>
        <v>0</v>
      </c>
      <c r="H82" s="75">
        <f t="shared" si="46"/>
        <v>0</v>
      </c>
      <c r="I82" s="75">
        <f t="shared" si="46"/>
        <v>0</v>
      </c>
      <c r="J82" s="75">
        <f t="shared" si="46"/>
        <v>0</v>
      </c>
      <c r="K82" s="75">
        <f t="shared" si="46"/>
        <v>0</v>
      </c>
      <c r="L82" s="75">
        <f t="shared" si="46"/>
        <v>0</v>
      </c>
      <c r="M82" s="75">
        <f t="shared" si="46"/>
        <v>0</v>
      </c>
      <c r="N82" s="75">
        <f t="shared" si="46"/>
        <v>0</v>
      </c>
      <c r="O82" s="75">
        <f t="shared" si="46"/>
        <v>0</v>
      </c>
      <c r="P82" s="75">
        <f t="shared" si="46"/>
        <v>0</v>
      </c>
      <c r="Q82" s="75">
        <f t="shared" si="46"/>
        <v>0</v>
      </c>
      <c r="R82" s="75">
        <f t="shared" si="46"/>
        <v>0</v>
      </c>
      <c r="S82" s="75">
        <f t="shared" si="46"/>
        <v>0</v>
      </c>
      <c r="T82" s="75">
        <f t="shared" si="46"/>
        <v>0</v>
      </c>
      <c r="U82" s="75">
        <f t="shared" si="46"/>
        <v>0</v>
      </c>
      <c r="V82" s="75">
        <f t="shared" si="46"/>
        <v>0</v>
      </c>
      <c r="W82" s="75">
        <f t="shared" si="46"/>
        <v>0</v>
      </c>
      <c r="X82" s="75">
        <f t="shared" si="46"/>
        <v>0</v>
      </c>
      <c r="Y82" s="75">
        <f t="shared" si="46"/>
        <v>0</v>
      </c>
      <c r="Z82" s="75">
        <f t="shared" si="46"/>
        <v>0</v>
      </c>
      <c r="AA82" s="75">
        <f t="shared" si="46"/>
        <v>0</v>
      </c>
      <c r="AB82" s="75">
        <f t="shared" si="46"/>
        <v>0</v>
      </c>
      <c r="AC82" s="75">
        <f t="shared" si="46"/>
        <v>0</v>
      </c>
      <c r="AD82" s="75">
        <f t="shared" si="46"/>
        <v>0</v>
      </c>
      <c r="AE82" s="75">
        <f t="shared" si="46"/>
        <v>0</v>
      </c>
    </row>
    <row r="83" spans="1:31" x14ac:dyDescent="0.2">
      <c r="A83" s="49" t="s">
        <v>35</v>
      </c>
      <c r="B83" s="5" t="s">
        <v>85</v>
      </c>
      <c r="C83" s="10"/>
      <c r="D83" s="74">
        <f t="shared" ref="D83:AE83" si="47">+D49/D$17</f>
        <v>0</v>
      </c>
      <c r="E83" s="74">
        <f t="shared" si="47"/>
        <v>0</v>
      </c>
      <c r="F83" s="74">
        <f t="shared" si="47"/>
        <v>6.4750887939508494E-4</v>
      </c>
      <c r="G83" s="74">
        <f t="shared" si="47"/>
        <v>8.1719778131140693E-4</v>
      </c>
      <c r="H83" s="74">
        <f t="shared" si="47"/>
        <v>9.7369176423808563E-4</v>
      </c>
      <c r="I83" s="74">
        <f t="shared" si="47"/>
        <v>1.1008609823561152E-3</v>
      </c>
      <c r="J83" s="74">
        <f t="shared" si="47"/>
        <v>1.190905256295738E-3</v>
      </c>
      <c r="K83" s="74">
        <f t="shared" si="47"/>
        <v>1.2464806240510527E-3</v>
      </c>
      <c r="L83" s="74">
        <f t="shared" si="47"/>
        <v>1.2746801401981502E-3</v>
      </c>
      <c r="M83" s="74">
        <f t="shared" si="47"/>
        <v>1.2834983857171558E-3</v>
      </c>
      <c r="N83" s="74">
        <f t="shared" si="47"/>
        <v>1.2796407295517444E-3</v>
      </c>
      <c r="O83" s="74">
        <f t="shared" si="47"/>
        <v>1.2679497883003156E-3</v>
      </c>
      <c r="P83" s="74">
        <f t="shared" si="47"/>
        <v>1.2515617499676466E-3</v>
      </c>
      <c r="Q83" s="74">
        <f t="shared" si="47"/>
        <v>1.23836726308934E-3</v>
      </c>
      <c r="R83" s="74">
        <f t="shared" si="47"/>
        <v>1.2233699227586999E-3</v>
      </c>
      <c r="S83" s="74">
        <f t="shared" si="47"/>
        <v>1.2071315381048868E-3</v>
      </c>
      <c r="T83" s="74">
        <f t="shared" si="47"/>
        <v>1.1900974886754495E-3</v>
      </c>
      <c r="U83" s="74">
        <f t="shared" si="47"/>
        <v>1.1726385340383616E-3</v>
      </c>
      <c r="V83" s="74">
        <f t="shared" si="47"/>
        <v>1.1546213761065589E-3</v>
      </c>
      <c r="W83" s="74">
        <f t="shared" si="47"/>
        <v>1.1362571255428046E-3</v>
      </c>
      <c r="X83" s="74">
        <f t="shared" si="47"/>
        <v>1.0968069122056117E-3</v>
      </c>
      <c r="Y83" s="74">
        <f t="shared" si="47"/>
        <v>1.0587456106238837E-3</v>
      </c>
      <c r="Z83" s="74">
        <f t="shared" si="47"/>
        <v>1.0220658972321529E-3</v>
      </c>
      <c r="AA83" s="74">
        <f t="shared" si="47"/>
        <v>9.8675278000287742E-4</v>
      </c>
      <c r="AB83" s="74">
        <f t="shared" si="47"/>
        <v>9.5278148706360883E-4</v>
      </c>
      <c r="AC83" s="74">
        <f t="shared" si="47"/>
        <v>9.2012821203655247E-4</v>
      </c>
      <c r="AD83" s="74">
        <f t="shared" si="47"/>
        <v>8.8792944994199217E-4</v>
      </c>
      <c r="AE83" s="74">
        <f t="shared" si="47"/>
        <v>8.5701099983461924E-4</v>
      </c>
    </row>
    <row r="84" spans="1:31" x14ac:dyDescent="0.2">
      <c r="A84" s="50"/>
      <c r="B84" s="5" t="s">
        <v>86</v>
      </c>
      <c r="C84" s="10"/>
      <c r="D84" s="74">
        <f t="shared" ref="D84:AE84" si="48">+D50/D$17</f>
        <v>0</v>
      </c>
      <c r="E84" s="74">
        <f t="shared" si="48"/>
        <v>0</v>
      </c>
      <c r="F84" s="74">
        <f t="shared" si="48"/>
        <v>1.6187721984877124E-4</v>
      </c>
      <c r="G84" s="74">
        <f t="shared" si="48"/>
        <v>2.0429944532785173E-4</v>
      </c>
      <c r="H84" s="74">
        <f t="shared" si="48"/>
        <v>2.4342294105952141E-4</v>
      </c>
      <c r="I84" s="74">
        <f t="shared" si="48"/>
        <v>2.7521524558902881E-4</v>
      </c>
      <c r="J84" s="74">
        <f t="shared" si="48"/>
        <v>2.977263140739345E-4</v>
      </c>
      <c r="K84" s="74">
        <f t="shared" si="48"/>
        <v>3.1162015601276318E-4</v>
      </c>
      <c r="L84" s="74">
        <f t="shared" si="48"/>
        <v>3.1867003504953756E-4</v>
      </c>
      <c r="M84" s="74">
        <f t="shared" si="48"/>
        <v>3.2087459642928895E-4</v>
      </c>
      <c r="N84" s="74">
        <f t="shared" si="48"/>
        <v>3.199101823879361E-4</v>
      </c>
      <c r="O84" s="74">
        <f t="shared" si="48"/>
        <v>3.1698744707507891E-4</v>
      </c>
      <c r="P84" s="74">
        <f t="shared" si="48"/>
        <v>3.1289043749191164E-4</v>
      </c>
      <c r="Q84" s="74">
        <f t="shared" si="48"/>
        <v>3.09591815772335E-4</v>
      </c>
      <c r="R84" s="74">
        <f t="shared" si="48"/>
        <v>3.0584248068967498E-4</v>
      </c>
      <c r="S84" s="74">
        <f t="shared" si="48"/>
        <v>3.017828845262217E-4</v>
      </c>
      <c r="T84" s="74">
        <f t="shared" si="48"/>
        <v>2.9752437216886237E-4</v>
      </c>
      <c r="U84" s="74">
        <f t="shared" si="48"/>
        <v>2.9315963350959041E-4</v>
      </c>
      <c r="V84" s="74">
        <f t="shared" si="48"/>
        <v>2.8865534402663972E-4</v>
      </c>
      <c r="W84" s="74">
        <f t="shared" si="48"/>
        <v>2.8406428138570114E-4</v>
      </c>
      <c r="X84" s="74">
        <f t="shared" si="48"/>
        <v>2.7420172805140292E-4</v>
      </c>
      <c r="Y84" s="74">
        <f t="shared" si="48"/>
        <v>2.6468640265597094E-4</v>
      </c>
      <c r="Z84" s="74">
        <f t="shared" si="48"/>
        <v>2.5551647430803822E-4</v>
      </c>
      <c r="AA84" s="74">
        <f t="shared" si="48"/>
        <v>2.4668819500071936E-4</v>
      </c>
      <c r="AB84" s="74">
        <f t="shared" si="48"/>
        <v>2.3819537176590221E-4</v>
      </c>
      <c r="AC84" s="74">
        <f t="shared" si="48"/>
        <v>2.3003205300913812E-4</v>
      </c>
      <c r="AD84" s="74">
        <f t="shared" si="48"/>
        <v>2.2198236248549804E-4</v>
      </c>
      <c r="AE84" s="74">
        <f t="shared" si="48"/>
        <v>2.1425274995865481E-4</v>
      </c>
    </row>
    <row r="85" spans="1:31" x14ac:dyDescent="0.2">
      <c r="A85" s="51"/>
      <c r="B85" s="11" t="s">
        <v>87</v>
      </c>
      <c r="C85" s="12"/>
      <c r="D85" s="75">
        <f t="shared" ref="D85:AE85" si="49">+D51/D$17</f>
        <v>0</v>
      </c>
      <c r="E85" s="75">
        <f t="shared" si="49"/>
        <v>0</v>
      </c>
      <c r="F85" s="75">
        <f t="shared" si="49"/>
        <v>0</v>
      </c>
      <c r="G85" s="75">
        <f t="shared" si="49"/>
        <v>0</v>
      </c>
      <c r="H85" s="75">
        <f t="shared" si="49"/>
        <v>0</v>
      </c>
      <c r="I85" s="75">
        <f t="shared" si="49"/>
        <v>0</v>
      </c>
      <c r="J85" s="75">
        <f t="shared" si="49"/>
        <v>0</v>
      </c>
      <c r="K85" s="75">
        <f t="shared" si="49"/>
        <v>0</v>
      </c>
      <c r="L85" s="75">
        <f t="shared" si="49"/>
        <v>0</v>
      </c>
      <c r="M85" s="75">
        <f t="shared" si="49"/>
        <v>0</v>
      </c>
      <c r="N85" s="75">
        <f t="shared" si="49"/>
        <v>0</v>
      </c>
      <c r="O85" s="75">
        <f t="shared" si="49"/>
        <v>0</v>
      </c>
      <c r="P85" s="75">
        <f t="shared" si="49"/>
        <v>0</v>
      </c>
      <c r="Q85" s="75">
        <f t="shared" si="49"/>
        <v>0</v>
      </c>
      <c r="R85" s="75">
        <f t="shared" si="49"/>
        <v>0</v>
      </c>
      <c r="S85" s="75">
        <f t="shared" si="49"/>
        <v>0</v>
      </c>
      <c r="T85" s="75">
        <f t="shared" si="49"/>
        <v>0</v>
      </c>
      <c r="U85" s="75">
        <f t="shared" si="49"/>
        <v>0</v>
      </c>
      <c r="V85" s="75">
        <f t="shared" si="49"/>
        <v>0</v>
      </c>
      <c r="W85" s="75">
        <f t="shared" si="49"/>
        <v>0</v>
      </c>
      <c r="X85" s="75">
        <f t="shared" si="49"/>
        <v>0</v>
      </c>
      <c r="Y85" s="75">
        <f t="shared" si="49"/>
        <v>0</v>
      </c>
      <c r="Z85" s="75">
        <f t="shared" si="49"/>
        <v>0</v>
      </c>
      <c r="AA85" s="75">
        <f t="shared" si="49"/>
        <v>0</v>
      </c>
      <c r="AB85" s="75">
        <f t="shared" si="49"/>
        <v>0</v>
      </c>
      <c r="AC85" s="75">
        <f t="shared" si="49"/>
        <v>0</v>
      </c>
      <c r="AD85" s="75">
        <f t="shared" si="49"/>
        <v>0</v>
      </c>
      <c r="AE85" s="75">
        <f t="shared" si="49"/>
        <v>0</v>
      </c>
    </row>
    <row r="86" spans="1:31" x14ac:dyDescent="0.2">
      <c r="A86" s="49" t="s">
        <v>36</v>
      </c>
      <c r="B86" s="5" t="s">
        <v>85</v>
      </c>
      <c r="C86" s="10"/>
      <c r="D86" s="74">
        <f t="shared" ref="D86:AE86" si="50">+D52/D$17</f>
        <v>0</v>
      </c>
      <c r="E86" s="74">
        <f t="shared" si="50"/>
        <v>0</v>
      </c>
      <c r="F86" s="74">
        <f t="shared" si="50"/>
        <v>0</v>
      </c>
      <c r="G86" s="74">
        <f t="shared" si="50"/>
        <v>8.9515633731529682E-4</v>
      </c>
      <c r="H86" s="74">
        <f t="shared" si="50"/>
        <v>1.8430702874930275E-3</v>
      </c>
      <c r="I86" s="74">
        <f t="shared" si="50"/>
        <v>2.8438128903882673E-3</v>
      </c>
      <c r="J86" s="74">
        <f t="shared" si="50"/>
        <v>3.8968824658165281E-3</v>
      </c>
      <c r="K86" s="74">
        <f t="shared" si="50"/>
        <v>5.0029607257528223E-3</v>
      </c>
      <c r="L86" s="74">
        <f t="shared" si="50"/>
        <v>6.1622992670478383E-3</v>
      </c>
      <c r="M86" s="74">
        <f t="shared" si="50"/>
        <v>7.3751462759486207E-3</v>
      </c>
      <c r="N86" s="74">
        <f t="shared" si="50"/>
        <v>8.6417512008737686E-3</v>
      </c>
      <c r="O86" s="74">
        <f t="shared" si="50"/>
        <v>9.9623670499227636E-3</v>
      </c>
      <c r="P86" s="74">
        <f t="shared" si="50"/>
        <v>1.1337248580687551E-2</v>
      </c>
      <c r="Q86" s="74">
        <f t="shared" si="50"/>
        <v>1.12926843711548E-2</v>
      </c>
      <c r="R86" s="74">
        <f t="shared" si="50"/>
        <v>1.1248980336196536E-2</v>
      </c>
      <c r="S86" s="74">
        <f t="shared" si="50"/>
        <v>1.1206143778124527E-2</v>
      </c>
      <c r="T86" s="74">
        <f t="shared" si="50"/>
        <v>1.1164184662772076E-2</v>
      </c>
      <c r="U86" s="74">
        <f t="shared" si="50"/>
        <v>1.112311278448716E-2</v>
      </c>
      <c r="V86" s="74">
        <f t="shared" si="50"/>
        <v>1.1081925773588403E-2</v>
      </c>
      <c r="W86" s="74">
        <f t="shared" si="50"/>
        <v>1.1040666985017426E-2</v>
      </c>
      <c r="X86" s="74">
        <f t="shared" si="50"/>
        <v>1.0999378307593798E-2</v>
      </c>
      <c r="Y86" s="74">
        <f t="shared" si="50"/>
        <v>1.0958106227574066E-2</v>
      </c>
      <c r="Z86" s="74">
        <f t="shared" si="50"/>
        <v>1.091689694247302E-2</v>
      </c>
      <c r="AA86" s="74">
        <f t="shared" si="50"/>
        <v>1.0875795793655722E-2</v>
      </c>
      <c r="AB86" s="74">
        <f t="shared" si="50"/>
        <v>1.0834831793310179E-2</v>
      </c>
      <c r="AC86" s="74">
        <f t="shared" si="50"/>
        <v>1.0794041042705812E-2</v>
      </c>
      <c r="AD86" s="74">
        <f t="shared" si="50"/>
        <v>1.0753457720299207E-2</v>
      </c>
      <c r="AE86" s="74">
        <f t="shared" si="50"/>
        <v>1.0713110446611662E-2</v>
      </c>
    </row>
    <row r="87" spans="1:31" x14ac:dyDescent="0.2">
      <c r="A87" s="50"/>
      <c r="B87" s="5" t="s">
        <v>86</v>
      </c>
      <c r="C87" s="10"/>
      <c r="D87" s="74">
        <f t="shared" ref="D87:AE87" si="51">+D53/D$17</f>
        <v>0</v>
      </c>
      <c r="E87" s="74">
        <f t="shared" si="51"/>
        <v>0</v>
      </c>
      <c r="F87" s="74">
        <f t="shared" si="51"/>
        <v>0</v>
      </c>
      <c r="G87" s="74">
        <f t="shared" si="51"/>
        <v>1.5796876540858181E-4</v>
      </c>
      <c r="H87" s="74">
        <f t="shared" si="51"/>
        <v>3.2524769779288714E-4</v>
      </c>
      <c r="I87" s="74">
        <f t="shared" si="51"/>
        <v>5.0184933359792951E-4</v>
      </c>
      <c r="J87" s="74">
        <f t="shared" si="51"/>
        <v>6.8768514102644611E-4</v>
      </c>
      <c r="K87" s="74">
        <f t="shared" si="51"/>
        <v>8.828754221916745E-4</v>
      </c>
      <c r="L87" s="74">
        <f t="shared" si="51"/>
        <v>1.0874645765378539E-3</v>
      </c>
      <c r="M87" s="74">
        <f t="shared" si="51"/>
        <v>1.3014964016379918E-3</v>
      </c>
      <c r="N87" s="74">
        <f t="shared" si="51"/>
        <v>1.5250149178012533E-3</v>
      </c>
      <c r="O87" s="74">
        <f t="shared" si="51"/>
        <v>1.758064773515782E-3</v>
      </c>
      <c r="P87" s="74">
        <f t="shared" si="51"/>
        <v>2.0006909260036855E-3</v>
      </c>
      <c r="Q87" s="74">
        <f t="shared" si="51"/>
        <v>1.9928266537332004E-3</v>
      </c>
      <c r="R87" s="74">
        <f t="shared" si="51"/>
        <v>1.9851141769758598E-3</v>
      </c>
      <c r="S87" s="74">
        <f t="shared" si="51"/>
        <v>1.9775547843749164E-3</v>
      </c>
      <c r="T87" s="74">
        <f t="shared" si="51"/>
        <v>1.9701502346068369E-3</v>
      </c>
      <c r="U87" s="74">
        <f t="shared" si="51"/>
        <v>1.9629022560859696E-3</v>
      </c>
      <c r="V87" s="74">
        <f t="shared" si="51"/>
        <v>1.9556339600450123E-3</v>
      </c>
      <c r="W87" s="74">
        <f t="shared" si="51"/>
        <v>1.9483529973560166E-3</v>
      </c>
      <c r="X87" s="74">
        <f t="shared" si="51"/>
        <v>1.9410667601636117E-3</v>
      </c>
      <c r="Y87" s="74">
        <f t="shared" si="51"/>
        <v>1.9337834519248349E-3</v>
      </c>
      <c r="Z87" s="74">
        <f t="shared" si="51"/>
        <v>1.9265112251422977E-3</v>
      </c>
      <c r="AA87" s="74">
        <f t="shared" si="51"/>
        <v>1.9192580812333626E-3</v>
      </c>
      <c r="AB87" s="74">
        <f t="shared" si="51"/>
        <v>1.9120291399959139E-3</v>
      </c>
      <c r="AC87" s="74">
        <f t="shared" si="51"/>
        <v>1.9048307722422024E-3</v>
      </c>
      <c r="AD87" s="74">
        <f t="shared" si="51"/>
        <v>1.8976690094645659E-3</v>
      </c>
      <c r="AE87" s="74">
        <f t="shared" si="51"/>
        <v>1.8905489023432343E-3</v>
      </c>
    </row>
    <row r="88" spans="1:31" x14ac:dyDescent="0.2">
      <c r="A88" s="51"/>
      <c r="B88" s="11" t="s">
        <v>87</v>
      </c>
      <c r="C88" s="12"/>
      <c r="D88" s="75">
        <f t="shared" ref="D88:AE88" si="52">+D54/D$17</f>
        <v>0</v>
      </c>
      <c r="E88" s="75">
        <f t="shared" si="52"/>
        <v>0</v>
      </c>
      <c r="F88" s="75">
        <f t="shared" si="52"/>
        <v>0</v>
      </c>
      <c r="G88" s="75">
        <f t="shared" si="52"/>
        <v>0</v>
      </c>
      <c r="H88" s="75">
        <f t="shared" si="52"/>
        <v>0</v>
      </c>
      <c r="I88" s="75">
        <f t="shared" si="52"/>
        <v>0</v>
      </c>
      <c r="J88" s="75">
        <f t="shared" si="52"/>
        <v>0</v>
      </c>
      <c r="K88" s="75">
        <f t="shared" si="52"/>
        <v>0</v>
      </c>
      <c r="L88" s="75">
        <f t="shared" si="52"/>
        <v>0</v>
      </c>
      <c r="M88" s="75">
        <f t="shared" si="52"/>
        <v>0</v>
      </c>
      <c r="N88" s="75">
        <f t="shared" si="52"/>
        <v>0</v>
      </c>
      <c r="O88" s="75">
        <f t="shared" si="52"/>
        <v>0</v>
      </c>
      <c r="P88" s="75">
        <f t="shared" si="52"/>
        <v>0</v>
      </c>
      <c r="Q88" s="75">
        <f t="shared" si="52"/>
        <v>0</v>
      </c>
      <c r="R88" s="75">
        <f t="shared" si="52"/>
        <v>0</v>
      </c>
      <c r="S88" s="75">
        <f t="shared" si="52"/>
        <v>0</v>
      </c>
      <c r="T88" s="75">
        <f t="shared" si="52"/>
        <v>0</v>
      </c>
      <c r="U88" s="75">
        <f t="shared" si="52"/>
        <v>0</v>
      </c>
      <c r="V88" s="75">
        <f t="shared" si="52"/>
        <v>0</v>
      </c>
      <c r="W88" s="75">
        <f t="shared" si="52"/>
        <v>0</v>
      </c>
      <c r="X88" s="75">
        <f t="shared" si="52"/>
        <v>0</v>
      </c>
      <c r="Y88" s="75">
        <f t="shared" si="52"/>
        <v>0</v>
      </c>
      <c r="Z88" s="75">
        <f t="shared" si="52"/>
        <v>0</v>
      </c>
      <c r="AA88" s="75">
        <f t="shared" si="52"/>
        <v>0</v>
      </c>
      <c r="AB88" s="75">
        <f t="shared" si="52"/>
        <v>0</v>
      </c>
      <c r="AC88" s="75">
        <f t="shared" si="52"/>
        <v>0</v>
      </c>
      <c r="AD88" s="75">
        <f t="shared" si="52"/>
        <v>0</v>
      </c>
      <c r="AE88" s="75">
        <f t="shared" si="52"/>
        <v>0</v>
      </c>
    </row>
    <row r="89" spans="1:31" x14ac:dyDescent="0.2">
      <c r="A89" s="49" t="s">
        <v>37</v>
      </c>
      <c r="B89" s="5" t="s">
        <v>85</v>
      </c>
      <c r="C89" s="10"/>
      <c r="D89" s="74">
        <f t="shared" ref="D89:AE89" si="53">+D55/D$17</f>
        <v>0</v>
      </c>
      <c r="E89" s="74">
        <f t="shared" si="53"/>
        <v>0</v>
      </c>
      <c r="F89" s="74">
        <f t="shared" si="53"/>
        <v>0</v>
      </c>
      <c r="G89" s="74">
        <f t="shared" si="53"/>
        <v>0</v>
      </c>
      <c r="H89" s="74">
        <f t="shared" si="53"/>
        <v>0</v>
      </c>
      <c r="I89" s="74">
        <f t="shared" si="53"/>
        <v>0</v>
      </c>
      <c r="J89" s="74">
        <f t="shared" si="53"/>
        <v>0</v>
      </c>
      <c r="K89" s="74">
        <f t="shared" si="53"/>
        <v>0</v>
      </c>
      <c r="L89" s="74">
        <f t="shared" si="53"/>
        <v>0</v>
      </c>
      <c r="M89" s="74">
        <f t="shared" si="53"/>
        <v>0</v>
      </c>
      <c r="N89" s="74">
        <f t="shared" si="53"/>
        <v>0</v>
      </c>
      <c r="O89" s="74">
        <f t="shared" si="53"/>
        <v>0</v>
      </c>
      <c r="P89" s="74">
        <f t="shared" si="53"/>
        <v>0</v>
      </c>
      <c r="Q89" s="74">
        <f t="shared" si="53"/>
        <v>0</v>
      </c>
      <c r="R89" s="74">
        <f t="shared" si="53"/>
        <v>0</v>
      </c>
      <c r="S89" s="74">
        <f t="shared" si="53"/>
        <v>0</v>
      </c>
      <c r="T89" s="74">
        <f t="shared" si="53"/>
        <v>0</v>
      </c>
      <c r="U89" s="74">
        <f t="shared" si="53"/>
        <v>0</v>
      </c>
      <c r="V89" s="74">
        <f t="shared" si="53"/>
        <v>0</v>
      </c>
      <c r="W89" s="74">
        <f t="shared" si="53"/>
        <v>0</v>
      </c>
      <c r="X89" s="74">
        <f t="shared" si="53"/>
        <v>0</v>
      </c>
      <c r="Y89" s="74">
        <f t="shared" si="53"/>
        <v>0</v>
      </c>
      <c r="Z89" s="74">
        <f t="shared" si="53"/>
        <v>0</v>
      </c>
      <c r="AA89" s="74">
        <f t="shared" si="53"/>
        <v>0</v>
      </c>
      <c r="AB89" s="74">
        <f t="shared" si="53"/>
        <v>0</v>
      </c>
      <c r="AC89" s="74">
        <f t="shared" si="53"/>
        <v>0</v>
      </c>
      <c r="AD89" s="74">
        <f t="shared" si="53"/>
        <v>0</v>
      </c>
      <c r="AE89" s="74">
        <f t="shared" si="53"/>
        <v>0</v>
      </c>
    </row>
    <row r="90" spans="1:31" x14ac:dyDescent="0.2">
      <c r="A90" s="50"/>
      <c r="B90" s="5" t="s">
        <v>86</v>
      </c>
      <c r="C90" s="10"/>
      <c r="D90" s="74">
        <f t="shared" ref="D90:AE90" si="54">+D56/D$17</f>
        <v>0</v>
      </c>
      <c r="E90" s="74">
        <f t="shared" si="54"/>
        <v>0</v>
      </c>
      <c r="F90" s="74">
        <f t="shared" si="54"/>
        <v>0</v>
      </c>
      <c r="G90" s="74">
        <f t="shared" si="54"/>
        <v>0</v>
      </c>
      <c r="H90" s="74">
        <f t="shared" si="54"/>
        <v>0</v>
      </c>
      <c r="I90" s="74">
        <f t="shared" si="54"/>
        <v>0</v>
      </c>
      <c r="J90" s="74">
        <f t="shared" si="54"/>
        <v>0</v>
      </c>
      <c r="K90" s="74">
        <f t="shared" si="54"/>
        <v>0</v>
      </c>
      <c r="L90" s="74">
        <f t="shared" si="54"/>
        <v>0</v>
      </c>
      <c r="M90" s="74">
        <f t="shared" si="54"/>
        <v>0</v>
      </c>
      <c r="N90" s="74">
        <f t="shared" si="54"/>
        <v>0</v>
      </c>
      <c r="O90" s="74">
        <f t="shared" si="54"/>
        <v>0</v>
      </c>
      <c r="P90" s="74">
        <f t="shared" si="54"/>
        <v>0</v>
      </c>
      <c r="Q90" s="74">
        <f t="shared" si="54"/>
        <v>0</v>
      </c>
      <c r="R90" s="74">
        <f t="shared" si="54"/>
        <v>0</v>
      </c>
      <c r="S90" s="74">
        <f t="shared" si="54"/>
        <v>0</v>
      </c>
      <c r="T90" s="74">
        <f t="shared" si="54"/>
        <v>0</v>
      </c>
      <c r="U90" s="74">
        <f t="shared" si="54"/>
        <v>0</v>
      </c>
      <c r="V90" s="74">
        <f t="shared" si="54"/>
        <v>0</v>
      </c>
      <c r="W90" s="74">
        <f t="shared" si="54"/>
        <v>0</v>
      </c>
      <c r="X90" s="74">
        <f t="shared" si="54"/>
        <v>0</v>
      </c>
      <c r="Y90" s="74">
        <f t="shared" si="54"/>
        <v>0</v>
      </c>
      <c r="Z90" s="74">
        <f t="shared" si="54"/>
        <v>0</v>
      </c>
      <c r="AA90" s="74">
        <f t="shared" si="54"/>
        <v>0</v>
      </c>
      <c r="AB90" s="74">
        <f t="shared" si="54"/>
        <v>0</v>
      </c>
      <c r="AC90" s="74">
        <f t="shared" si="54"/>
        <v>0</v>
      </c>
      <c r="AD90" s="74">
        <f t="shared" si="54"/>
        <v>0</v>
      </c>
      <c r="AE90" s="74">
        <f t="shared" si="54"/>
        <v>0</v>
      </c>
    </row>
    <row r="91" spans="1:31" x14ac:dyDescent="0.2">
      <c r="A91" s="51"/>
      <c r="B91" s="11" t="s">
        <v>87</v>
      </c>
      <c r="C91" s="12"/>
      <c r="D91" s="75">
        <f t="shared" ref="D91:AE91" si="55">+D57/D$17</f>
        <v>0</v>
      </c>
      <c r="E91" s="75">
        <f t="shared" si="55"/>
        <v>0</v>
      </c>
      <c r="F91" s="75">
        <f t="shared" si="55"/>
        <v>0</v>
      </c>
      <c r="G91" s="75">
        <f t="shared" si="55"/>
        <v>0</v>
      </c>
      <c r="H91" s="75">
        <f t="shared" si="55"/>
        <v>0</v>
      </c>
      <c r="I91" s="75">
        <f t="shared" si="55"/>
        <v>0</v>
      </c>
      <c r="J91" s="75">
        <f t="shared" si="55"/>
        <v>0</v>
      </c>
      <c r="K91" s="75">
        <f t="shared" si="55"/>
        <v>0</v>
      </c>
      <c r="L91" s="75">
        <f t="shared" si="55"/>
        <v>0</v>
      </c>
      <c r="M91" s="75">
        <f t="shared" si="55"/>
        <v>0</v>
      </c>
      <c r="N91" s="75">
        <f t="shared" si="55"/>
        <v>0</v>
      </c>
      <c r="O91" s="75">
        <f t="shared" si="55"/>
        <v>0</v>
      </c>
      <c r="P91" s="75">
        <f t="shared" si="55"/>
        <v>0</v>
      </c>
      <c r="Q91" s="75">
        <f t="shared" si="55"/>
        <v>0</v>
      </c>
      <c r="R91" s="75">
        <f t="shared" si="55"/>
        <v>0</v>
      </c>
      <c r="S91" s="75">
        <f t="shared" si="55"/>
        <v>0</v>
      </c>
      <c r="T91" s="75">
        <f t="shared" si="55"/>
        <v>0</v>
      </c>
      <c r="U91" s="75">
        <f t="shared" si="55"/>
        <v>0</v>
      </c>
      <c r="V91" s="75">
        <f t="shared" si="55"/>
        <v>0</v>
      </c>
      <c r="W91" s="75">
        <f t="shared" si="55"/>
        <v>0</v>
      </c>
      <c r="X91" s="75">
        <f t="shared" si="55"/>
        <v>0</v>
      </c>
      <c r="Y91" s="75">
        <f t="shared" si="55"/>
        <v>0</v>
      </c>
      <c r="Z91" s="75">
        <f t="shared" si="55"/>
        <v>0</v>
      </c>
      <c r="AA91" s="75">
        <f t="shared" si="55"/>
        <v>0</v>
      </c>
      <c r="AB91" s="75">
        <f t="shared" si="55"/>
        <v>0</v>
      </c>
      <c r="AC91" s="75">
        <f t="shared" si="55"/>
        <v>0</v>
      </c>
      <c r="AD91" s="75">
        <f t="shared" si="55"/>
        <v>0</v>
      </c>
      <c r="AE91" s="75">
        <f t="shared" si="55"/>
        <v>0</v>
      </c>
    </row>
    <row r="92" spans="1:31" x14ac:dyDescent="0.2">
      <c r="A92" s="49" t="s">
        <v>38</v>
      </c>
      <c r="B92" s="5" t="s">
        <v>85</v>
      </c>
      <c r="C92" s="10"/>
      <c r="D92" s="74">
        <f t="shared" ref="D92:AE92" si="56">+D58/D$17</f>
        <v>0</v>
      </c>
      <c r="E92" s="74">
        <f t="shared" si="56"/>
        <v>0</v>
      </c>
      <c r="F92" s="74">
        <f t="shared" si="56"/>
        <v>0</v>
      </c>
      <c r="G92" s="74">
        <f t="shared" si="56"/>
        <v>0</v>
      </c>
      <c r="H92" s="74">
        <f t="shared" si="56"/>
        <v>0</v>
      </c>
      <c r="I92" s="74">
        <f t="shared" si="56"/>
        <v>0</v>
      </c>
      <c r="J92" s="74">
        <f t="shared" si="56"/>
        <v>0</v>
      </c>
      <c r="K92" s="74">
        <f t="shared" si="56"/>
        <v>0</v>
      </c>
      <c r="L92" s="74">
        <f t="shared" si="56"/>
        <v>0</v>
      </c>
      <c r="M92" s="74">
        <f t="shared" si="56"/>
        <v>0</v>
      </c>
      <c r="N92" s="74">
        <f t="shared" si="56"/>
        <v>0</v>
      </c>
      <c r="O92" s="74">
        <f t="shared" si="56"/>
        <v>0</v>
      </c>
      <c r="P92" s="74">
        <f t="shared" si="56"/>
        <v>0</v>
      </c>
      <c r="Q92" s="74">
        <f t="shared" si="56"/>
        <v>0</v>
      </c>
      <c r="R92" s="74">
        <f t="shared" si="56"/>
        <v>0</v>
      </c>
      <c r="S92" s="74">
        <f t="shared" si="56"/>
        <v>0</v>
      </c>
      <c r="T92" s="74">
        <f t="shared" si="56"/>
        <v>0</v>
      </c>
      <c r="U92" s="74">
        <f t="shared" si="56"/>
        <v>0</v>
      </c>
      <c r="V92" s="74">
        <f t="shared" si="56"/>
        <v>0</v>
      </c>
      <c r="W92" s="74">
        <f t="shared" si="56"/>
        <v>0</v>
      </c>
      <c r="X92" s="74">
        <f t="shared" si="56"/>
        <v>0</v>
      </c>
      <c r="Y92" s="74">
        <f t="shared" si="56"/>
        <v>0</v>
      </c>
      <c r="Z92" s="74">
        <f t="shared" si="56"/>
        <v>0</v>
      </c>
      <c r="AA92" s="74">
        <f t="shared" si="56"/>
        <v>0</v>
      </c>
      <c r="AB92" s="74">
        <f t="shared" si="56"/>
        <v>0</v>
      </c>
      <c r="AC92" s="74">
        <f t="shared" si="56"/>
        <v>0</v>
      </c>
      <c r="AD92" s="74">
        <f t="shared" si="56"/>
        <v>0</v>
      </c>
      <c r="AE92" s="74">
        <f t="shared" si="56"/>
        <v>0</v>
      </c>
    </row>
    <row r="93" spans="1:31" x14ac:dyDescent="0.2">
      <c r="A93" s="50"/>
      <c r="B93" s="5" t="s">
        <v>86</v>
      </c>
      <c r="C93" s="10"/>
      <c r="D93" s="74">
        <f t="shared" ref="D93:AE93" si="57">+D59/D$17</f>
        <v>0</v>
      </c>
      <c r="E93" s="74">
        <f t="shared" si="57"/>
        <v>0</v>
      </c>
      <c r="F93" s="74">
        <f t="shared" si="57"/>
        <v>0</v>
      </c>
      <c r="G93" s="74">
        <f t="shared" si="57"/>
        <v>0</v>
      </c>
      <c r="H93" s="74">
        <f t="shared" si="57"/>
        <v>0</v>
      </c>
      <c r="I93" s="74">
        <f t="shared" si="57"/>
        <v>0</v>
      </c>
      <c r="J93" s="74">
        <f t="shared" si="57"/>
        <v>0</v>
      </c>
      <c r="K93" s="74">
        <f t="shared" si="57"/>
        <v>0</v>
      </c>
      <c r="L93" s="74">
        <f t="shared" si="57"/>
        <v>0</v>
      </c>
      <c r="M93" s="74">
        <f t="shared" si="57"/>
        <v>0</v>
      </c>
      <c r="N93" s="74">
        <f t="shared" si="57"/>
        <v>0</v>
      </c>
      <c r="O93" s="74">
        <f t="shared" si="57"/>
        <v>0</v>
      </c>
      <c r="P93" s="74">
        <f t="shared" si="57"/>
        <v>0</v>
      </c>
      <c r="Q93" s="74">
        <f t="shared" si="57"/>
        <v>0</v>
      </c>
      <c r="R93" s="74">
        <f t="shared" si="57"/>
        <v>0</v>
      </c>
      <c r="S93" s="74">
        <f t="shared" si="57"/>
        <v>0</v>
      </c>
      <c r="T93" s="74">
        <f t="shared" si="57"/>
        <v>0</v>
      </c>
      <c r="U93" s="74">
        <f t="shared" si="57"/>
        <v>0</v>
      </c>
      <c r="V93" s="74">
        <f t="shared" si="57"/>
        <v>0</v>
      </c>
      <c r="W93" s="74">
        <f t="shared" si="57"/>
        <v>0</v>
      </c>
      <c r="X93" s="74">
        <f t="shared" si="57"/>
        <v>0</v>
      </c>
      <c r="Y93" s="74">
        <f t="shared" si="57"/>
        <v>0</v>
      </c>
      <c r="Z93" s="74">
        <f t="shared" si="57"/>
        <v>0</v>
      </c>
      <c r="AA93" s="74">
        <f t="shared" si="57"/>
        <v>0</v>
      </c>
      <c r="AB93" s="74">
        <f t="shared" si="57"/>
        <v>0</v>
      </c>
      <c r="AC93" s="74">
        <f t="shared" si="57"/>
        <v>0</v>
      </c>
      <c r="AD93" s="74">
        <f t="shared" si="57"/>
        <v>0</v>
      </c>
      <c r="AE93" s="74">
        <f t="shared" si="57"/>
        <v>0</v>
      </c>
    </row>
    <row r="94" spans="1:31" x14ac:dyDescent="0.2">
      <c r="A94" s="51"/>
      <c r="B94" s="11" t="s">
        <v>87</v>
      </c>
      <c r="C94" s="12"/>
      <c r="D94" s="75">
        <f t="shared" ref="D94:AE94" si="58">+D60/D$17</f>
        <v>0</v>
      </c>
      <c r="E94" s="75">
        <f t="shared" si="58"/>
        <v>0</v>
      </c>
      <c r="F94" s="75">
        <f t="shared" si="58"/>
        <v>0</v>
      </c>
      <c r="G94" s="75">
        <f t="shared" si="58"/>
        <v>0</v>
      </c>
      <c r="H94" s="75">
        <f t="shared" si="58"/>
        <v>0</v>
      </c>
      <c r="I94" s="75">
        <f t="shared" si="58"/>
        <v>0</v>
      </c>
      <c r="J94" s="75">
        <f t="shared" si="58"/>
        <v>0</v>
      </c>
      <c r="K94" s="75">
        <f t="shared" si="58"/>
        <v>0</v>
      </c>
      <c r="L94" s="75">
        <f t="shared" si="58"/>
        <v>0</v>
      </c>
      <c r="M94" s="75">
        <f t="shared" si="58"/>
        <v>0</v>
      </c>
      <c r="N94" s="75">
        <f t="shared" si="58"/>
        <v>0</v>
      </c>
      <c r="O94" s="75">
        <f t="shared" si="58"/>
        <v>0</v>
      </c>
      <c r="P94" s="75">
        <f t="shared" si="58"/>
        <v>0</v>
      </c>
      <c r="Q94" s="75">
        <f t="shared" si="58"/>
        <v>0</v>
      </c>
      <c r="R94" s="75">
        <f t="shared" si="58"/>
        <v>0</v>
      </c>
      <c r="S94" s="75">
        <f t="shared" si="58"/>
        <v>0</v>
      </c>
      <c r="T94" s="75">
        <f t="shared" si="58"/>
        <v>0</v>
      </c>
      <c r="U94" s="75">
        <f t="shared" si="58"/>
        <v>0</v>
      </c>
      <c r="V94" s="75">
        <f t="shared" si="58"/>
        <v>0</v>
      </c>
      <c r="W94" s="75">
        <f t="shared" si="58"/>
        <v>0</v>
      </c>
      <c r="X94" s="75">
        <f t="shared" si="58"/>
        <v>0</v>
      </c>
      <c r="Y94" s="75">
        <f t="shared" si="58"/>
        <v>0</v>
      </c>
      <c r="Z94" s="75">
        <f t="shared" si="58"/>
        <v>0</v>
      </c>
      <c r="AA94" s="75">
        <f t="shared" si="58"/>
        <v>0</v>
      </c>
      <c r="AB94" s="75">
        <f t="shared" si="58"/>
        <v>0</v>
      </c>
      <c r="AC94" s="75">
        <f t="shared" si="58"/>
        <v>0</v>
      </c>
      <c r="AD94" s="75">
        <f t="shared" si="58"/>
        <v>0</v>
      </c>
      <c r="AE94" s="75">
        <f t="shared" si="58"/>
        <v>0</v>
      </c>
    </row>
    <row r="95" spans="1:31" x14ac:dyDescent="0.2">
      <c r="A95" s="49" t="s">
        <v>39</v>
      </c>
      <c r="B95" s="5" t="s">
        <v>85</v>
      </c>
      <c r="C95" s="10"/>
      <c r="D95" s="74">
        <f t="shared" ref="D95:AE95" si="59">+D61/D$17</f>
        <v>0</v>
      </c>
      <c r="E95" s="74">
        <f t="shared" si="59"/>
        <v>0</v>
      </c>
      <c r="F95" s="74">
        <f t="shared" si="59"/>
        <v>7.788546992008762E-3</v>
      </c>
      <c r="G95" s="74">
        <f t="shared" si="59"/>
        <v>9.308172970450725E-3</v>
      </c>
      <c r="H95" s="74">
        <f t="shared" si="59"/>
        <v>1.0535544498952781E-2</v>
      </c>
      <c r="I95" s="74">
        <f t="shared" si="59"/>
        <v>1.1471460005185941E-2</v>
      </c>
      <c r="J95" s="74">
        <f t="shared" si="59"/>
        <v>1.2165023050277621E-2</v>
      </c>
      <c r="K95" s="74">
        <f t="shared" si="59"/>
        <v>1.2645268078095377E-2</v>
      </c>
      <c r="L95" s="74">
        <f t="shared" si="59"/>
        <v>1.3006192372650745E-2</v>
      </c>
      <c r="M95" s="74">
        <f t="shared" si="59"/>
        <v>1.3280443764882112E-2</v>
      </c>
      <c r="N95" s="74">
        <f t="shared" si="59"/>
        <v>1.3487830989905957E-2</v>
      </c>
      <c r="O95" s="74">
        <f t="shared" si="59"/>
        <v>1.3646547266965953E-2</v>
      </c>
      <c r="P95" s="74">
        <f t="shared" si="59"/>
        <v>1.3771489594288493E-2</v>
      </c>
      <c r="Q95" s="74">
        <f t="shared" si="59"/>
        <v>1.387209041393655E-2</v>
      </c>
      <c r="R95" s="74">
        <f t="shared" si="59"/>
        <v>1.3951750209016525E-2</v>
      </c>
      <c r="S95" s="74">
        <f t="shared" si="59"/>
        <v>1.4006566896682036E-2</v>
      </c>
      <c r="T95" s="74">
        <f t="shared" si="59"/>
        <v>1.403302139983419E-2</v>
      </c>
      <c r="U95" s="74">
        <f t="shared" si="59"/>
        <v>1.4026097742471643E-2</v>
      </c>
      <c r="V95" s="74">
        <f t="shared" si="59"/>
        <v>1.3974668788276594E-2</v>
      </c>
      <c r="W95" s="74">
        <f t="shared" si="59"/>
        <v>1.3882439989666586E-2</v>
      </c>
      <c r="X95" s="74">
        <f t="shared" si="59"/>
        <v>1.3735436950066061E-2</v>
      </c>
      <c r="Y95" s="74">
        <f t="shared" si="59"/>
        <v>1.3509767207230537E-2</v>
      </c>
      <c r="Z95" s="74">
        <f t="shared" si="59"/>
        <v>1.3245258318968098E-2</v>
      </c>
      <c r="AA95" s="74">
        <f t="shared" si="59"/>
        <v>1.2944884562570626E-2</v>
      </c>
      <c r="AB95" s="74">
        <f t="shared" si="59"/>
        <v>1.2608295720385226E-2</v>
      </c>
      <c r="AC95" s="74">
        <f t="shared" si="59"/>
        <v>1.2234895495186453E-2</v>
      </c>
      <c r="AD95" s="74">
        <f t="shared" si="59"/>
        <v>1.1754794519634126E-2</v>
      </c>
      <c r="AE95" s="74">
        <f t="shared" si="59"/>
        <v>1.194537383166467E-2</v>
      </c>
    </row>
    <row r="96" spans="1:31" x14ac:dyDescent="0.2">
      <c r="A96" s="50"/>
      <c r="B96" s="5" t="s">
        <v>86</v>
      </c>
      <c r="C96" s="10"/>
      <c r="D96" s="74">
        <f t="shared" ref="D96:AE96" si="60">+D62/D$17</f>
        <v>0</v>
      </c>
      <c r="E96" s="74">
        <f t="shared" si="60"/>
        <v>0</v>
      </c>
      <c r="F96" s="74">
        <f t="shared" si="60"/>
        <v>9.1629964611867807E-4</v>
      </c>
      <c r="G96" s="74">
        <f t="shared" si="60"/>
        <v>1.0950791729942031E-3</v>
      </c>
      <c r="H96" s="74">
        <f t="shared" si="60"/>
        <v>1.2394758234062094E-3</v>
      </c>
      <c r="I96" s="74">
        <f t="shared" si="60"/>
        <v>1.3495835300218755E-3</v>
      </c>
      <c r="J96" s="74">
        <f t="shared" si="60"/>
        <v>1.4311791823856026E-3</v>
      </c>
      <c r="K96" s="74">
        <f t="shared" si="60"/>
        <v>1.4876785974229857E-3</v>
      </c>
      <c r="L96" s="74">
        <f t="shared" si="60"/>
        <v>1.5301402791353821E-3</v>
      </c>
      <c r="M96" s="74">
        <f t="shared" si="60"/>
        <v>1.5624051488096603E-3</v>
      </c>
      <c r="N96" s="74">
        <f t="shared" si="60"/>
        <v>1.5868036458712891E-3</v>
      </c>
      <c r="O96" s="74">
        <f t="shared" si="60"/>
        <v>1.6054761490548182E-3</v>
      </c>
      <c r="P96" s="74">
        <f t="shared" si="60"/>
        <v>1.6201752463868816E-3</v>
      </c>
      <c r="Q96" s="74">
        <f t="shared" si="60"/>
        <v>1.6320106369337119E-3</v>
      </c>
      <c r="R96" s="74">
        <f t="shared" si="60"/>
        <v>1.6413823775313558E-3</v>
      </c>
      <c r="S96" s="74">
        <f t="shared" si="60"/>
        <v>1.6478313996096511E-3</v>
      </c>
      <c r="T96" s="74">
        <f t="shared" si="60"/>
        <v>1.6509436940981403E-3</v>
      </c>
      <c r="U96" s="74">
        <f t="shared" si="60"/>
        <v>1.6501291461731345E-3</v>
      </c>
      <c r="V96" s="74">
        <f t="shared" si="60"/>
        <v>1.6440786809737173E-3</v>
      </c>
      <c r="W96" s="74">
        <f t="shared" si="60"/>
        <v>1.6332282340784225E-3</v>
      </c>
      <c r="X96" s="74">
        <f t="shared" si="60"/>
        <v>1.6159337588313016E-3</v>
      </c>
      <c r="Y96" s="74">
        <f t="shared" si="60"/>
        <v>1.5893843773212399E-3</v>
      </c>
      <c r="Z96" s="74">
        <f t="shared" si="60"/>
        <v>1.5582656845844825E-3</v>
      </c>
      <c r="AA96" s="74">
        <f t="shared" si="60"/>
        <v>1.5229275955965442E-3</v>
      </c>
      <c r="AB96" s="74">
        <f t="shared" si="60"/>
        <v>1.4833289082806151E-3</v>
      </c>
      <c r="AC96" s="74">
        <f t="shared" si="60"/>
        <v>1.4393994700219361E-3</v>
      </c>
      <c r="AD96" s="74">
        <f t="shared" si="60"/>
        <v>1.3829170023098973E-3</v>
      </c>
      <c r="AE96" s="74">
        <f t="shared" si="60"/>
        <v>1.4053380978429025E-3</v>
      </c>
    </row>
    <row r="97" spans="1:31" x14ac:dyDescent="0.2">
      <c r="A97" s="51"/>
      <c r="B97" s="11" t="s">
        <v>87</v>
      </c>
      <c r="C97" s="12"/>
      <c r="D97" s="75">
        <f t="shared" ref="D97:AE97" si="61">+D63/D$17</f>
        <v>0</v>
      </c>
      <c r="E97" s="75">
        <f t="shared" si="61"/>
        <v>0</v>
      </c>
      <c r="F97" s="75">
        <f t="shared" si="61"/>
        <v>4.5814982305933903E-4</v>
      </c>
      <c r="G97" s="75">
        <f t="shared" si="61"/>
        <v>5.4753958649710153E-4</v>
      </c>
      <c r="H97" s="75">
        <f t="shared" si="61"/>
        <v>6.197379117031047E-4</v>
      </c>
      <c r="I97" s="75">
        <f t="shared" si="61"/>
        <v>6.7479176501093773E-4</v>
      </c>
      <c r="J97" s="75">
        <f t="shared" si="61"/>
        <v>7.1558959119280129E-4</v>
      </c>
      <c r="K97" s="75">
        <f t="shared" si="61"/>
        <v>7.4383929871149287E-4</v>
      </c>
      <c r="L97" s="75">
        <f t="shared" si="61"/>
        <v>7.6507013956769103E-4</v>
      </c>
      <c r="M97" s="75">
        <f t="shared" si="61"/>
        <v>7.8120257440483017E-4</v>
      </c>
      <c r="N97" s="75">
        <f t="shared" si="61"/>
        <v>7.9340182293564454E-4</v>
      </c>
      <c r="O97" s="75">
        <f t="shared" si="61"/>
        <v>8.0273807452740909E-4</v>
      </c>
      <c r="P97" s="75">
        <f t="shared" si="61"/>
        <v>8.1008762319344078E-4</v>
      </c>
      <c r="Q97" s="75">
        <f t="shared" si="61"/>
        <v>8.1600531846685593E-4</v>
      </c>
      <c r="R97" s="75">
        <f t="shared" si="61"/>
        <v>8.2069118876567791E-4</v>
      </c>
      <c r="S97" s="75">
        <f t="shared" si="61"/>
        <v>8.2391569980482557E-4</v>
      </c>
      <c r="T97" s="75">
        <f t="shared" si="61"/>
        <v>8.2547184704907014E-4</v>
      </c>
      <c r="U97" s="75">
        <f t="shared" si="61"/>
        <v>8.2506457308656727E-4</v>
      </c>
      <c r="V97" s="75">
        <f t="shared" si="61"/>
        <v>8.2203934048685865E-4</v>
      </c>
      <c r="W97" s="75">
        <f t="shared" si="61"/>
        <v>8.1661411703921123E-4</v>
      </c>
      <c r="X97" s="75">
        <f t="shared" si="61"/>
        <v>8.0796687941565078E-4</v>
      </c>
      <c r="Y97" s="75">
        <f t="shared" si="61"/>
        <v>7.9469218866061995E-4</v>
      </c>
      <c r="Z97" s="75">
        <f t="shared" si="61"/>
        <v>7.7913284229224125E-4</v>
      </c>
      <c r="AA97" s="75">
        <f t="shared" si="61"/>
        <v>7.6146379779827209E-4</v>
      </c>
      <c r="AB97" s="75">
        <f t="shared" si="61"/>
        <v>7.4166445414030756E-4</v>
      </c>
      <c r="AC97" s="75">
        <f t="shared" si="61"/>
        <v>7.1969973501096807E-4</v>
      </c>
      <c r="AD97" s="75">
        <f t="shared" si="61"/>
        <v>6.9145850115494864E-4</v>
      </c>
      <c r="AE97" s="75">
        <f t="shared" si="61"/>
        <v>7.0266904892145126E-4</v>
      </c>
    </row>
    <row r="98" spans="1:31" s="63" customFormat="1" x14ac:dyDescent="0.2">
      <c r="B98" s="65"/>
      <c r="C98" s="70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2"/>
    </row>
    <row r="99" spans="1:31" s="63" customFormat="1" x14ac:dyDescent="0.2">
      <c r="B99" s="65"/>
      <c r="C99" s="70"/>
      <c r="D99" s="78">
        <f t="shared" ref="D99:AE99" si="62">+SUM(D68:D97)</f>
        <v>0</v>
      </c>
      <c r="E99" s="78">
        <f t="shared" si="62"/>
        <v>0</v>
      </c>
      <c r="F99" s="78">
        <f t="shared" si="62"/>
        <v>2.5371666705836481E-2</v>
      </c>
      <c r="G99" s="78">
        <f t="shared" si="62"/>
        <v>2.3949384625337994E-2</v>
      </c>
      <c r="H99" s="78">
        <f t="shared" si="62"/>
        <v>4.1161641066512551E-2</v>
      </c>
      <c r="I99" s="78">
        <f t="shared" si="62"/>
        <v>4.9649898671607282E-2</v>
      </c>
      <c r="J99" s="78">
        <f t="shared" si="62"/>
        <v>9.1140752853736143E-2</v>
      </c>
      <c r="K99" s="78">
        <f t="shared" si="62"/>
        <v>0.13083028808344399</v>
      </c>
      <c r="L99" s="78">
        <f t="shared" si="62"/>
        <v>0.11639363642965278</v>
      </c>
      <c r="M99" s="78">
        <f t="shared" si="62"/>
        <v>5.7348767334644148E-2</v>
      </c>
      <c r="N99" s="78">
        <f t="shared" si="62"/>
        <v>4.1913750960297098E-2</v>
      </c>
      <c r="O99" s="78">
        <f t="shared" si="62"/>
        <v>4.516075847309127E-2</v>
      </c>
      <c r="P99" s="78">
        <f t="shared" si="62"/>
        <v>4.8686384449697757E-2</v>
      </c>
      <c r="Q99" s="78">
        <f t="shared" si="62"/>
        <v>5.1964192067150729E-2</v>
      </c>
      <c r="R99" s="78">
        <f t="shared" si="62"/>
        <v>6.4048467991956529E-2</v>
      </c>
      <c r="S99" s="78">
        <f t="shared" si="62"/>
        <v>6.4802210870263166E-2</v>
      </c>
      <c r="T99" s="78">
        <f t="shared" si="62"/>
        <v>6.4262925611199687E-2</v>
      </c>
      <c r="U99" s="78">
        <f t="shared" si="62"/>
        <v>5.8880013098554271E-2</v>
      </c>
      <c r="V99" s="78">
        <f t="shared" si="62"/>
        <v>6.4207853209383686E-2</v>
      </c>
      <c r="W99" s="78">
        <f t="shared" si="62"/>
        <v>6.3809380712749428E-2</v>
      </c>
      <c r="X99" s="78">
        <f t="shared" si="62"/>
        <v>6.3442143076618746E-2</v>
      </c>
      <c r="Y99" s="78">
        <f t="shared" si="62"/>
        <v>5.7413088114674028E-2</v>
      </c>
      <c r="Z99" s="78">
        <f t="shared" si="62"/>
        <v>6.7102635858672197E-2</v>
      </c>
      <c r="AA99" s="78">
        <f t="shared" si="62"/>
        <v>6.2303612328404832E-2</v>
      </c>
      <c r="AB99" s="78">
        <f t="shared" si="62"/>
        <v>6.5738669719386217E-2</v>
      </c>
      <c r="AC99" s="78">
        <f t="shared" si="62"/>
        <v>6.4345369136293531E-2</v>
      </c>
      <c r="AD99" s="78">
        <f t="shared" si="62"/>
        <v>7.0478409200326553E-2</v>
      </c>
      <c r="AE99" s="78">
        <f>+SUM(AE68:AE97)</f>
        <v>8.6435997163979719E-2</v>
      </c>
    </row>
    <row r="101" spans="1:31" ht="15" customHeight="1" x14ac:dyDescent="0.2">
      <c r="B101" s="24" t="s">
        <v>88</v>
      </c>
      <c r="C101" s="24" t="s">
        <v>89</v>
      </c>
      <c r="D101" s="24" t="s">
        <v>90</v>
      </c>
      <c r="E101" s="24" t="s">
        <v>91</v>
      </c>
      <c r="F101" s="52" t="s">
        <v>92</v>
      </c>
      <c r="G101" s="73"/>
      <c r="H101" s="73"/>
      <c r="I101" s="73"/>
      <c r="J101" s="73"/>
      <c r="K101" s="73"/>
      <c r="L101" s="73"/>
    </row>
    <row r="102" spans="1:31" x14ac:dyDescent="0.2">
      <c r="B102" s="16" t="s">
        <v>30</v>
      </c>
      <c r="C102" s="7">
        <v>0.25</v>
      </c>
      <c r="D102" s="7">
        <v>0.7</v>
      </c>
      <c r="E102" s="7">
        <v>0.05</v>
      </c>
      <c r="F102" s="17" t="s">
        <v>93</v>
      </c>
    </row>
    <row r="103" spans="1:31" x14ac:dyDescent="0.2">
      <c r="B103" s="16" t="s">
        <v>31</v>
      </c>
      <c r="C103" s="7">
        <v>0.1</v>
      </c>
      <c r="D103" s="7">
        <v>0.3</v>
      </c>
      <c r="E103" s="7">
        <v>0.6</v>
      </c>
      <c r="F103" s="17" t="s">
        <v>94</v>
      </c>
    </row>
    <row r="104" spans="1:31" x14ac:dyDescent="0.2">
      <c r="B104" s="16" t="s">
        <v>32</v>
      </c>
      <c r="C104" s="7">
        <v>0.05</v>
      </c>
      <c r="D104" s="7">
        <v>0.4</v>
      </c>
      <c r="E104" s="7">
        <v>0.55000000000000004</v>
      </c>
      <c r="F104" s="17" t="s">
        <v>95</v>
      </c>
    </row>
    <row r="105" spans="1:31" x14ac:dyDescent="0.2">
      <c r="B105" s="16" t="s">
        <v>33</v>
      </c>
      <c r="C105" s="7">
        <v>0.05</v>
      </c>
      <c r="D105" s="7">
        <v>0.95</v>
      </c>
      <c r="E105" s="7">
        <v>0</v>
      </c>
      <c r="F105" s="17" t="s">
        <v>96</v>
      </c>
    </row>
    <row r="106" spans="1:31" x14ac:dyDescent="0.2">
      <c r="B106" s="16" t="s">
        <v>34</v>
      </c>
      <c r="C106" s="7">
        <v>0.05</v>
      </c>
      <c r="D106" s="7">
        <v>0.95</v>
      </c>
      <c r="E106" s="7">
        <v>0</v>
      </c>
      <c r="F106" s="17" t="s">
        <v>97</v>
      </c>
    </row>
    <row r="107" spans="1:31" x14ac:dyDescent="0.2">
      <c r="B107" s="16" t="s">
        <v>35</v>
      </c>
      <c r="C107" s="7">
        <v>0.8</v>
      </c>
      <c r="D107" s="7">
        <v>0.2</v>
      </c>
      <c r="E107" s="7">
        <v>0</v>
      </c>
      <c r="F107" s="17" t="s">
        <v>98</v>
      </c>
    </row>
    <row r="108" spans="1:31" x14ac:dyDescent="0.2">
      <c r="B108" s="16" t="s">
        <v>36</v>
      </c>
      <c r="C108" s="7">
        <v>0.85</v>
      </c>
      <c r="D108" s="7">
        <v>0.15</v>
      </c>
      <c r="E108" s="7">
        <v>0</v>
      </c>
      <c r="F108" s="17" t="s">
        <v>99</v>
      </c>
    </row>
    <row r="109" spans="1:31" x14ac:dyDescent="0.2">
      <c r="B109" s="16" t="s">
        <v>37</v>
      </c>
      <c r="C109" s="7">
        <v>0.85</v>
      </c>
      <c r="D109" s="7">
        <v>0.15</v>
      </c>
      <c r="E109" s="7">
        <v>0</v>
      </c>
      <c r="F109" s="17" t="s">
        <v>100</v>
      </c>
    </row>
    <row r="110" spans="1:31" x14ac:dyDescent="0.2">
      <c r="B110" s="16" t="s">
        <v>38</v>
      </c>
      <c r="C110" s="7">
        <v>0.5</v>
      </c>
      <c r="D110" s="7">
        <v>0.5</v>
      </c>
      <c r="E110" s="7">
        <v>0</v>
      </c>
      <c r="F110" s="17" t="s">
        <v>100</v>
      </c>
    </row>
    <row r="111" spans="1:31" x14ac:dyDescent="0.2">
      <c r="B111" s="16" t="s">
        <v>39</v>
      </c>
      <c r="C111" s="7">
        <v>0.85</v>
      </c>
      <c r="D111" s="7">
        <v>0.1</v>
      </c>
      <c r="E111" s="7">
        <v>0.05</v>
      </c>
      <c r="F111" s="17" t="s">
        <v>101</v>
      </c>
    </row>
  </sheetData>
  <mergeCells count="22">
    <mergeCell ref="A86:A88"/>
    <mergeCell ref="A89:A91"/>
    <mergeCell ref="A92:A94"/>
    <mergeCell ref="A95:A97"/>
    <mergeCell ref="A71:A73"/>
    <mergeCell ref="A74:A76"/>
    <mergeCell ref="A77:A79"/>
    <mergeCell ref="A80:A82"/>
    <mergeCell ref="A83:A85"/>
    <mergeCell ref="C1:AD1"/>
    <mergeCell ref="A58:A60"/>
    <mergeCell ref="A49:A51"/>
    <mergeCell ref="A40:A42"/>
    <mergeCell ref="A43:A45"/>
    <mergeCell ref="A34:A36"/>
    <mergeCell ref="A52:A54"/>
    <mergeCell ref="A61:A63"/>
    <mergeCell ref="F101:L101"/>
    <mergeCell ref="A46:A48"/>
    <mergeCell ref="A37:A39"/>
    <mergeCell ref="A55:A57"/>
    <mergeCell ref="A68:A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3"/>
  <sheetViews>
    <sheetView zoomScale="136" zoomScaleNormal="90" workbookViewId="0">
      <pane xSplit="1" ySplit="1" topLeftCell="R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51" style="21" bestFit="1" customWidth="1"/>
    <col min="2" max="41" width="11.5" style="21" customWidth="1"/>
    <col min="42" max="42" width="8.83203125" style="21" customWidth="1"/>
    <col min="43" max="16384" width="8.83203125" style="21"/>
  </cols>
  <sheetData>
    <row r="1" spans="1:41" ht="90" customHeight="1" x14ac:dyDescent="0.2">
      <c r="A1" s="26" t="s">
        <v>102</v>
      </c>
      <c r="B1" s="20" t="s">
        <v>30</v>
      </c>
      <c r="C1" s="15" t="s">
        <v>103</v>
      </c>
      <c r="D1" s="15" t="s">
        <v>104</v>
      </c>
      <c r="E1" s="15" t="s">
        <v>105</v>
      </c>
      <c r="F1" s="20" t="s">
        <v>31</v>
      </c>
      <c r="G1" s="15" t="s">
        <v>106</v>
      </c>
      <c r="H1" s="15" t="s">
        <v>107</v>
      </c>
      <c r="I1" s="15" t="s">
        <v>108</v>
      </c>
      <c r="J1" s="20" t="s">
        <v>32</v>
      </c>
      <c r="K1" s="15" t="s">
        <v>109</v>
      </c>
      <c r="L1" s="15" t="s">
        <v>110</v>
      </c>
      <c r="M1" s="15" t="s">
        <v>111</v>
      </c>
      <c r="N1" s="20" t="s">
        <v>33</v>
      </c>
      <c r="O1" s="15" t="s">
        <v>112</v>
      </c>
      <c r="P1" s="15" t="s">
        <v>113</v>
      </c>
      <c r="Q1" s="15" t="s">
        <v>114</v>
      </c>
      <c r="R1" s="20" t="s">
        <v>34</v>
      </c>
      <c r="S1" s="15" t="s">
        <v>115</v>
      </c>
      <c r="T1" s="15" t="s">
        <v>116</v>
      </c>
      <c r="U1" s="15" t="s">
        <v>117</v>
      </c>
      <c r="V1" s="20" t="s">
        <v>35</v>
      </c>
      <c r="W1" s="15" t="s">
        <v>118</v>
      </c>
      <c r="X1" s="15" t="s">
        <v>119</v>
      </c>
      <c r="Y1" s="15" t="s">
        <v>120</v>
      </c>
      <c r="Z1" s="20" t="s">
        <v>36</v>
      </c>
      <c r="AA1" s="15" t="s">
        <v>121</v>
      </c>
      <c r="AB1" s="15" t="s">
        <v>122</v>
      </c>
      <c r="AC1" s="15" t="s">
        <v>123</v>
      </c>
      <c r="AD1" s="20" t="s">
        <v>37</v>
      </c>
      <c r="AE1" s="15" t="s">
        <v>124</v>
      </c>
      <c r="AF1" s="15" t="s">
        <v>125</v>
      </c>
      <c r="AG1" s="15" t="s">
        <v>126</v>
      </c>
      <c r="AH1" s="20" t="s">
        <v>38</v>
      </c>
      <c r="AI1" s="15" t="s">
        <v>127</v>
      </c>
      <c r="AJ1" s="15" t="s">
        <v>128</v>
      </c>
      <c r="AK1" s="15" t="s">
        <v>129</v>
      </c>
      <c r="AL1" s="20" t="s">
        <v>39</v>
      </c>
      <c r="AM1" s="15" t="s">
        <v>130</v>
      </c>
      <c r="AN1" s="15" t="s">
        <v>131</v>
      </c>
      <c r="AO1" s="15" t="s">
        <v>132</v>
      </c>
    </row>
    <row r="2" spans="1:41" x14ac:dyDescent="0.2">
      <c r="A2" s="22" t="s">
        <v>43</v>
      </c>
      <c r="B2" s="14"/>
      <c r="C2" s="14">
        <f>+$B2*Total!C$102</f>
        <v>0</v>
      </c>
      <c r="D2" s="14">
        <f>+$B2*Total!D$102</f>
        <v>0</v>
      </c>
      <c r="E2" s="14">
        <f>+$B2*Total!E$102</f>
        <v>0</v>
      </c>
      <c r="F2" s="27"/>
      <c r="G2" s="14">
        <f>$F2*Total!C$103</f>
        <v>0</v>
      </c>
      <c r="H2" s="14">
        <f>$F2*Total!D$103</f>
        <v>0</v>
      </c>
      <c r="I2" s="14">
        <f>$F2*Total!E$103</f>
        <v>0</v>
      </c>
      <c r="J2" s="27"/>
      <c r="K2" s="14">
        <f>$J2*Total!C$104</f>
        <v>0</v>
      </c>
      <c r="L2" s="14">
        <f>$J2*Total!D$104</f>
        <v>0</v>
      </c>
      <c r="M2" s="14">
        <f>$J2*Total!E$104</f>
        <v>0</v>
      </c>
      <c r="N2" s="27"/>
      <c r="O2" s="14">
        <f>$N2*Total!C$105</f>
        <v>0</v>
      </c>
      <c r="P2" s="14">
        <f>$N2*Total!D$105</f>
        <v>0</v>
      </c>
      <c r="Q2" s="14">
        <f>$N2*Total!E$105</f>
        <v>0</v>
      </c>
      <c r="R2" s="27"/>
      <c r="S2" s="14">
        <f>$R2*Total!C$106</f>
        <v>0</v>
      </c>
      <c r="T2" s="14">
        <f>$R2*Total!D$106</f>
        <v>0</v>
      </c>
      <c r="U2" s="14">
        <f>$R2*Total!E$106</f>
        <v>0</v>
      </c>
      <c r="V2" s="27"/>
      <c r="W2" s="14">
        <f>$V2*Total!C$107</f>
        <v>0</v>
      </c>
      <c r="X2" s="14">
        <f>$V2*Total!D$107</f>
        <v>0</v>
      </c>
      <c r="Y2" s="14">
        <f>$V2*Total!E$107</f>
        <v>0</v>
      </c>
      <c r="Z2" s="27"/>
      <c r="AA2" s="14">
        <f>$Z2*Total!C$108</f>
        <v>0</v>
      </c>
      <c r="AB2" s="14">
        <f>$Z2*Total!D$108</f>
        <v>0</v>
      </c>
      <c r="AC2" s="14">
        <f>$Z2*Total!E$108</f>
        <v>0</v>
      </c>
      <c r="AD2" s="27"/>
      <c r="AE2" s="14">
        <v>0</v>
      </c>
      <c r="AF2" s="14">
        <v>0</v>
      </c>
      <c r="AG2" s="14">
        <v>0</v>
      </c>
      <c r="AH2" s="27"/>
      <c r="AI2" s="14">
        <f>$AH2*Total!C$110</f>
        <v>0</v>
      </c>
      <c r="AJ2" s="14">
        <f>$AH2*Total!D$110</f>
        <v>0</v>
      </c>
      <c r="AK2" s="14">
        <f>$AH2*Total!E$110</f>
        <v>0</v>
      </c>
      <c r="AL2" s="38">
        <v>0.15</v>
      </c>
      <c r="AM2" s="23">
        <f>$AL2*Total!C$111</f>
        <v>0.1275</v>
      </c>
      <c r="AN2" s="23">
        <f>$AL2*Total!D$111</f>
        <v>1.4999999999999999E-2</v>
      </c>
      <c r="AO2" s="23">
        <f>$AL2*Total!E$111</f>
        <v>7.4999999999999997E-3</v>
      </c>
    </row>
    <row r="3" spans="1:41" x14ac:dyDescent="0.2">
      <c r="A3" s="22" t="s">
        <v>44</v>
      </c>
      <c r="B3" s="14"/>
      <c r="C3" s="14">
        <f>+$B3*Total!C$102</f>
        <v>0</v>
      </c>
      <c r="D3" s="14">
        <f>+$B3*Total!D$102</f>
        <v>0</v>
      </c>
      <c r="E3" s="14">
        <f>+$B3*Total!E$102</f>
        <v>0</v>
      </c>
      <c r="F3" s="28"/>
      <c r="G3" s="14">
        <f>$F3*Total!C$103</f>
        <v>0</v>
      </c>
      <c r="H3" s="14">
        <f>$F3*Total!D$103</f>
        <v>0</v>
      </c>
      <c r="I3" s="14">
        <f>$F3*Total!E$103</f>
        <v>0</v>
      </c>
      <c r="J3" s="28"/>
      <c r="K3" s="14">
        <f>$J3*Total!C$104</f>
        <v>0</v>
      </c>
      <c r="L3" s="14">
        <f>$J3*Total!D$104</f>
        <v>0</v>
      </c>
      <c r="M3" s="14">
        <f>$J3*Total!E$104</f>
        <v>0</v>
      </c>
      <c r="N3" s="28"/>
      <c r="O3" s="14">
        <f>$N3*Total!C$105</f>
        <v>0</v>
      </c>
      <c r="P3" s="14">
        <f>$N3*Total!D$105</f>
        <v>0</v>
      </c>
      <c r="Q3" s="14">
        <f>$N3*Total!E$105</f>
        <v>0</v>
      </c>
      <c r="R3" s="28"/>
      <c r="S3" s="14">
        <f>$R3*Total!C$106</f>
        <v>0</v>
      </c>
      <c r="T3" s="14">
        <f>$R3*Total!D$106</f>
        <v>0</v>
      </c>
      <c r="U3" s="14">
        <f>$R3*Total!E$106</f>
        <v>0</v>
      </c>
      <c r="V3" s="28"/>
      <c r="W3" s="14">
        <f>$V3*Total!C$107</f>
        <v>0</v>
      </c>
      <c r="X3" s="14">
        <f>$V3*Total!D$107</f>
        <v>0</v>
      </c>
      <c r="Y3" s="14">
        <f>$V3*Total!E$107</f>
        <v>0</v>
      </c>
      <c r="Z3" s="28"/>
      <c r="AA3" s="14">
        <f>$Z3*Total!C$108</f>
        <v>0</v>
      </c>
      <c r="AB3" s="14">
        <f>$Z3*Total!D$108</f>
        <v>0</v>
      </c>
      <c r="AC3" s="14">
        <f>$Z3*Total!E$108</f>
        <v>0</v>
      </c>
      <c r="AD3" s="28"/>
      <c r="AE3" s="14">
        <v>0</v>
      </c>
      <c r="AF3" s="14">
        <v>0</v>
      </c>
      <c r="AG3" s="14">
        <v>0</v>
      </c>
      <c r="AH3" s="28"/>
      <c r="AI3" s="14">
        <f>$AH3*Total!C$110</f>
        <v>0</v>
      </c>
      <c r="AJ3" s="14">
        <f>$AH3*Total!D$110</f>
        <v>0</v>
      </c>
      <c r="AK3" s="14">
        <f>$AH3*Total!E$110</f>
        <v>0</v>
      </c>
      <c r="AL3" s="29">
        <v>0.35</v>
      </c>
      <c r="AM3" s="23">
        <f>$AL3*Total!C$111</f>
        <v>0.29749999999999999</v>
      </c>
      <c r="AN3" s="23">
        <f>$AL3*Total!D$111</f>
        <v>3.4999999999999996E-2</v>
      </c>
      <c r="AO3" s="23">
        <f>$AL3*Total!E$111</f>
        <v>1.7499999999999998E-2</v>
      </c>
    </row>
    <row r="4" spans="1:41" x14ac:dyDescent="0.2">
      <c r="A4" s="22" t="s">
        <v>45</v>
      </c>
      <c r="B4" s="14"/>
      <c r="C4" s="14">
        <f>+$B4*Total!C$102</f>
        <v>0</v>
      </c>
      <c r="D4" s="14">
        <f>+$B4*Total!D$102</f>
        <v>0</v>
      </c>
      <c r="E4" s="14">
        <f>+$B4*Total!E$102</f>
        <v>0</v>
      </c>
      <c r="F4" s="28"/>
      <c r="G4" s="14">
        <f>$F4*Total!C$103</f>
        <v>0</v>
      </c>
      <c r="H4" s="14">
        <f>$F4*Total!D$103</f>
        <v>0</v>
      </c>
      <c r="I4" s="14">
        <f>$F4*Total!E$103</f>
        <v>0</v>
      </c>
      <c r="J4" s="28"/>
      <c r="K4" s="14">
        <f>$J4*Total!C$104</f>
        <v>0</v>
      </c>
      <c r="L4" s="14">
        <f>$J4*Total!D$104</f>
        <v>0</v>
      </c>
      <c r="M4" s="14">
        <f>$J4*Total!E$104</f>
        <v>0</v>
      </c>
      <c r="N4" s="28"/>
      <c r="O4" s="14">
        <f>$N4*Total!C$105</f>
        <v>0</v>
      </c>
      <c r="P4" s="14">
        <f>$N4*Total!D$105</f>
        <v>0</v>
      </c>
      <c r="Q4" s="14">
        <f>$N4*Total!E$105</f>
        <v>0</v>
      </c>
      <c r="R4" s="28"/>
      <c r="S4" s="14">
        <f>$R4*Total!C$106</f>
        <v>0</v>
      </c>
      <c r="T4" s="14">
        <f>$R4*Total!D$106</f>
        <v>0</v>
      </c>
      <c r="U4" s="14">
        <f>$R4*Total!E$106</f>
        <v>0</v>
      </c>
      <c r="V4" s="28"/>
      <c r="W4" s="14">
        <f>$V4*Total!C$107</f>
        <v>0</v>
      </c>
      <c r="X4" s="14">
        <f>$V4*Total!D$107</f>
        <v>0</v>
      </c>
      <c r="Y4" s="14">
        <f>$V4*Total!E$107</f>
        <v>0</v>
      </c>
      <c r="Z4" s="28"/>
      <c r="AA4" s="14">
        <f>$Z4*Total!C$108</f>
        <v>0</v>
      </c>
      <c r="AB4" s="14">
        <f>$Z4*Total!D$108</f>
        <v>0</v>
      </c>
      <c r="AC4" s="14">
        <f>$Z4*Total!E$108</f>
        <v>0</v>
      </c>
      <c r="AD4" s="28"/>
      <c r="AE4" s="14">
        <v>0</v>
      </c>
      <c r="AF4" s="14">
        <v>0</v>
      </c>
      <c r="AG4" s="14">
        <v>0</v>
      </c>
      <c r="AH4" s="28"/>
      <c r="AI4" s="14">
        <f>$AH4*Total!C$110</f>
        <v>0</v>
      </c>
      <c r="AJ4" s="14">
        <f>$AH4*Total!D$110</f>
        <v>0</v>
      </c>
      <c r="AK4" s="14">
        <f>$AH4*Total!E$110</f>
        <v>0</v>
      </c>
      <c r="AL4" s="28"/>
      <c r="AM4" s="14">
        <f>$AL4*Total!C$111</f>
        <v>0</v>
      </c>
      <c r="AN4" s="14">
        <f>$AL4*Total!D$111</f>
        <v>0</v>
      </c>
      <c r="AO4" s="14">
        <f>$AL4*Total!E$111</f>
        <v>0</v>
      </c>
    </row>
    <row r="5" spans="1:41" x14ac:dyDescent="0.2">
      <c r="A5" s="22" t="s">
        <v>46</v>
      </c>
      <c r="B5" s="14"/>
      <c r="C5" s="14">
        <f>+$B5*Total!C$102</f>
        <v>0</v>
      </c>
      <c r="D5" s="14">
        <f>+$B5*Total!D$102</f>
        <v>0</v>
      </c>
      <c r="E5" s="14">
        <f>+$B5*Total!E$102</f>
        <v>0</v>
      </c>
      <c r="F5" s="28"/>
      <c r="G5" s="14">
        <f>$F5*Total!C$103</f>
        <v>0</v>
      </c>
      <c r="H5" s="14">
        <f>$F5*Total!D$103</f>
        <v>0</v>
      </c>
      <c r="I5" s="14">
        <f>$F5*Total!E$103</f>
        <v>0</v>
      </c>
      <c r="J5" s="28"/>
      <c r="K5" s="14">
        <f>$J5*Total!C$104</f>
        <v>0</v>
      </c>
      <c r="L5" s="14">
        <f>$J5*Total!D$104</f>
        <v>0</v>
      </c>
      <c r="M5" s="14">
        <f>$J5*Total!E$104</f>
        <v>0</v>
      </c>
      <c r="N5" s="28"/>
      <c r="O5" s="14">
        <f>$N5*Total!C$105</f>
        <v>0</v>
      </c>
      <c r="P5" s="14">
        <f>$N5*Total!D$105</f>
        <v>0</v>
      </c>
      <c r="Q5" s="14">
        <f>$N5*Total!E$105</f>
        <v>0</v>
      </c>
      <c r="R5" s="28"/>
      <c r="S5" s="14">
        <f>$R5*Total!C$106</f>
        <v>0</v>
      </c>
      <c r="T5" s="14">
        <f>$R5*Total!D$106</f>
        <v>0</v>
      </c>
      <c r="U5" s="14">
        <f>$R5*Total!E$106</f>
        <v>0</v>
      </c>
      <c r="V5" s="28"/>
      <c r="W5" s="14">
        <f>$V5*Total!C$107</f>
        <v>0</v>
      </c>
      <c r="X5" s="14">
        <f>$V5*Total!D$107</f>
        <v>0</v>
      </c>
      <c r="Y5" s="14">
        <f>$V5*Total!E$107</f>
        <v>0</v>
      </c>
      <c r="Z5" s="28"/>
      <c r="AA5" s="14">
        <f>$Z5*Total!C$108</f>
        <v>0</v>
      </c>
      <c r="AB5" s="14">
        <f>$Z5*Total!D$108</f>
        <v>0</v>
      </c>
      <c r="AC5" s="14">
        <f>$Z5*Total!E$108</f>
        <v>0</v>
      </c>
      <c r="AD5" s="28"/>
      <c r="AE5" s="14">
        <v>0</v>
      </c>
      <c r="AF5" s="14">
        <v>0</v>
      </c>
      <c r="AG5" s="14">
        <v>0</v>
      </c>
      <c r="AH5" s="28"/>
      <c r="AI5" s="14">
        <f>$AH5*Total!C$110</f>
        <v>0</v>
      </c>
      <c r="AJ5" s="14">
        <f>$AH5*Total!D$110</f>
        <v>0</v>
      </c>
      <c r="AK5" s="14">
        <f>$AH5*Total!E$110</f>
        <v>0</v>
      </c>
      <c r="AL5" s="28"/>
      <c r="AM5" s="14">
        <f>$AL5*Total!C$111</f>
        <v>0</v>
      </c>
      <c r="AN5" s="14">
        <f>$AL5*Total!D$111</f>
        <v>0</v>
      </c>
      <c r="AO5" s="14">
        <f>$AL5*Total!E$111</f>
        <v>0</v>
      </c>
    </row>
    <row r="6" spans="1:41" x14ac:dyDescent="0.2">
      <c r="A6" s="22" t="s">
        <v>47</v>
      </c>
      <c r="B6" s="14"/>
      <c r="C6" s="14">
        <f>+$B6*Total!C$102</f>
        <v>0</v>
      </c>
      <c r="D6" s="14">
        <f>+$B6*Total!D$102</f>
        <v>0</v>
      </c>
      <c r="E6" s="14">
        <f>+$B6*Total!E$102</f>
        <v>0</v>
      </c>
      <c r="F6" s="28"/>
      <c r="G6" s="14">
        <f>$F6*Total!C$103</f>
        <v>0</v>
      </c>
      <c r="H6" s="14">
        <f>$F6*Total!D$103</f>
        <v>0</v>
      </c>
      <c r="I6" s="14">
        <f>$F6*Total!E$103</f>
        <v>0</v>
      </c>
      <c r="J6" s="28"/>
      <c r="K6" s="14">
        <f>$J6*Total!C$104</f>
        <v>0</v>
      </c>
      <c r="L6" s="14">
        <f>$J6*Total!D$104</f>
        <v>0</v>
      </c>
      <c r="M6" s="14">
        <f>$J6*Total!E$104</f>
        <v>0</v>
      </c>
      <c r="N6" s="28"/>
      <c r="O6" s="14">
        <f>$N6*Total!C$105</f>
        <v>0</v>
      </c>
      <c r="P6" s="14">
        <f>$N6*Total!D$105</f>
        <v>0</v>
      </c>
      <c r="Q6" s="14">
        <f>$N6*Total!E$105</f>
        <v>0</v>
      </c>
      <c r="R6" s="28"/>
      <c r="S6" s="14">
        <f>$R6*Total!C$106</f>
        <v>0</v>
      </c>
      <c r="T6" s="14">
        <f>$R6*Total!D$106</f>
        <v>0</v>
      </c>
      <c r="U6" s="14">
        <f>$R6*Total!E$106</f>
        <v>0</v>
      </c>
      <c r="V6" s="28"/>
      <c r="W6" s="14">
        <f>$V6*Total!C$107</f>
        <v>0</v>
      </c>
      <c r="X6" s="14">
        <f>$V6*Total!D$107</f>
        <v>0</v>
      </c>
      <c r="Y6" s="14">
        <f>$V6*Total!E$107</f>
        <v>0</v>
      </c>
      <c r="Z6" s="28"/>
      <c r="AA6" s="14">
        <f>$Z6*Total!C$108</f>
        <v>0</v>
      </c>
      <c r="AB6" s="14">
        <f>$Z6*Total!D$108</f>
        <v>0</v>
      </c>
      <c r="AC6" s="14">
        <f>$Z6*Total!E$108</f>
        <v>0</v>
      </c>
      <c r="AD6" s="28"/>
      <c r="AE6" s="14">
        <v>0</v>
      </c>
      <c r="AF6" s="14">
        <v>0</v>
      </c>
      <c r="AG6" s="14">
        <v>0</v>
      </c>
      <c r="AH6" s="28"/>
      <c r="AI6" s="14">
        <f>$AH6*Total!C$110</f>
        <v>0</v>
      </c>
      <c r="AJ6" s="14">
        <f>$AH6*Total!D$110</f>
        <v>0</v>
      </c>
      <c r="AK6" s="14">
        <f>$AH6*Total!E$110</f>
        <v>0</v>
      </c>
      <c r="AL6" s="28"/>
      <c r="AM6" s="14">
        <f>$AL6*Total!C$111</f>
        <v>0</v>
      </c>
      <c r="AN6" s="14">
        <f>$AL6*Total!D$111</f>
        <v>0</v>
      </c>
      <c r="AO6" s="14">
        <f>$AL6*Total!E$111</f>
        <v>0</v>
      </c>
    </row>
    <row r="7" spans="1:41" x14ac:dyDescent="0.2">
      <c r="A7" s="22" t="s">
        <v>48</v>
      </c>
      <c r="B7" s="14"/>
      <c r="C7" s="14">
        <f>+$B7*Total!C$102</f>
        <v>0</v>
      </c>
      <c r="D7" s="14">
        <f>+$B7*Total!D$102</f>
        <v>0</v>
      </c>
      <c r="E7" s="14">
        <f>+$B7*Total!E$102</f>
        <v>0</v>
      </c>
      <c r="F7" s="28"/>
      <c r="G7" s="14">
        <f>$F7*Total!C$103</f>
        <v>0</v>
      </c>
      <c r="H7" s="14">
        <f>$F7*Total!D$103</f>
        <v>0</v>
      </c>
      <c r="I7" s="14">
        <f>$F7*Total!E$103</f>
        <v>0</v>
      </c>
      <c r="J7" s="28"/>
      <c r="K7" s="14">
        <f>$J7*Total!C$104</f>
        <v>0</v>
      </c>
      <c r="L7" s="14">
        <f>$J7*Total!D$104</f>
        <v>0</v>
      </c>
      <c r="M7" s="14">
        <f>$J7*Total!E$104</f>
        <v>0</v>
      </c>
      <c r="N7" s="28"/>
      <c r="O7" s="14">
        <f>$N7*Total!C$105</f>
        <v>0</v>
      </c>
      <c r="P7" s="14">
        <f>$N7*Total!D$105</f>
        <v>0</v>
      </c>
      <c r="Q7" s="14">
        <f>$N7*Total!E$105</f>
        <v>0</v>
      </c>
      <c r="R7" s="28"/>
      <c r="S7" s="14">
        <f>$R7*Total!C$106</f>
        <v>0</v>
      </c>
      <c r="T7" s="14">
        <f>$R7*Total!D$106</f>
        <v>0</v>
      </c>
      <c r="U7" s="14">
        <f>$R7*Total!E$106</f>
        <v>0</v>
      </c>
      <c r="V7" s="28"/>
      <c r="W7" s="14">
        <f>$V7*Total!C$107</f>
        <v>0</v>
      </c>
      <c r="X7" s="14">
        <f>$V7*Total!D$107</f>
        <v>0</v>
      </c>
      <c r="Y7" s="14">
        <f>$V7*Total!E$107</f>
        <v>0</v>
      </c>
      <c r="Z7" s="28"/>
      <c r="AA7" s="14">
        <f>$Z7*Total!C$108</f>
        <v>0</v>
      </c>
      <c r="AB7" s="14">
        <f>$Z7*Total!D$108</f>
        <v>0</v>
      </c>
      <c r="AC7" s="14">
        <f>$Z7*Total!E$108</f>
        <v>0</v>
      </c>
      <c r="AD7" s="28"/>
      <c r="AE7" s="14">
        <v>0</v>
      </c>
      <c r="AF7" s="14">
        <v>0</v>
      </c>
      <c r="AG7" s="14">
        <v>0</v>
      </c>
      <c r="AH7" s="28"/>
      <c r="AI7" s="14">
        <f>$AH7*Total!C$110</f>
        <v>0</v>
      </c>
      <c r="AJ7" s="14">
        <f>$AH7*Total!D$110</f>
        <v>0</v>
      </c>
      <c r="AK7" s="14">
        <f>$AH7*Total!E$110</f>
        <v>0</v>
      </c>
      <c r="AL7" s="28"/>
      <c r="AM7" s="14">
        <f>$AL7*Total!C$111</f>
        <v>0</v>
      </c>
      <c r="AN7" s="14">
        <f>$AL7*Total!D$111</f>
        <v>0</v>
      </c>
      <c r="AO7" s="14">
        <f>$AL7*Total!E$111</f>
        <v>0</v>
      </c>
    </row>
    <row r="8" spans="1:41" x14ac:dyDescent="0.2">
      <c r="A8" s="22" t="s">
        <v>49</v>
      </c>
      <c r="B8" s="14"/>
      <c r="C8" s="14">
        <f>+$B8*Total!C$102</f>
        <v>0</v>
      </c>
      <c r="D8" s="14">
        <f>+$B8*Total!D$102</f>
        <v>0</v>
      </c>
      <c r="E8" s="14">
        <f>+$B8*Total!E$102</f>
        <v>0</v>
      </c>
      <c r="F8" s="28"/>
      <c r="G8" s="14">
        <f>$F8*Total!C$103</f>
        <v>0</v>
      </c>
      <c r="H8" s="14">
        <f>$F8*Total!D$103</f>
        <v>0</v>
      </c>
      <c r="I8" s="14">
        <f>$F8*Total!E$103</f>
        <v>0</v>
      </c>
      <c r="J8" s="28"/>
      <c r="K8" s="14">
        <f>$J8*Total!C$104</f>
        <v>0</v>
      </c>
      <c r="L8" s="14">
        <f>$J8*Total!D$104</f>
        <v>0</v>
      </c>
      <c r="M8" s="14">
        <f>$J8*Total!E$104</f>
        <v>0</v>
      </c>
      <c r="N8" s="28"/>
      <c r="O8" s="14">
        <f>$N8*Total!C$105</f>
        <v>0</v>
      </c>
      <c r="P8" s="14">
        <f>$N8*Total!D$105</f>
        <v>0</v>
      </c>
      <c r="Q8" s="14">
        <f>$N8*Total!E$105</f>
        <v>0</v>
      </c>
      <c r="R8" s="28"/>
      <c r="S8" s="14">
        <f>$R8*Total!C$106</f>
        <v>0</v>
      </c>
      <c r="T8" s="14">
        <f>$R8*Total!D$106</f>
        <v>0</v>
      </c>
      <c r="U8" s="14">
        <f>$R8*Total!E$106</f>
        <v>0</v>
      </c>
      <c r="V8" s="28"/>
      <c r="W8" s="14">
        <f>$V8*Total!C$107</f>
        <v>0</v>
      </c>
      <c r="X8" s="14">
        <f>$V8*Total!D$107</f>
        <v>0</v>
      </c>
      <c r="Y8" s="14">
        <f>$V8*Total!E$107</f>
        <v>0</v>
      </c>
      <c r="Z8" s="28"/>
      <c r="AA8" s="14">
        <f>$Z8*Total!C$108</f>
        <v>0</v>
      </c>
      <c r="AB8" s="14">
        <f>$Z8*Total!D$108</f>
        <v>0</v>
      </c>
      <c r="AC8" s="14">
        <f>$Z8*Total!E$108</f>
        <v>0</v>
      </c>
      <c r="AD8" s="28"/>
      <c r="AE8" s="14">
        <v>0</v>
      </c>
      <c r="AF8" s="14">
        <v>0</v>
      </c>
      <c r="AG8" s="14">
        <v>0</v>
      </c>
      <c r="AH8" s="28"/>
      <c r="AI8" s="14">
        <f>$AH8*Total!C$110</f>
        <v>0</v>
      </c>
      <c r="AJ8" s="14">
        <f>$AH8*Total!D$110</f>
        <v>0</v>
      </c>
      <c r="AK8" s="14">
        <f>$AH8*Total!E$110</f>
        <v>0</v>
      </c>
      <c r="AL8" s="28"/>
      <c r="AM8" s="14">
        <f>$AL8*Total!C$111</f>
        <v>0</v>
      </c>
      <c r="AN8" s="14">
        <f>$AL8*Total!D$111</f>
        <v>0</v>
      </c>
      <c r="AO8" s="14">
        <f>$AL8*Total!E$111</f>
        <v>0</v>
      </c>
    </row>
    <row r="9" spans="1:41" x14ac:dyDescent="0.2">
      <c r="A9" s="22" t="s">
        <v>50</v>
      </c>
      <c r="B9" s="14"/>
      <c r="C9" s="14">
        <f>+$B9*Total!C$102</f>
        <v>0</v>
      </c>
      <c r="D9" s="14">
        <f>+$B9*Total!D$102</f>
        <v>0</v>
      </c>
      <c r="E9" s="14">
        <f>+$B9*Total!E$102</f>
        <v>0</v>
      </c>
      <c r="F9" s="29">
        <v>0.03</v>
      </c>
      <c r="G9" s="23">
        <f>$F9*Total!C$103</f>
        <v>3.0000000000000001E-3</v>
      </c>
      <c r="H9" s="23">
        <f>$F9*Total!D$103</f>
        <v>8.9999999999999993E-3</v>
      </c>
      <c r="I9" s="23">
        <f>$F9*Total!E$103</f>
        <v>1.7999999999999999E-2</v>
      </c>
      <c r="J9" s="28"/>
      <c r="K9" s="14">
        <f>$J9*Total!C$104</f>
        <v>0</v>
      </c>
      <c r="L9" s="14">
        <f>$J9*Total!D$104</f>
        <v>0</v>
      </c>
      <c r="M9" s="14">
        <f>$J9*Total!E$104</f>
        <v>0</v>
      </c>
      <c r="N9" s="28"/>
      <c r="O9" s="14">
        <f>$N9*Total!C$105</f>
        <v>0</v>
      </c>
      <c r="P9" s="14">
        <f>$N9*Total!D$105</f>
        <v>0</v>
      </c>
      <c r="Q9" s="14">
        <f>$N9*Total!E$105</f>
        <v>0</v>
      </c>
      <c r="R9" s="28"/>
      <c r="S9" s="14">
        <f>$R9*Total!C$106</f>
        <v>0</v>
      </c>
      <c r="T9" s="14">
        <f>$R9*Total!D$106</f>
        <v>0</v>
      </c>
      <c r="U9" s="14">
        <f>$R9*Total!E$106</f>
        <v>0</v>
      </c>
      <c r="V9" s="28"/>
      <c r="W9" s="14">
        <f>$V9*Total!C$107</f>
        <v>0</v>
      </c>
      <c r="X9" s="14">
        <f>$V9*Total!D$107</f>
        <v>0</v>
      </c>
      <c r="Y9" s="14">
        <f>$V9*Total!E$107</f>
        <v>0</v>
      </c>
      <c r="Z9" s="28"/>
      <c r="AA9" s="14">
        <f>$Z9*Total!C$108</f>
        <v>0</v>
      </c>
      <c r="AB9" s="14">
        <f>$Z9*Total!D$108</f>
        <v>0</v>
      </c>
      <c r="AC9" s="14">
        <f>$Z9*Total!E$108</f>
        <v>0</v>
      </c>
      <c r="AD9" s="28"/>
      <c r="AE9" s="14">
        <v>0</v>
      </c>
      <c r="AF9" s="14">
        <v>0</v>
      </c>
      <c r="AG9" s="14">
        <v>0</v>
      </c>
      <c r="AH9" s="28"/>
      <c r="AI9" s="14">
        <f>$AH9*Total!C$110</f>
        <v>0</v>
      </c>
      <c r="AJ9" s="14">
        <f>$AH9*Total!D$110</f>
        <v>0</v>
      </c>
      <c r="AK9" s="14">
        <f>$AH9*Total!E$110</f>
        <v>0</v>
      </c>
      <c r="AL9" s="28"/>
      <c r="AM9" s="14">
        <f>$AL9*Total!C$111</f>
        <v>0</v>
      </c>
      <c r="AN9" s="14">
        <f>$AL9*Total!D$111</f>
        <v>0</v>
      </c>
      <c r="AO9" s="14">
        <f>$AL9*Total!E$111</f>
        <v>0</v>
      </c>
    </row>
    <row r="10" spans="1:41" x14ac:dyDescent="0.2">
      <c r="A10" s="22" t="s">
        <v>51</v>
      </c>
      <c r="B10" s="14"/>
      <c r="C10" s="14">
        <f>+$B10*Total!C$102</f>
        <v>0</v>
      </c>
      <c r="D10" s="14">
        <f>+$B10*Total!D$102</f>
        <v>0</v>
      </c>
      <c r="E10" s="14">
        <f>+$B10*Total!E$102</f>
        <v>0</v>
      </c>
      <c r="F10" s="28"/>
      <c r="G10" s="14">
        <f>$F10*Total!C$103</f>
        <v>0</v>
      </c>
      <c r="H10" s="14">
        <f>$F10*Total!D$103</f>
        <v>0</v>
      </c>
      <c r="I10" s="14">
        <f>$F10*Total!E$103</f>
        <v>0</v>
      </c>
      <c r="J10" s="28"/>
      <c r="K10" s="14">
        <f>$J10*Total!C$104</f>
        <v>0</v>
      </c>
      <c r="L10" s="14">
        <f>$J10*Total!D$104</f>
        <v>0</v>
      </c>
      <c r="M10" s="14">
        <f>$J10*Total!E$104</f>
        <v>0</v>
      </c>
      <c r="N10" s="28"/>
      <c r="O10" s="14">
        <f>$N10*Total!C$105</f>
        <v>0</v>
      </c>
      <c r="P10" s="14">
        <f>$N10*Total!D$105</f>
        <v>0</v>
      </c>
      <c r="Q10" s="14">
        <f>$N10*Total!E$105</f>
        <v>0</v>
      </c>
      <c r="R10" s="28"/>
      <c r="S10" s="14">
        <f>$R10*Total!C$106</f>
        <v>0</v>
      </c>
      <c r="T10" s="14">
        <f>$R10*Total!D$106</f>
        <v>0</v>
      </c>
      <c r="U10" s="14">
        <f>$R10*Total!E$106</f>
        <v>0</v>
      </c>
      <c r="V10" s="28"/>
      <c r="W10" s="14">
        <f>$V10*Total!C$107</f>
        <v>0</v>
      </c>
      <c r="X10" s="14">
        <f>$V10*Total!D$107</f>
        <v>0</v>
      </c>
      <c r="Y10" s="14">
        <f>$V10*Total!E$107</f>
        <v>0</v>
      </c>
      <c r="Z10" s="28"/>
      <c r="AA10" s="14">
        <f>$Z10*Total!C$108</f>
        <v>0</v>
      </c>
      <c r="AB10" s="14">
        <f>$Z10*Total!D$108</f>
        <v>0</v>
      </c>
      <c r="AC10" s="14">
        <f>$Z10*Total!E$108</f>
        <v>0</v>
      </c>
      <c r="AD10" s="28"/>
      <c r="AE10" s="14">
        <v>0</v>
      </c>
      <c r="AF10" s="14">
        <v>0</v>
      </c>
      <c r="AG10" s="14">
        <v>0</v>
      </c>
      <c r="AH10" s="28"/>
      <c r="AI10" s="14">
        <f>$AH10*Total!C$110</f>
        <v>0</v>
      </c>
      <c r="AJ10" s="14">
        <f>$AH10*Total!D$110</f>
        <v>0</v>
      </c>
      <c r="AK10" s="14">
        <f>$AH10*Total!E$110</f>
        <v>0</v>
      </c>
      <c r="AL10" s="28"/>
      <c r="AM10" s="14">
        <f>$AL10*Total!C$111</f>
        <v>0</v>
      </c>
      <c r="AN10" s="14">
        <f>$AL10*Total!D$111</f>
        <v>0</v>
      </c>
      <c r="AO10" s="14">
        <f>$AL10*Total!E$111</f>
        <v>0</v>
      </c>
    </row>
    <row r="11" spans="1:41" x14ac:dyDescent="0.2">
      <c r="A11" s="22" t="s">
        <v>52</v>
      </c>
      <c r="B11" s="14"/>
      <c r="C11" s="14">
        <f>+$B11*Total!C$102</f>
        <v>0</v>
      </c>
      <c r="D11" s="14">
        <f>+$B11*Total!D$102</f>
        <v>0</v>
      </c>
      <c r="E11" s="14">
        <f>+$B11*Total!E$102</f>
        <v>0</v>
      </c>
      <c r="F11" s="28"/>
      <c r="G11" s="14">
        <f>$F11*Total!C$103</f>
        <v>0</v>
      </c>
      <c r="H11" s="14">
        <f>$F11*Total!D$103</f>
        <v>0</v>
      </c>
      <c r="I11" s="14">
        <f>$F11*Total!E$103</f>
        <v>0</v>
      </c>
      <c r="J11" s="28"/>
      <c r="K11" s="14">
        <f>$J11*Total!C$104</f>
        <v>0</v>
      </c>
      <c r="L11" s="14">
        <f>$J11*Total!D$104</f>
        <v>0</v>
      </c>
      <c r="M11" s="14">
        <f>$J11*Total!E$104</f>
        <v>0</v>
      </c>
      <c r="N11" s="28"/>
      <c r="O11" s="14">
        <f>$N11*Total!C$105</f>
        <v>0</v>
      </c>
      <c r="P11" s="14">
        <f>$N11*Total!D$105</f>
        <v>0</v>
      </c>
      <c r="Q11" s="14">
        <f>$N11*Total!E$105</f>
        <v>0</v>
      </c>
      <c r="R11" s="29">
        <v>0.1</v>
      </c>
      <c r="S11" s="23">
        <f>$R11*Total!C$106</f>
        <v>5.000000000000001E-3</v>
      </c>
      <c r="T11" s="23">
        <f>$R11*Total!D$106</f>
        <v>9.5000000000000001E-2</v>
      </c>
      <c r="U11" s="23">
        <f>$R11*Total!E$106</f>
        <v>0</v>
      </c>
      <c r="V11" s="28"/>
      <c r="W11" s="14">
        <f>$V11*Total!C$107</f>
        <v>0</v>
      </c>
      <c r="X11" s="14">
        <f>$V11*Total!D$107</f>
        <v>0</v>
      </c>
      <c r="Y11" s="14">
        <f>$V11*Total!E$107</f>
        <v>0</v>
      </c>
      <c r="Z11" s="29">
        <v>0.04</v>
      </c>
      <c r="AA11" s="23">
        <f>$Z11*Total!C$108</f>
        <v>3.4000000000000002E-2</v>
      </c>
      <c r="AB11" s="23">
        <f>$Z11*Total!D$108</f>
        <v>6.0000000000000001E-3</v>
      </c>
      <c r="AC11" s="23">
        <f>$Z11*Total!E$108</f>
        <v>0</v>
      </c>
      <c r="AD11" s="29">
        <v>0.04</v>
      </c>
      <c r="AE11" s="23">
        <f>+$AD11*Total!C$109</f>
        <v>3.4000000000000002E-2</v>
      </c>
      <c r="AF11" s="23">
        <f>+$AD11*Total!D$109</f>
        <v>6.0000000000000001E-3</v>
      </c>
      <c r="AG11" s="23">
        <f>+$AD11*Total!E$109</f>
        <v>0</v>
      </c>
      <c r="AH11" s="28"/>
      <c r="AI11" s="14">
        <f>$AH11*Total!C$110</f>
        <v>0</v>
      </c>
      <c r="AJ11" s="14">
        <f>$AH11*Total!D$110</f>
        <v>0</v>
      </c>
      <c r="AK11" s="14">
        <f>$AH11*Total!E$110</f>
        <v>0</v>
      </c>
      <c r="AL11" s="28"/>
      <c r="AM11" s="14">
        <f>$AL11*Total!C$111</f>
        <v>0</v>
      </c>
      <c r="AN11" s="14">
        <f>$AL11*Total!D$111</f>
        <v>0</v>
      </c>
      <c r="AO11" s="14">
        <f>$AL11*Total!E$111</f>
        <v>0</v>
      </c>
    </row>
    <row r="12" spans="1:41" x14ac:dyDescent="0.2">
      <c r="A12" s="22" t="s">
        <v>53</v>
      </c>
      <c r="B12" s="14"/>
      <c r="C12" s="14">
        <f>+$B12*Total!C$102</f>
        <v>0</v>
      </c>
      <c r="D12" s="14">
        <f>+$B12*Total!D$102</f>
        <v>0</v>
      </c>
      <c r="E12" s="14">
        <f>+$B12*Total!E$102</f>
        <v>0</v>
      </c>
      <c r="F12" s="28"/>
      <c r="G12" s="14">
        <f>$F12*Total!C$103</f>
        <v>0</v>
      </c>
      <c r="H12" s="14">
        <f>$F12*Total!D$103</f>
        <v>0</v>
      </c>
      <c r="I12" s="14">
        <f>$F12*Total!E$103</f>
        <v>0</v>
      </c>
      <c r="J12" s="28"/>
      <c r="K12" s="14">
        <f>$J12*Total!C$104</f>
        <v>0</v>
      </c>
      <c r="L12" s="14">
        <f>$J12*Total!D$104</f>
        <v>0</v>
      </c>
      <c r="M12" s="14">
        <f>$J12*Total!E$104</f>
        <v>0</v>
      </c>
      <c r="N12" s="28"/>
      <c r="O12" s="14">
        <f>$N12*Total!C$105</f>
        <v>0</v>
      </c>
      <c r="P12" s="14">
        <f>$N12*Total!D$105</f>
        <v>0</v>
      </c>
      <c r="Q12" s="14">
        <f>$N12*Total!E$105</f>
        <v>0</v>
      </c>
      <c r="R12" s="28"/>
      <c r="S12" s="14">
        <f>$R12*Total!C$106</f>
        <v>0</v>
      </c>
      <c r="T12" s="14">
        <f>$R12*Total!D$106</f>
        <v>0</v>
      </c>
      <c r="U12" s="14">
        <f>$R12*Total!E$106</f>
        <v>0</v>
      </c>
      <c r="V12" s="28"/>
      <c r="W12" s="14">
        <f>$V12*Total!C$107</f>
        <v>0</v>
      </c>
      <c r="X12" s="14">
        <f>$V12*Total!D$107</f>
        <v>0</v>
      </c>
      <c r="Y12" s="14">
        <f>$V12*Total!E$107</f>
        <v>0</v>
      </c>
      <c r="Z12" s="28"/>
      <c r="AA12" s="14">
        <f>$Z12*Total!C$108</f>
        <v>0</v>
      </c>
      <c r="AB12" s="14">
        <f>$Z12*Total!D$108</f>
        <v>0</v>
      </c>
      <c r="AC12" s="14">
        <f>$Z12*Total!E$108</f>
        <v>0</v>
      </c>
      <c r="AD12" s="28"/>
      <c r="AE12" s="14">
        <v>0</v>
      </c>
      <c r="AF12" s="14">
        <v>0</v>
      </c>
      <c r="AG12" s="14">
        <v>0</v>
      </c>
      <c r="AH12" s="28"/>
      <c r="AI12" s="14">
        <f>$AH12*Total!C$110</f>
        <v>0</v>
      </c>
      <c r="AJ12" s="14">
        <f>$AH12*Total!D$110</f>
        <v>0</v>
      </c>
      <c r="AK12" s="14">
        <f>$AH12*Total!E$110</f>
        <v>0</v>
      </c>
      <c r="AL12" s="28"/>
      <c r="AM12" s="14">
        <f>$AL12*Total!C$111</f>
        <v>0</v>
      </c>
      <c r="AN12" s="14">
        <f>$AL12*Total!D$111</f>
        <v>0</v>
      </c>
      <c r="AO12" s="14">
        <f>$AL12*Total!E$111</f>
        <v>0</v>
      </c>
    </row>
    <row r="13" spans="1:41" x14ac:dyDescent="0.2">
      <c r="A13" s="22" t="s">
        <v>54</v>
      </c>
      <c r="B13" s="14"/>
      <c r="C13" s="14">
        <f>+$B13*Total!C$102</f>
        <v>0</v>
      </c>
      <c r="D13" s="14">
        <f>+$B13*Total!D$102</f>
        <v>0</v>
      </c>
      <c r="E13" s="14">
        <f>+$B13*Total!E$102</f>
        <v>0</v>
      </c>
      <c r="F13" s="28"/>
      <c r="G13" s="14">
        <f>$F13*Total!C$103</f>
        <v>0</v>
      </c>
      <c r="H13" s="14">
        <f>$F13*Total!D$103</f>
        <v>0</v>
      </c>
      <c r="I13" s="14">
        <f>$F13*Total!E$103</f>
        <v>0</v>
      </c>
      <c r="J13" s="28"/>
      <c r="K13" s="14">
        <f>$J13*Total!C$104</f>
        <v>0</v>
      </c>
      <c r="L13" s="14">
        <f>$J13*Total!D$104</f>
        <v>0</v>
      </c>
      <c r="M13" s="14">
        <f>$J13*Total!E$104</f>
        <v>0</v>
      </c>
      <c r="N13" s="28"/>
      <c r="O13" s="14">
        <f>$N13*Total!C$105</f>
        <v>0</v>
      </c>
      <c r="P13" s="14">
        <f>$N13*Total!D$105</f>
        <v>0</v>
      </c>
      <c r="Q13" s="14">
        <f>$N13*Total!E$105</f>
        <v>0</v>
      </c>
      <c r="R13" s="28"/>
      <c r="S13" s="14">
        <f>$R13*Total!C$106</f>
        <v>0</v>
      </c>
      <c r="T13" s="14">
        <f>$R13*Total!D$106</f>
        <v>0</v>
      </c>
      <c r="U13" s="14">
        <f>$R13*Total!E$106</f>
        <v>0</v>
      </c>
      <c r="V13" s="28"/>
      <c r="W13" s="14">
        <f>$V13*Total!C$107</f>
        <v>0</v>
      </c>
      <c r="X13" s="14">
        <f>$V13*Total!D$107</f>
        <v>0</v>
      </c>
      <c r="Y13" s="14">
        <f>$V13*Total!E$107</f>
        <v>0</v>
      </c>
      <c r="Z13" s="28"/>
      <c r="AA13" s="14">
        <f>$Z13*Total!C$108</f>
        <v>0</v>
      </c>
      <c r="AB13" s="14">
        <f>$Z13*Total!D$108</f>
        <v>0</v>
      </c>
      <c r="AC13" s="14">
        <f>$Z13*Total!E$108</f>
        <v>0</v>
      </c>
      <c r="AD13" s="28"/>
      <c r="AE13" s="14">
        <v>0</v>
      </c>
      <c r="AF13" s="14">
        <v>0</v>
      </c>
      <c r="AG13" s="14">
        <v>0</v>
      </c>
      <c r="AH13" s="28"/>
      <c r="AI13" s="14">
        <f>$AH13*Total!C$110</f>
        <v>0</v>
      </c>
      <c r="AJ13" s="14">
        <f>$AH13*Total!D$110</f>
        <v>0</v>
      </c>
      <c r="AK13" s="14">
        <f>$AH13*Total!E$110</f>
        <v>0</v>
      </c>
      <c r="AL13" s="28"/>
      <c r="AM13" s="14">
        <f>$AL13*Total!C$111</f>
        <v>0</v>
      </c>
      <c r="AN13" s="14">
        <f>$AL13*Total!D$111</f>
        <v>0</v>
      </c>
      <c r="AO13" s="14">
        <f>$AL13*Total!E$111</f>
        <v>0</v>
      </c>
    </row>
    <row r="14" spans="1:41" x14ac:dyDescent="0.2">
      <c r="A14" s="22" t="s">
        <v>55</v>
      </c>
      <c r="B14" s="7">
        <v>5.8999999999999997E-2</v>
      </c>
      <c r="C14" s="23">
        <f>+$B14*Total!C$102</f>
        <v>1.4749999999999999E-2</v>
      </c>
      <c r="D14" s="23">
        <f>+$B14*Total!D$102</f>
        <v>4.1299999999999996E-2</v>
      </c>
      <c r="E14" s="23">
        <f>+$B14*Total!E$102</f>
        <v>2.9499999999999999E-3</v>
      </c>
      <c r="F14" s="28"/>
      <c r="G14" s="14">
        <f>$F14*Total!C$103</f>
        <v>0</v>
      </c>
      <c r="H14" s="14">
        <f>$F14*Total!D$103</f>
        <v>0</v>
      </c>
      <c r="I14" s="14">
        <f>$F14*Total!E$103</f>
        <v>0</v>
      </c>
      <c r="J14" s="28"/>
      <c r="K14" s="14">
        <f>$J14*Total!C$104</f>
        <v>0</v>
      </c>
      <c r="L14" s="14">
        <f>$J14*Total!D$104</f>
        <v>0</v>
      </c>
      <c r="M14" s="14">
        <f>$J14*Total!E$104</f>
        <v>0</v>
      </c>
      <c r="N14" s="29">
        <v>0.12</v>
      </c>
      <c r="O14" s="23">
        <f>$N14*Total!C$105</f>
        <v>6.0000000000000001E-3</v>
      </c>
      <c r="P14" s="23">
        <f>$N14*Total!D$105</f>
        <v>0.11399999999999999</v>
      </c>
      <c r="Q14" s="23">
        <f>$N14*Total!E$105</f>
        <v>0</v>
      </c>
      <c r="R14" s="29">
        <v>0.15</v>
      </c>
      <c r="S14" s="23">
        <f>$R14*Total!C$106</f>
        <v>7.4999999999999997E-3</v>
      </c>
      <c r="T14" s="23">
        <f>$R14*Total!D$106</f>
        <v>0.14249999999999999</v>
      </c>
      <c r="U14" s="23">
        <f>$R14*Total!E$106</f>
        <v>0</v>
      </c>
      <c r="V14" s="28"/>
      <c r="W14" s="14">
        <f>$V14*Total!C$107</f>
        <v>0</v>
      </c>
      <c r="X14" s="14">
        <f>$V14*Total!D$107</f>
        <v>0</v>
      </c>
      <c r="Y14" s="14">
        <f>$V14*Total!E$107</f>
        <v>0</v>
      </c>
      <c r="Z14" s="28"/>
      <c r="AA14" s="14">
        <f>$Z14*Total!C$108</f>
        <v>0</v>
      </c>
      <c r="AB14" s="14">
        <f>$Z14*Total!D$108</f>
        <v>0</v>
      </c>
      <c r="AC14" s="14">
        <f>$Z14*Total!E$108</f>
        <v>0</v>
      </c>
      <c r="AD14" s="28"/>
      <c r="AE14" s="14">
        <v>0</v>
      </c>
      <c r="AF14" s="14">
        <v>0</v>
      </c>
      <c r="AG14" s="14">
        <v>0</v>
      </c>
      <c r="AH14" s="28"/>
      <c r="AI14" s="14">
        <f>$AH14*Total!C$110</f>
        <v>0</v>
      </c>
      <c r="AJ14" s="14">
        <f>$AH14*Total!D$110</f>
        <v>0</v>
      </c>
      <c r="AK14" s="14">
        <f>$AH14*Total!E$110</f>
        <v>0</v>
      </c>
      <c r="AL14" s="28"/>
      <c r="AM14" s="14">
        <f>$AL14*Total!C$111</f>
        <v>0</v>
      </c>
      <c r="AN14" s="14">
        <f>$AL14*Total!D$111</f>
        <v>0</v>
      </c>
      <c r="AO14" s="14">
        <f>$AL14*Total!E$111</f>
        <v>0</v>
      </c>
    </row>
    <row r="15" spans="1:41" x14ac:dyDescent="0.2">
      <c r="A15" s="22" t="s">
        <v>56</v>
      </c>
      <c r="B15" s="7">
        <v>1.11E-2</v>
      </c>
      <c r="C15" s="23">
        <f>+$B15*Total!C$102</f>
        <v>2.7750000000000001E-3</v>
      </c>
      <c r="D15" s="23">
        <f>+$B15*Total!D$102</f>
        <v>7.77E-3</v>
      </c>
      <c r="E15" s="23">
        <f>+$B15*Total!E$102</f>
        <v>5.5500000000000005E-4</v>
      </c>
      <c r="F15" s="28"/>
      <c r="G15" s="14">
        <f>$F15*Total!C$103</f>
        <v>0</v>
      </c>
      <c r="H15" s="14">
        <f>$F15*Total!D$103</f>
        <v>0</v>
      </c>
      <c r="I15" s="14">
        <f>$F15*Total!E$103</f>
        <v>0</v>
      </c>
      <c r="J15" s="28"/>
      <c r="K15" s="14">
        <f>$J15*Total!C$104</f>
        <v>0</v>
      </c>
      <c r="L15" s="14">
        <f>$J15*Total!D$104</f>
        <v>0</v>
      </c>
      <c r="M15" s="14">
        <f>$J15*Total!E$104</f>
        <v>0</v>
      </c>
      <c r="N15" s="28"/>
      <c r="O15" s="14">
        <f>$N15*Total!C$105</f>
        <v>0</v>
      </c>
      <c r="P15" s="14">
        <f>$N15*Total!D$105</f>
        <v>0</v>
      </c>
      <c r="Q15" s="14">
        <f>$N15*Total!E$105</f>
        <v>0</v>
      </c>
      <c r="R15" s="28"/>
      <c r="S15" s="14">
        <f>$R15*Total!C$106</f>
        <v>0</v>
      </c>
      <c r="T15" s="14">
        <f>$R15*Total!D$106</f>
        <v>0</v>
      </c>
      <c r="U15" s="14">
        <f>$R15*Total!E$106</f>
        <v>0</v>
      </c>
      <c r="V15" s="28"/>
      <c r="W15" s="14">
        <f>$V15*Total!C$107</f>
        <v>0</v>
      </c>
      <c r="X15" s="14">
        <f>$V15*Total!D$107</f>
        <v>0</v>
      </c>
      <c r="Y15" s="14">
        <f>$V15*Total!E$107</f>
        <v>0</v>
      </c>
      <c r="Z15" s="28"/>
      <c r="AA15" s="14">
        <f>$Z15*Total!C$108</f>
        <v>0</v>
      </c>
      <c r="AB15" s="14">
        <f>$Z15*Total!D$108</f>
        <v>0</v>
      </c>
      <c r="AC15" s="14">
        <f>$Z15*Total!E$108</f>
        <v>0</v>
      </c>
      <c r="AD15" s="28"/>
      <c r="AE15" s="14">
        <v>0</v>
      </c>
      <c r="AF15" s="14">
        <v>0</v>
      </c>
      <c r="AG15" s="14">
        <v>0</v>
      </c>
      <c r="AH15" s="28"/>
      <c r="AI15" s="14">
        <f>$AH15*Total!C$110</f>
        <v>0</v>
      </c>
      <c r="AJ15" s="14">
        <f>$AH15*Total!D$110</f>
        <v>0</v>
      </c>
      <c r="AK15" s="14">
        <f>$AH15*Total!E$110</f>
        <v>0</v>
      </c>
      <c r="AL15" s="28"/>
      <c r="AM15" s="14">
        <f>$AL15*Total!C$111</f>
        <v>0</v>
      </c>
      <c r="AN15" s="14">
        <f>$AL15*Total!D$111</f>
        <v>0</v>
      </c>
      <c r="AO15" s="14">
        <f>$AL15*Total!E$111</f>
        <v>0</v>
      </c>
    </row>
    <row r="16" spans="1:41" x14ac:dyDescent="0.2">
      <c r="A16" s="22" t="s">
        <v>57</v>
      </c>
      <c r="B16" s="7">
        <v>8.72E-2</v>
      </c>
      <c r="C16" s="23">
        <f>+$B16*Total!C$102</f>
        <v>2.18E-2</v>
      </c>
      <c r="D16" s="23">
        <f>+$B16*Total!D$102</f>
        <v>6.1039999999999997E-2</v>
      </c>
      <c r="E16" s="23">
        <f>+$B16*Total!E$102</f>
        <v>4.3600000000000002E-3</v>
      </c>
      <c r="F16" s="29">
        <v>0.15</v>
      </c>
      <c r="G16" s="23">
        <f>$F16*Total!C$103</f>
        <v>1.4999999999999999E-2</v>
      </c>
      <c r="H16" s="23">
        <f>$F16*Total!D$103</f>
        <v>4.4999999999999998E-2</v>
      </c>
      <c r="I16" s="23">
        <f>$F16*Total!E$103</f>
        <v>0.09</v>
      </c>
      <c r="J16" s="29">
        <v>0.08</v>
      </c>
      <c r="K16" s="23">
        <f>$J16*Total!C$104</f>
        <v>4.0000000000000001E-3</v>
      </c>
      <c r="L16" s="23">
        <f>$J16*Total!D$104</f>
        <v>3.2000000000000001E-2</v>
      </c>
      <c r="M16" s="23">
        <f>$J16*Total!E$104</f>
        <v>4.4000000000000004E-2</v>
      </c>
      <c r="N16" s="29">
        <v>0.08</v>
      </c>
      <c r="O16" s="23">
        <f>$N16*Total!C$105</f>
        <v>4.0000000000000001E-3</v>
      </c>
      <c r="P16" s="23">
        <f>$N16*Total!D$105</f>
        <v>7.5999999999999998E-2</v>
      </c>
      <c r="Q16" s="23">
        <f>$N16*Total!E$105</f>
        <v>0</v>
      </c>
      <c r="R16" s="28"/>
      <c r="S16" s="14">
        <f>$R16*Total!C$106</f>
        <v>0</v>
      </c>
      <c r="T16" s="14">
        <f>$R16*Total!D$106</f>
        <v>0</v>
      </c>
      <c r="U16" s="14">
        <f>$R16*Total!E$106</f>
        <v>0</v>
      </c>
      <c r="V16" s="28"/>
      <c r="W16" s="14">
        <f>$V16*Total!C$107</f>
        <v>0</v>
      </c>
      <c r="X16" s="14">
        <f>$V16*Total!D$107</f>
        <v>0</v>
      </c>
      <c r="Y16" s="14">
        <f>$V16*Total!E$107</f>
        <v>0</v>
      </c>
      <c r="Z16" s="28"/>
      <c r="AA16" s="14">
        <f>$Z16*Total!C$108</f>
        <v>0</v>
      </c>
      <c r="AB16" s="14">
        <f>$Z16*Total!D$108</f>
        <v>0</v>
      </c>
      <c r="AC16" s="14">
        <f>$Z16*Total!E$108</f>
        <v>0</v>
      </c>
      <c r="AD16" s="28"/>
      <c r="AE16" s="14">
        <v>0</v>
      </c>
      <c r="AF16" s="14">
        <v>0</v>
      </c>
      <c r="AG16" s="14">
        <v>0</v>
      </c>
      <c r="AH16" s="28"/>
      <c r="AI16" s="14">
        <f>$AH16*Total!C$110</f>
        <v>0</v>
      </c>
      <c r="AJ16" s="14">
        <f>$AH16*Total!D$110</f>
        <v>0</v>
      </c>
      <c r="AK16" s="14">
        <f>$AH16*Total!E$110</f>
        <v>0</v>
      </c>
      <c r="AL16" s="28"/>
      <c r="AM16" s="14">
        <f>$AL16*Total!C$111</f>
        <v>0</v>
      </c>
      <c r="AN16" s="14">
        <f>$AL16*Total!D$111</f>
        <v>0</v>
      </c>
      <c r="AO16" s="14">
        <f>$AL16*Total!E$111</f>
        <v>0</v>
      </c>
    </row>
    <row r="17" spans="1:41" x14ac:dyDescent="0.2">
      <c r="A17" s="22" t="s">
        <v>58</v>
      </c>
      <c r="B17" s="7">
        <v>7.7200000000000005E-2</v>
      </c>
      <c r="C17" s="23">
        <f>+$B17*Total!C$102</f>
        <v>1.9300000000000001E-2</v>
      </c>
      <c r="D17" s="23">
        <f>+$B17*Total!D$102</f>
        <v>5.4039999999999998E-2</v>
      </c>
      <c r="E17" s="23">
        <f>+$B17*Total!E$102</f>
        <v>3.8600000000000006E-3</v>
      </c>
      <c r="F17" s="29">
        <v>0.05</v>
      </c>
      <c r="G17" s="23">
        <f>$F17*Total!C$103</f>
        <v>5.000000000000001E-3</v>
      </c>
      <c r="H17" s="23">
        <f>$F17*Total!D$103</f>
        <v>1.4999999999999999E-2</v>
      </c>
      <c r="I17" s="23">
        <f>$F17*Total!E$103</f>
        <v>0.03</v>
      </c>
      <c r="J17" s="28"/>
      <c r="K17" s="14">
        <f>$J17*Total!C$104</f>
        <v>0</v>
      </c>
      <c r="L17" s="14">
        <f>$J17*Total!D$104</f>
        <v>0</v>
      </c>
      <c r="M17" s="14">
        <f>$J17*Total!E$104</f>
        <v>0</v>
      </c>
      <c r="N17" s="29">
        <v>0.25</v>
      </c>
      <c r="O17" s="23">
        <f>$N17*Total!C$105</f>
        <v>1.2500000000000001E-2</v>
      </c>
      <c r="P17" s="23">
        <f>$N17*Total!D$105</f>
        <v>0.23749999999999999</v>
      </c>
      <c r="Q17" s="23">
        <f>$N17*Total!E$105</f>
        <v>0</v>
      </c>
      <c r="R17" s="29">
        <v>0.3</v>
      </c>
      <c r="S17" s="23">
        <f>$R17*Total!C$106</f>
        <v>1.4999999999999999E-2</v>
      </c>
      <c r="T17" s="23">
        <f>$R17*Total!D$106</f>
        <v>0.28499999999999998</v>
      </c>
      <c r="U17" s="23">
        <f>$R17*Total!E$106</f>
        <v>0</v>
      </c>
      <c r="V17" s="29">
        <v>0.2</v>
      </c>
      <c r="W17" s="23">
        <f>$V17*Total!C$107</f>
        <v>0.16000000000000003</v>
      </c>
      <c r="X17" s="23">
        <f>$V17*Total!D$107</f>
        <v>4.0000000000000008E-2</v>
      </c>
      <c r="Y17" s="23">
        <f>$V17*Total!E$107</f>
        <v>0</v>
      </c>
      <c r="Z17" s="29">
        <v>0.15</v>
      </c>
      <c r="AA17" s="23">
        <f>$Z17*Total!C$108</f>
        <v>0.1275</v>
      </c>
      <c r="AB17" s="23">
        <f>$Z17*Total!D$108</f>
        <v>2.2499999999999999E-2</v>
      </c>
      <c r="AC17" s="23">
        <f>$Z17*Total!E$108</f>
        <v>0</v>
      </c>
      <c r="AD17" s="29">
        <v>0.15</v>
      </c>
      <c r="AE17" s="23">
        <f>+$AD17*Total!C$109</f>
        <v>0.1275</v>
      </c>
      <c r="AF17" s="23">
        <f>+$AD17*Total!D$109</f>
        <v>2.2499999999999999E-2</v>
      </c>
      <c r="AG17" s="23">
        <f>+$AD17*Total!E$109</f>
        <v>0</v>
      </c>
      <c r="AH17" s="28"/>
      <c r="AI17" s="14">
        <f>$AH17*Total!C$110</f>
        <v>0</v>
      </c>
      <c r="AJ17" s="14">
        <f>$AH17*Total!D$110</f>
        <v>0</v>
      </c>
      <c r="AK17" s="14">
        <f>$AH17*Total!E$110</f>
        <v>0</v>
      </c>
      <c r="AL17" s="28"/>
      <c r="AM17" s="14">
        <f>$AL17*Total!C$111</f>
        <v>0</v>
      </c>
      <c r="AN17" s="14">
        <f>$AL17*Total!D$111</f>
        <v>0</v>
      </c>
      <c r="AO17" s="14">
        <f>$AL17*Total!E$111</f>
        <v>0</v>
      </c>
    </row>
    <row r="18" spans="1:41" x14ac:dyDescent="0.2">
      <c r="A18" s="22" t="s">
        <v>59</v>
      </c>
      <c r="B18" s="7">
        <v>2.8199999999999999E-2</v>
      </c>
      <c r="C18" s="23">
        <f>+$B18*Total!C$102</f>
        <v>7.0499999999999998E-3</v>
      </c>
      <c r="D18" s="23">
        <f>+$B18*Total!D$102</f>
        <v>1.9739999999999997E-2</v>
      </c>
      <c r="E18" s="23">
        <f>+$B18*Total!E$102</f>
        <v>1.41E-3</v>
      </c>
      <c r="F18" s="28"/>
      <c r="G18" s="14">
        <f>$F18*Total!C$103</f>
        <v>0</v>
      </c>
      <c r="H18" s="14">
        <f>$F18*Total!D$103</f>
        <v>0</v>
      </c>
      <c r="I18" s="14">
        <f>$F18*Total!E$103</f>
        <v>0</v>
      </c>
      <c r="J18" s="29">
        <v>0.15</v>
      </c>
      <c r="K18" s="23">
        <f>$J18*Total!C$104</f>
        <v>7.4999999999999997E-3</v>
      </c>
      <c r="L18" s="23">
        <f>$J18*Total!D$104</f>
        <v>0.06</v>
      </c>
      <c r="M18" s="23">
        <f>$J18*Total!E$104</f>
        <v>8.2500000000000004E-2</v>
      </c>
      <c r="N18" s="28"/>
      <c r="O18" s="14">
        <f>$N18*Total!C$105</f>
        <v>0</v>
      </c>
      <c r="P18" s="14">
        <f>$N18*Total!D$105</f>
        <v>0</v>
      </c>
      <c r="Q18" s="14">
        <f>$N18*Total!E$105</f>
        <v>0</v>
      </c>
      <c r="R18" s="28"/>
      <c r="S18" s="14">
        <f>$R18*Total!C$106</f>
        <v>0</v>
      </c>
      <c r="T18" s="14">
        <f>$R18*Total!D$106</f>
        <v>0</v>
      </c>
      <c r="U18" s="14">
        <f>$R18*Total!E$106</f>
        <v>0</v>
      </c>
      <c r="V18" s="29">
        <v>0.1</v>
      </c>
      <c r="W18" s="23">
        <f>$V18*Total!C$107</f>
        <v>8.0000000000000016E-2</v>
      </c>
      <c r="X18" s="23">
        <f>$V18*Total!D$107</f>
        <v>2.0000000000000004E-2</v>
      </c>
      <c r="Y18" s="23">
        <f>$V18*Total!E$107</f>
        <v>0</v>
      </c>
      <c r="Z18" s="28"/>
      <c r="AA18" s="14">
        <f>$Z18*Total!C$108</f>
        <v>0</v>
      </c>
      <c r="AB18" s="14">
        <f>$Z18*Total!D$108</f>
        <v>0</v>
      </c>
      <c r="AC18" s="14">
        <f>$Z18*Total!E$108</f>
        <v>0</v>
      </c>
      <c r="AD18" s="28"/>
      <c r="AE18" s="14">
        <v>0</v>
      </c>
      <c r="AF18" s="14">
        <v>0</v>
      </c>
      <c r="AG18" s="14">
        <v>0</v>
      </c>
      <c r="AH18" s="28"/>
      <c r="AI18" s="14">
        <f>$AH18*Total!C$110</f>
        <v>0</v>
      </c>
      <c r="AJ18" s="14">
        <f>$AH18*Total!D$110</f>
        <v>0</v>
      </c>
      <c r="AK18" s="14">
        <f>$AH18*Total!E$110</f>
        <v>0</v>
      </c>
      <c r="AL18" s="28"/>
      <c r="AM18" s="14">
        <f>$AL18*Total!C$111</f>
        <v>0</v>
      </c>
      <c r="AN18" s="14">
        <f>$AL18*Total!D$111</f>
        <v>0</v>
      </c>
      <c r="AO18" s="14">
        <f>$AL18*Total!E$111</f>
        <v>0</v>
      </c>
    </row>
    <row r="19" spans="1:41" x14ac:dyDescent="0.2">
      <c r="A19" s="22" t="s">
        <v>60</v>
      </c>
      <c r="B19" s="14"/>
      <c r="C19" s="14">
        <f>+$B19*Total!C$102</f>
        <v>0</v>
      </c>
      <c r="D19" s="14">
        <f>+$B19*Total!D$102</f>
        <v>0</v>
      </c>
      <c r="E19" s="14">
        <f>+$B19*Total!E$102</f>
        <v>0</v>
      </c>
      <c r="F19" s="28"/>
      <c r="G19" s="14">
        <f>$F19*Total!C$103</f>
        <v>0</v>
      </c>
      <c r="H19" s="14">
        <f>$F19*Total!D$103</f>
        <v>0</v>
      </c>
      <c r="I19" s="14">
        <f>$F19*Total!E$103</f>
        <v>0</v>
      </c>
      <c r="J19" s="28"/>
      <c r="K19" s="14">
        <f>$J19*Total!C$104</f>
        <v>0</v>
      </c>
      <c r="L19" s="14">
        <f>$J19*Total!D$104</f>
        <v>0</v>
      </c>
      <c r="M19" s="14">
        <f>$J19*Total!E$104</f>
        <v>0</v>
      </c>
      <c r="N19" s="28"/>
      <c r="O19" s="14">
        <f>$N19*Total!C$105</f>
        <v>0</v>
      </c>
      <c r="P19" s="14">
        <f>$N19*Total!D$105</f>
        <v>0</v>
      </c>
      <c r="Q19" s="14">
        <f>$N19*Total!E$105</f>
        <v>0</v>
      </c>
      <c r="R19" s="28"/>
      <c r="S19" s="14">
        <f>$R19*Total!C$106</f>
        <v>0</v>
      </c>
      <c r="T19" s="14">
        <f>$R19*Total!D$106</f>
        <v>0</v>
      </c>
      <c r="U19" s="14">
        <f>$R19*Total!E$106</f>
        <v>0</v>
      </c>
      <c r="V19" s="28"/>
      <c r="W19" s="14">
        <f>$V19*Total!C$107</f>
        <v>0</v>
      </c>
      <c r="X19" s="14">
        <f>$V19*Total!D$107</f>
        <v>0</v>
      </c>
      <c r="Y19" s="14">
        <f>$V19*Total!E$107</f>
        <v>0</v>
      </c>
      <c r="Z19" s="28"/>
      <c r="AA19" s="14">
        <f>$Z19*Total!C$108</f>
        <v>0</v>
      </c>
      <c r="AB19" s="14">
        <f>$Z19*Total!D$108</f>
        <v>0</v>
      </c>
      <c r="AC19" s="14">
        <f>$Z19*Total!E$108</f>
        <v>0</v>
      </c>
      <c r="AD19" s="28"/>
      <c r="AE19" s="14">
        <v>0</v>
      </c>
      <c r="AF19" s="14">
        <v>0</v>
      </c>
      <c r="AG19" s="14">
        <v>0</v>
      </c>
      <c r="AH19" s="28"/>
      <c r="AI19" s="14">
        <f>$AH19*Total!C$110</f>
        <v>0</v>
      </c>
      <c r="AJ19" s="14">
        <f>$AH19*Total!D$110</f>
        <v>0</v>
      </c>
      <c r="AK19" s="14">
        <f>$AH19*Total!E$110</f>
        <v>0</v>
      </c>
      <c r="AL19" s="28"/>
      <c r="AM19" s="14">
        <f>$AL19*Total!C$111</f>
        <v>0</v>
      </c>
      <c r="AN19" s="14">
        <f>$AL19*Total!D$111</f>
        <v>0</v>
      </c>
      <c r="AO19" s="14">
        <f>$AL19*Total!E$111</f>
        <v>0</v>
      </c>
    </row>
    <row r="20" spans="1:41" x14ac:dyDescent="0.2">
      <c r="A20" s="22" t="s">
        <v>61</v>
      </c>
      <c r="B20" s="14"/>
      <c r="C20" s="14">
        <f>+$B20*Total!C$102</f>
        <v>0</v>
      </c>
      <c r="D20" s="14">
        <f>+$B20*Total!D$102</f>
        <v>0</v>
      </c>
      <c r="E20" s="14">
        <f>+$B20*Total!E$102</f>
        <v>0</v>
      </c>
      <c r="F20" s="28"/>
      <c r="G20" s="14">
        <f>$F20*Total!C$103</f>
        <v>0</v>
      </c>
      <c r="H20" s="14">
        <f>$F20*Total!D$103</f>
        <v>0</v>
      </c>
      <c r="I20" s="14">
        <f>$F20*Total!E$103</f>
        <v>0</v>
      </c>
      <c r="J20" s="28"/>
      <c r="K20" s="14">
        <f>$J20*Total!C$104</f>
        <v>0</v>
      </c>
      <c r="L20" s="14">
        <f>$J20*Total!D$104</f>
        <v>0</v>
      </c>
      <c r="M20" s="14">
        <f>$J20*Total!E$104</f>
        <v>0</v>
      </c>
      <c r="N20" s="28"/>
      <c r="O20" s="14">
        <f>$N20*Total!C$105</f>
        <v>0</v>
      </c>
      <c r="P20" s="14">
        <f>$N20*Total!D$105</f>
        <v>0</v>
      </c>
      <c r="Q20" s="14">
        <f>$N20*Total!E$105</f>
        <v>0</v>
      </c>
      <c r="R20" s="28"/>
      <c r="S20" s="14">
        <f>$R20*Total!C$106</f>
        <v>0</v>
      </c>
      <c r="T20" s="14">
        <f>$R20*Total!D$106</f>
        <v>0</v>
      </c>
      <c r="U20" s="14">
        <f>$R20*Total!E$106</f>
        <v>0</v>
      </c>
      <c r="V20" s="28"/>
      <c r="W20" s="14">
        <f>$V20*Total!C$107</f>
        <v>0</v>
      </c>
      <c r="X20" s="14">
        <f>$V20*Total!D$107</f>
        <v>0</v>
      </c>
      <c r="Y20" s="14">
        <f>$V20*Total!E$107</f>
        <v>0</v>
      </c>
      <c r="Z20" s="28"/>
      <c r="AA20" s="14">
        <f>$Z20*Total!C$108</f>
        <v>0</v>
      </c>
      <c r="AB20" s="14">
        <f>$Z20*Total!D$108</f>
        <v>0</v>
      </c>
      <c r="AC20" s="14">
        <f>$Z20*Total!E$108</f>
        <v>0</v>
      </c>
      <c r="AD20" s="28"/>
      <c r="AE20" s="14">
        <v>0</v>
      </c>
      <c r="AF20" s="14">
        <v>0</v>
      </c>
      <c r="AG20" s="14">
        <v>0</v>
      </c>
      <c r="AH20" s="28"/>
      <c r="AI20" s="14">
        <f>$AH20*Total!C$110</f>
        <v>0</v>
      </c>
      <c r="AJ20" s="14">
        <f>$AH20*Total!D$110</f>
        <v>0</v>
      </c>
      <c r="AK20" s="14">
        <f>$AH20*Total!E$110</f>
        <v>0</v>
      </c>
      <c r="AL20" s="28"/>
      <c r="AM20" s="14">
        <f>$AL20*Total!C$111</f>
        <v>0</v>
      </c>
      <c r="AN20" s="14">
        <f>$AL20*Total!D$111</f>
        <v>0</v>
      </c>
      <c r="AO20" s="14">
        <f>$AL20*Total!E$111</f>
        <v>0</v>
      </c>
    </row>
    <row r="21" spans="1:41" x14ac:dyDescent="0.2">
      <c r="A21" s="22" t="s">
        <v>62</v>
      </c>
      <c r="B21" s="14"/>
      <c r="C21" s="14">
        <f>+$B21*Total!C$102</f>
        <v>0</v>
      </c>
      <c r="D21" s="14">
        <f>+$B21*Total!D$102</f>
        <v>0</v>
      </c>
      <c r="E21" s="14">
        <f>+$B21*Total!E$102</f>
        <v>0</v>
      </c>
      <c r="F21" s="28"/>
      <c r="G21" s="14">
        <f>$F21*Total!C$103</f>
        <v>0</v>
      </c>
      <c r="H21" s="14">
        <f>$F21*Total!D$103</f>
        <v>0</v>
      </c>
      <c r="I21" s="14">
        <f>$F21*Total!E$103</f>
        <v>0</v>
      </c>
      <c r="J21" s="28"/>
      <c r="K21" s="14">
        <f>$J21*Total!C$104</f>
        <v>0</v>
      </c>
      <c r="L21" s="14">
        <f>$J21*Total!D$104</f>
        <v>0</v>
      </c>
      <c r="M21" s="14">
        <f>$J21*Total!E$104</f>
        <v>0</v>
      </c>
      <c r="N21" s="28"/>
      <c r="O21" s="14">
        <f>$N21*Total!C$105</f>
        <v>0</v>
      </c>
      <c r="P21" s="14">
        <f>$N21*Total!D$105</f>
        <v>0</v>
      </c>
      <c r="Q21" s="14">
        <f>$N21*Total!E$105</f>
        <v>0</v>
      </c>
      <c r="R21" s="28"/>
      <c r="S21" s="14">
        <f>$R21*Total!C$106</f>
        <v>0</v>
      </c>
      <c r="T21" s="14">
        <f>$R21*Total!D$106</f>
        <v>0</v>
      </c>
      <c r="U21" s="14">
        <f>$R21*Total!E$106</f>
        <v>0</v>
      </c>
      <c r="V21" s="28"/>
      <c r="W21" s="14">
        <f>$V21*Total!C$107</f>
        <v>0</v>
      </c>
      <c r="X21" s="14">
        <f>$V21*Total!D$107</f>
        <v>0</v>
      </c>
      <c r="Y21" s="14">
        <f>$V21*Total!E$107</f>
        <v>0</v>
      </c>
      <c r="Z21" s="28"/>
      <c r="AA21" s="14">
        <f>$Z21*Total!C$108</f>
        <v>0</v>
      </c>
      <c r="AB21" s="14">
        <f>$Z21*Total!D$108</f>
        <v>0</v>
      </c>
      <c r="AC21" s="14">
        <f>$Z21*Total!E$108</f>
        <v>0</v>
      </c>
      <c r="AD21" s="28"/>
      <c r="AE21" s="14">
        <v>0</v>
      </c>
      <c r="AF21" s="14">
        <v>0</v>
      </c>
      <c r="AG21" s="14">
        <v>0</v>
      </c>
      <c r="AH21" s="28"/>
      <c r="AI21" s="14">
        <f>$AH21*Total!C$110</f>
        <v>0</v>
      </c>
      <c r="AJ21" s="14">
        <f>$AH21*Total!D$110</f>
        <v>0</v>
      </c>
      <c r="AK21" s="14">
        <f>$AH21*Total!E$110</f>
        <v>0</v>
      </c>
      <c r="AL21" s="28"/>
      <c r="AM21" s="14">
        <f>$AL21*Total!C$111</f>
        <v>0</v>
      </c>
      <c r="AN21" s="14">
        <f>$AL21*Total!D$111</f>
        <v>0</v>
      </c>
      <c r="AO21" s="14">
        <f>$AL21*Total!E$111</f>
        <v>0</v>
      </c>
    </row>
    <row r="22" spans="1:41" x14ac:dyDescent="0.2">
      <c r="A22" s="22" t="s">
        <v>63</v>
      </c>
      <c r="B22" s="14"/>
      <c r="C22" s="14">
        <f>+$B22*Total!C$102</f>
        <v>0</v>
      </c>
      <c r="D22" s="14">
        <f>+$B22*Total!D$102</f>
        <v>0</v>
      </c>
      <c r="E22" s="14">
        <f>+$B22*Total!E$102</f>
        <v>0</v>
      </c>
      <c r="F22" s="28"/>
      <c r="G22" s="14">
        <f>$F22*Total!C$103</f>
        <v>0</v>
      </c>
      <c r="H22" s="14">
        <f>$F22*Total!D$103</f>
        <v>0</v>
      </c>
      <c r="I22" s="14">
        <f>$F22*Total!E$103</f>
        <v>0</v>
      </c>
      <c r="J22" s="28"/>
      <c r="K22" s="14">
        <f>$J22*Total!C$104</f>
        <v>0</v>
      </c>
      <c r="L22" s="14">
        <f>$J22*Total!D$104</f>
        <v>0</v>
      </c>
      <c r="M22" s="14">
        <f>$J22*Total!E$104</f>
        <v>0</v>
      </c>
      <c r="N22" s="28"/>
      <c r="O22" s="14">
        <f>$N22*Total!C$105</f>
        <v>0</v>
      </c>
      <c r="P22" s="14">
        <f>$N22*Total!D$105</f>
        <v>0</v>
      </c>
      <c r="Q22" s="14">
        <f>$N22*Total!E$105</f>
        <v>0</v>
      </c>
      <c r="R22" s="28"/>
      <c r="S22" s="14">
        <f>$R22*Total!C$106</f>
        <v>0</v>
      </c>
      <c r="T22" s="14">
        <f>$R22*Total!D$106</f>
        <v>0</v>
      </c>
      <c r="U22" s="14">
        <f>$R22*Total!E$106</f>
        <v>0</v>
      </c>
      <c r="V22" s="28"/>
      <c r="W22" s="14">
        <f>$V22*Total!C$107</f>
        <v>0</v>
      </c>
      <c r="X22" s="14">
        <f>$V22*Total!D$107</f>
        <v>0</v>
      </c>
      <c r="Y22" s="14">
        <f>$V22*Total!E$107</f>
        <v>0</v>
      </c>
      <c r="Z22" s="28"/>
      <c r="AA22" s="14">
        <f>$Z22*Total!C$108</f>
        <v>0</v>
      </c>
      <c r="AB22" s="14">
        <f>$Z22*Total!D$108</f>
        <v>0</v>
      </c>
      <c r="AC22" s="14">
        <f>$Z22*Total!E$108</f>
        <v>0</v>
      </c>
      <c r="AD22" s="28"/>
      <c r="AE22" s="14">
        <v>0</v>
      </c>
      <c r="AF22" s="14">
        <v>0</v>
      </c>
      <c r="AG22" s="14">
        <v>0</v>
      </c>
      <c r="AH22" s="28"/>
      <c r="AI22" s="14">
        <f>$AH22*Total!C$110</f>
        <v>0</v>
      </c>
      <c r="AJ22" s="14">
        <f>$AH22*Total!D$110</f>
        <v>0</v>
      </c>
      <c r="AK22" s="14">
        <f>$AH22*Total!E$110</f>
        <v>0</v>
      </c>
      <c r="AL22" s="28"/>
      <c r="AM22" s="14">
        <f>$AL22*Total!C$111</f>
        <v>0</v>
      </c>
      <c r="AN22" s="14">
        <f>$AL22*Total!D$111</f>
        <v>0</v>
      </c>
      <c r="AO22" s="14">
        <f>$AL22*Total!E$111</f>
        <v>0</v>
      </c>
    </row>
    <row r="23" spans="1:41" x14ac:dyDescent="0.2">
      <c r="A23" s="22" t="s">
        <v>64</v>
      </c>
      <c r="B23" s="14"/>
      <c r="C23" s="14">
        <f>+$B23*Total!C$102</f>
        <v>0</v>
      </c>
      <c r="D23" s="14">
        <f>+$B23*Total!D$102</f>
        <v>0</v>
      </c>
      <c r="E23" s="14">
        <f>+$B23*Total!E$102</f>
        <v>0</v>
      </c>
      <c r="F23" s="28"/>
      <c r="G23" s="14">
        <f>$F23*Total!C$103</f>
        <v>0</v>
      </c>
      <c r="H23" s="14">
        <f>$F23*Total!D$103</f>
        <v>0</v>
      </c>
      <c r="I23" s="14">
        <f>$F23*Total!E$103</f>
        <v>0</v>
      </c>
      <c r="J23" s="28"/>
      <c r="K23" s="14">
        <f>$J23*Total!C$104</f>
        <v>0</v>
      </c>
      <c r="L23" s="14">
        <f>$J23*Total!D$104</f>
        <v>0</v>
      </c>
      <c r="M23" s="14">
        <f>$J23*Total!E$104</f>
        <v>0</v>
      </c>
      <c r="N23" s="28"/>
      <c r="O23" s="14">
        <f>$N23*Total!C$105</f>
        <v>0</v>
      </c>
      <c r="P23" s="14">
        <f>$N23*Total!D$105</f>
        <v>0</v>
      </c>
      <c r="Q23" s="14">
        <f>$N23*Total!E$105</f>
        <v>0</v>
      </c>
      <c r="R23" s="28"/>
      <c r="S23" s="14">
        <f>$R23*Total!C$106</f>
        <v>0</v>
      </c>
      <c r="T23" s="14">
        <f>$R23*Total!D$106</f>
        <v>0</v>
      </c>
      <c r="U23" s="14">
        <f>$R23*Total!E$106</f>
        <v>0</v>
      </c>
      <c r="V23" s="28"/>
      <c r="W23" s="14">
        <f>$V23*Total!C$107</f>
        <v>0</v>
      </c>
      <c r="X23" s="14">
        <f>$V23*Total!D$107</f>
        <v>0</v>
      </c>
      <c r="Y23" s="14">
        <f>$V23*Total!E$107</f>
        <v>0</v>
      </c>
      <c r="Z23" s="28"/>
      <c r="AA23" s="14">
        <f>$Z23*Total!C$108</f>
        <v>0</v>
      </c>
      <c r="AB23" s="14">
        <f>$Z23*Total!D$108</f>
        <v>0</v>
      </c>
      <c r="AC23" s="14">
        <f>$Z23*Total!E$108</f>
        <v>0</v>
      </c>
      <c r="AD23" s="28"/>
      <c r="AE23" s="14">
        <v>0</v>
      </c>
      <c r="AF23" s="14">
        <v>0</v>
      </c>
      <c r="AG23" s="14">
        <v>0</v>
      </c>
      <c r="AH23" s="28"/>
      <c r="AI23" s="14">
        <f>$AH23*Total!C$110</f>
        <v>0</v>
      </c>
      <c r="AJ23" s="14">
        <f>$AH23*Total!D$110</f>
        <v>0</v>
      </c>
      <c r="AK23" s="14">
        <f>$AH23*Total!E$110</f>
        <v>0</v>
      </c>
      <c r="AL23" s="28"/>
      <c r="AM23" s="14">
        <f>$AL23*Total!C$111</f>
        <v>0</v>
      </c>
      <c r="AN23" s="14">
        <f>$AL23*Total!D$111</f>
        <v>0</v>
      </c>
      <c r="AO23" s="14">
        <f>$AL23*Total!E$111</f>
        <v>0</v>
      </c>
    </row>
    <row r="24" spans="1:41" x14ac:dyDescent="0.2">
      <c r="A24" s="22" t="s">
        <v>65</v>
      </c>
      <c r="B24" s="14"/>
      <c r="C24" s="14">
        <f>+$B24*Total!C$102</f>
        <v>0</v>
      </c>
      <c r="D24" s="14">
        <f>+$B24*Total!D$102</f>
        <v>0</v>
      </c>
      <c r="E24" s="14">
        <f>+$B24*Total!E$102</f>
        <v>0</v>
      </c>
      <c r="F24" s="28"/>
      <c r="G24" s="14">
        <f>$F24*Total!C$103</f>
        <v>0</v>
      </c>
      <c r="H24" s="14">
        <f>$F24*Total!D$103</f>
        <v>0</v>
      </c>
      <c r="I24" s="14">
        <f>$F24*Total!E$103</f>
        <v>0</v>
      </c>
      <c r="J24" s="28"/>
      <c r="K24" s="14">
        <f>$J24*Total!C$104</f>
        <v>0</v>
      </c>
      <c r="L24" s="14">
        <f>$J24*Total!D$104</f>
        <v>0</v>
      </c>
      <c r="M24" s="14">
        <f>$J24*Total!E$104</f>
        <v>0</v>
      </c>
      <c r="N24" s="28"/>
      <c r="O24" s="14">
        <f>$N24*Total!C$105</f>
        <v>0</v>
      </c>
      <c r="P24" s="14">
        <f>$N24*Total!D$105</f>
        <v>0</v>
      </c>
      <c r="Q24" s="14">
        <f>$N24*Total!E$105</f>
        <v>0</v>
      </c>
      <c r="R24" s="28"/>
      <c r="S24" s="14">
        <f>$R24*Total!C$106</f>
        <v>0</v>
      </c>
      <c r="T24" s="14">
        <f>$R24*Total!D$106</f>
        <v>0</v>
      </c>
      <c r="U24" s="14">
        <f>$R24*Total!E$106</f>
        <v>0</v>
      </c>
      <c r="V24" s="28"/>
      <c r="W24" s="14">
        <f>$V24*Total!C$107</f>
        <v>0</v>
      </c>
      <c r="X24" s="14">
        <f>$V24*Total!D$107</f>
        <v>0</v>
      </c>
      <c r="Y24" s="14">
        <f>$V24*Total!E$107</f>
        <v>0</v>
      </c>
      <c r="Z24" s="28"/>
      <c r="AA24" s="14">
        <f>$Z24*Total!C$108</f>
        <v>0</v>
      </c>
      <c r="AB24" s="14">
        <f>$Z24*Total!D$108</f>
        <v>0</v>
      </c>
      <c r="AC24" s="14">
        <f>$Z24*Total!E$108</f>
        <v>0</v>
      </c>
      <c r="AD24" s="28"/>
      <c r="AE24" s="14">
        <v>0</v>
      </c>
      <c r="AF24" s="14">
        <v>0</v>
      </c>
      <c r="AG24" s="14">
        <v>0</v>
      </c>
      <c r="AH24" s="28"/>
      <c r="AI24" s="14">
        <f>$AH24*Total!C$110</f>
        <v>0</v>
      </c>
      <c r="AJ24" s="14">
        <f>$AH24*Total!D$110</f>
        <v>0</v>
      </c>
      <c r="AK24" s="14">
        <f>$AH24*Total!E$110</f>
        <v>0</v>
      </c>
      <c r="AL24" s="28"/>
      <c r="AM24" s="14">
        <f>$AL24*Total!C$111</f>
        <v>0</v>
      </c>
      <c r="AN24" s="14">
        <f>$AL24*Total!D$111</f>
        <v>0</v>
      </c>
      <c r="AO24" s="14">
        <f>$AL24*Total!E$111</f>
        <v>0</v>
      </c>
    </row>
    <row r="25" spans="1:41" x14ac:dyDescent="0.2">
      <c r="A25" s="22" t="s">
        <v>66</v>
      </c>
      <c r="B25" s="14"/>
      <c r="C25" s="14">
        <f>+$B25*Total!C$102</f>
        <v>0</v>
      </c>
      <c r="D25" s="14">
        <f>+$B25*Total!D$102</f>
        <v>0</v>
      </c>
      <c r="E25" s="14">
        <f>+$B25*Total!E$102</f>
        <v>0</v>
      </c>
      <c r="F25" s="28"/>
      <c r="G25" s="14">
        <f>$F25*Total!C$103</f>
        <v>0</v>
      </c>
      <c r="H25" s="14">
        <f>$F25*Total!D$103</f>
        <v>0</v>
      </c>
      <c r="I25" s="14">
        <f>$F25*Total!E$103</f>
        <v>0</v>
      </c>
      <c r="J25" s="28"/>
      <c r="K25" s="14">
        <f>$J25*Total!C$104</f>
        <v>0</v>
      </c>
      <c r="L25" s="14">
        <f>$J25*Total!D$104</f>
        <v>0</v>
      </c>
      <c r="M25" s="14">
        <f>$J25*Total!E$104</f>
        <v>0</v>
      </c>
      <c r="N25" s="28"/>
      <c r="O25" s="14">
        <f>$N25*Total!C$105</f>
        <v>0</v>
      </c>
      <c r="P25" s="14">
        <f>$N25*Total!D$105</f>
        <v>0</v>
      </c>
      <c r="Q25" s="14">
        <f>$N25*Total!E$105</f>
        <v>0</v>
      </c>
      <c r="R25" s="28"/>
      <c r="S25" s="14">
        <f>$R25*Total!C$106</f>
        <v>0</v>
      </c>
      <c r="T25" s="14">
        <f>$R25*Total!D$106</f>
        <v>0</v>
      </c>
      <c r="U25" s="14">
        <f>$R25*Total!E$106</f>
        <v>0</v>
      </c>
      <c r="V25" s="28"/>
      <c r="W25" s="14">
        <f>$V25*Total!C$107</f>
        <v>0</v>
      </c>
      <c r="X25" s="14">
        <f>$V25*Total!D$107</f>
        <v>0</v>
      </c>
      <c r="Y25" s="14">
        <f>$V25*Total!E$107</f>
        <v>0</v>
      </c>
      <c r="Z25" s="28"/>
      <c r="AA25" s="14">
        <f>$Z25*Total!C$108</f>
        <v>0</v>
      </c>
      <c r="AB25" s="14">
        <f>$Z25*Total!D$108</f>
        <v>0</v>
      </c>
      <c r="AC25" s="14">
        <f>$Z25*Total!E$108</f>
        <v>0</v>
      </c>
      <c r="AD25" s="28"/>
      <c r="AE25" s="14">
        <v>0</v>
      </c>
      <c r="AF25" s="14">
        <v>0</v>
      </c>
      <c r="AG25" s="14">
        <v>0</v>
      </c>
      <c r="AH25" s="28"/>
      <c r="AI25" s="14">
        <f>$AH25*Total!C$110</f>
        <v>0</v>
      </c>
      <c r="AJ25" s="14">
        <f>$AH25*Total!D$110</f>
        <v>0</v>
      </c>
      <c r="AK25" s="14">
        <f>$AH25*Total!E$110</f>
        <v>0</v>
      </c>
      <c r="AL25" s="28"/>
      <c r="AM25" s="14">
        <f>$AL25*Total!C$111</f>
        <v>0</v>
      </c>
      <c r="AN25" s="14">
        <f>$AL25*Total!D$111</f>
        <v>0</v>
      </c>
      <c r="AO25" s="14">
        <f>$AL25*Total!E$111</f>
        <v>0</v>
      </c>
    </row>
    <row r="26" spans="1:41" x14ac:dyDescent="0.2">
      <c r="A26" s="22" t="s">
        <v>67</v>
      </c>
      <c r="B26" s="14"/>
      <c r="C26" s="14">
        <f>+$B26*Total!C$102</f>
        <v>0</v>
      </c>
      <c r="D26" s="14">
        <f>+$B26*Total!D$102</f>
        <v>0</v>
      </c>
      <c r="E26" s="14">
        <f>+$B26*Total!E$102</f>
        <v>0</v>
      </c>
      <c r="F26" s="28"/>
      <c r="G26" s="14">
        <f>$F26*Total!C$103</f>
        <v>0</v>
      </c>
      <c r="H26" s="14">
        <f>$F26*Total!D$103</f>
        <v>0</v>
      </c>
      <c r="I26" s="14">
        <f>$F26*Total!E$103</f>
        <v>0</v>
      </c>
      <c r="J26" s="28"/>
      <c r="K26" s="14">
        <f>$J26*Total!C$104</f>
        <v>0</v>
      </c>
      <c r="L26" s="14">
        <f>$J26*Total!D$104</f>
        <v>0</v>
      </c>
      <c r="M26" s="14">
        <f>$J26*Total!E$104</f>
        <v>0</v>
      </c>
      <c r="N26" s="28"/>
      <c r="O26" s="14">
        <f>$N26*Total!C$105</f>
        <v>0</v>
      </c>
      <c r="P26" s="14">
        <f>$N26*Total!D$105</f>
        <v>0</v>
      </c>
      <c r="Q26" s="14">
        <f>$N26*Total!E$105</f>
        <v>0</v>
      </c>
      <c r="R26" s="28"/>
      <c r="S26" s="14">
        <f>$R26*Total!C$106</f>
        <v>0</v>
      </c>
      <c r="T26" s="14">
        <f>$R26*Total!D$106</f>
        <v>0</v>
      </c>
      <c r="U26" s="14">
        <f>$R26*Total!E$106</f>
        <v>0</v>
      </c>
      <c r="V26" s="28"/>
      <c r="W26" s="14">
        <f>$V26*Total!C$107</f>
        <v>0</v>
      </c>
      <c r="X26" s="14">
        <f>$V26*Total!D$107</f>
        <v>0</v>
      </c>
      <c r="Y26" s="14">
        <f>$V26*Total!E$107</f>
        <v>0</v>
      </c>
      <c r="Z26" s="28"/>
      <c r="AA26" s="14">
        <f>$Z26*Total!C$108</f>
        <v>0</v>
      </c>
      <c r="AB26" s="14">
        <f>$Z26*Total!D$108</f>
        <v>0</v>
      </c>
      <c r="AC26" s="14">
        <f>$Z26*Total!E$108</f>
        <v>0</v>
      </c>
      <c r="AD26" s="28"/>
      <c r="AE26" s="14">
        <v>0</v>
      </c>
      <c r="AF26" s="14">
        <v>0</v>
      </c>
      <c r="AG26" s="14">
        <v>0</v>
      </c>
      <c r="AH26" s="28"/>
      <c r="AI26" s="14">
        <f>$AH26*Total!C$110</f>
        <v>0</v>
      </c>
      <c r="AJ26" s="14">
        <f>$AH26*Total!D$110</f>
        <v>0</v>
      </c>
      <c r="AK26" s="14">
        <f>$AH26*Total!E$110</f>
        <v>0</v>
      </c>
      <c r="AL26" s="28"/>
      <c r="AM26" s="14">
        <f>$AL26*Total!C$111</f>
        <v>0</v>
      </c>
      <c r="AN26" s="14">
        <f>$AL26*Total!D$111</f>
        <v>0</v>
      </c>
      <c r="AO26" s="14">
        <f>$AL26*Total!E$111</f>
        <v>0</v>
      </c>
    </row>
    <row r="27" spans="1:41" x14ac:dyDescent="0.2">
      <c r="A27" s="22" t="s">
        <v>68</v>
      </c>
      <c r="B27" s="14"/>
      <c r="C27" s="14">
        <f>+$B27*Total!C$102</f>
        <v>0</v>
      </c>
      <c r="D27" s="14">
        <f>+$B27*Total!D$102</f>
        <v>0</v>
      </c>
      <c r="E27" s="14">
        <f>+$B27*Total!E$102</f>
        <v>0</v>
      </c>
      <c r="F27" s="28"/>
      <c r="G27" s="14">
        <f>$F27*Total!C$103</f>
        <v>0</v>
      </c>
      <c r="H27" s="14">
        <f>$F27*Total!D$103</f>
        <v>0</v>
      </c>
      <c r="I27" s="14">
        <f>$F27*Total!E$103</f>
        <v>0</v>
      </c>
      <c r="J27" s="28"/>
      <c r="K27" s="14">
        <f>$J27*Total!C$104</f>
        <v>0</v>
      </c>
      <c r="L27" s="14">
        <f>$J27*Total!D$104</f>
        <v>0</v>
      </c>
      <c r="M27" s="14">
        <f>$J27*Total!E$104</f>
        <v>0</v>
      </c>
      <c r="N27" s="28"/>
      <c r="O27" s="14">
        <f>$N27*Total!C$105</f>
        <v>0</v>
      </c>
      <c r="P27" s="14">
        <f>$N27*Total!D$105</f>
        <v>0</v>
      </c>
      <c r="Q27" s="14">
        <f>$N27*Total!E$105</f>
        <v>0</v>
      </c>
      <c r="R27" s="28"/>
      <c r="S27" s="14">
        <f>$R27*Total!C$106</f>
        <v>0</v>
      </c>
      <c r="T27" s="14">
        <f>$R27*Total!D$106</f>
        <v>0</v>
      </c>
      <c r="U27" s="14">
        <f>$R27*Total!E$106</f>
        <v>0</v>
      </c>
      <c r="V27" s="28"/>
      <c r="W27" s="14">
        <f>$V27*Total!C$107</f>
        <v>0</v>
      </c>
      <c r="X27" s="14">
        <f>$V27*Total!D$107</f>
        <v>0</v>
      </c>
      <c r="Y27" s="14">
        <f>$V27*Total!E$107</f>
        <v>0</v>
      </c>
      <c r="Z27" s="28"/>
      <c r="AA27" s="14">
        <f>$Z27*Total!C$108</f>
        <v>0</v>
      </c>
      <c r="AB27" s="14">
        <f>$Z27*Total!D$108</f>
        <v>0</v>
      </c>
      <c r="AC27" s="14">
        <f>$Z27*Total!E$108</f>
        <v>0</v>
      </c>
      <c r="AD27" s="28"/>
      <c r="AE27" s="14">
        <v>0</v>
      </c>
      <c r="AF27" s="14">
        <v>0</v>
      </c>
      <c r="AG27" s="14">
        <v>0</v>
      </c>
      <c r="AH27" s="28"/>
      <c r="AI27" s="14">
        <f>$AH27*Total!C$110</f>
        <v>0</v>
      </c>
      <c r="AJ27" s="14">
        <f>$AH27*Total!D$110</f>
        <v>0</v>
      </c>
      <c r="AK27" s="14">
        <f>$AH27*Total!E$110</f>
        <v>0</v>
      </c>
      <c r="AL27" s="28"/>
      <c r="AM27" s="14">
        <f>$AL27*Total!C$111</f>
        <v>0</v>
      </c>
      <c r="AN27" s="14">
        <f>$AL27*Total!D$111</f>
        <v>0</v>
      </c>
      <c r="AO27" s="14">
        <f>$AL27*Total!E$111</f>
        <v>0</v>
      </c>
    </row>
    <row r="28" spans="1:41" x14ac:dyDescent="0.2">
      <c r="A28" s="22" t="s">
        <v>69</v>
      </c>
      <c r="B28" s="14"/>
      <c r="C28" s="14">
        <f>+$B28*Total!C$102</f>
        <v>0</v>
      </c>
      <c r="D28" s="14">
        <f>+$B28*Total!D$102</f>
        <v>0</v>
      </c>
      <c r="E28" s="14">
        <f>+$B28*Total!E$102</f>
        <v>0</v>
      </c>
      <c r="F28" s="28"/>
      <c r="G28" s="14">
        <f>$F28*Total!C$103</f>
        <v>0</v>
      </c>
      <c r="H28" s="14">
        <f>$F28*Total!D$103</f>
        <v>0</v>
      </c>
      <c r="I28" s="14">
        <f>$F28*Total!E$103</f>
        <v>0</v>
      </c>
      <c r="J28" s="28"/>
      <c r="K28" s="14">
        <f>$J28*Total!C$104</f>
        <v>0</v>
      </c>
      <c r="L28" s="14">
        <f>$J28*Total!D$104</f>
        <v>0</v>
      </c>
      <c r="M28" s="14">
        <f>$J28*Total!E$104</f>
        <v>0</v>
      </c>
      <c r="N28" s="28"/>
      <c r="O28" s="14">
        <f>$N28*Total!C$105</f>
        <v>0</v>
      </c>
      <c r="P28" s="14">
        <f>$N28*Total!D$105</f>
        <v>0</v>
      </c>
      <c r="Q28" s="14">
        <f>$N28*Total!E$105</f>
        <v>0</v>
      </c>
      <c r="R28" s="28"/>
      <c r="S28" s="14">
        <f>$R28*Total!C$106</f>
        <v>0</v>
      </c>
      <c r="T28" s="14">
        <f>$R28*Total!D$106</f>
        <v>0</v>
      </c>
      <c r="U28" s="14">
        <f>$R28*Total!E$106</f>
        <v>0</v>
      </c>
      <c r="V28" s="28"/>
      <c r="W28" s="14">
        <f>$V28*Total!C$107</f>
        <v>0</v>
      </c>
      <c r="X28" s="14">
        <f>$V28*Total!D$107</f>
        <v>0</v>
      </c>
      <c r="Y28" s="14">
        <f>$V28*Total!E$107</f>
        <v>0</v>
      </c>
      <c r="Z28" s="28"/>
      <c r="AA28" s="14">
        <f>$Z28*Total!C$108</f>
        <v>0</v>
      </c>
      <c r="AB28" s="14">
        <f>$Z28*Total!D$108</f>
        <v>0</v>
      </c>
      <c r="AC28" s="14">
        <f>$Z28*Total!E$108</f>
        <v>0</v>
      </c>
      <c r="AD28" s="28"/>
      <c r="AE28" s="14">
        <v>0</v>
      </c>
      <c r="AF28" s="14">
        <v>0</v>
      </c>
      <c r="AG28" s="14">
        <v>0</v>
      </c>
      <c r="AH28" s="28"/>
      <c r="AI28" s="14">
        <f>$AH28*Total!C$110</f>
        <v>0</v>
      </c>
      <c r="AJ28" s="14">
        <f>$AH28*Total!D$110</f>
        <v>0</v>
      </c>
      <c r="AK28" s="14">
        <f>$AH28*Total!E$110</f>
        <v>0</v>
      </c>
      <c r="AL28" s="28"/>
      <c r="AM28" s="14">
        <f>$AL28*Total!C$111</f>
        <v>0</v>
      </c>
      <c r="AN28" s="14">
        <f>$AL28*Total!D$111</f>
        <v>0</v>
      </c>
      <c r="AO28" s="14">
        <f>$AL28*Total!E$111</f>
        <v>0</v>
      </c>
    </row>
    <row r="29" spans="1:41" x14ac:dyDescent="0.2">
      <c r="A29" s="22" t="s">
        <v>70</v>
      </c>
      <c r="B29" s="14"/>
      <c r="C29" s="14">
        <f>+$B29*Total!C$102</f>
        <v>0</v>
      </c>
      <c r="D29" s="14">
        <f>+$B29*Total!D$102</f>
        <v>0</v>
      </c>
      <c r="E29" s="14">
        <f>+$B29*Total!E$102</f>
        <v>0</v>
      </c>
      <c r="F29" s="28"/>
      <c r="G29" s="14">
        <f>$F29*Total!C$103</f>
        <v>0</v>
      </c>
      <c r="H29" s="14">
        <f>$F29*Total!D$103</f>
        <v>0</v>
      </c>
      <c r="I29" s="14">
        <f>$F29*Total!E$103</f>
        <v>0</v>
      </c>
      <c r="J29" s="28"/>
      <c r="K29" s="14">
        <f>$J29*Total!C$104</f>
        <v>0</v>
      </c>
      <c r="L29" s="14">
        <f>$J29*Total!D$104</f>
        <v>0</v>
      </c>
      <c r="M29" s="14">
        <f>$J29*Total!E$104</f>
        <v>0</v>
      </c>
      <c r="N29" s="28"/>
      <c r="O29" s="14">
        <f>$N29*Total!C$105</f>
        <v>0</v>
      </c>
      <c r="P29" s="14">
        <f>$N29*Total!D$105</f>
        <v>0</v>
      </c>
      <c r="Q29" s="14">
        <f>$N29*Total!E$105</f>
        <v>0</v>
      </c>
      <c r="R29" s="28"/>
      <c r="S29" s="14">
        <f>$R29*Total!C$106</f>
        <v>0</v>
      </c>
      <c r="T29" s="14">
        <f>$R29*Total!D$106</f>
        <v>0</v>
      </c>
      <c r="U29" s="14">
        <f>$R29*Total!E$106</f>
        <v>0</v>
      </c>
      <c r="V29" s="28"/>
      <c r="W29" s="14">
        <f>$V29*Total!C$107</f>
        <v>0</v>
      </c>
      <c r="X29" s="14">
        <f>$V29*Total!D$107</f>
        <v>0</v>
      </c>
      <c r="Y29" s="14">
        <f>$V29*Total!E$107</f>
        <v>0</v>
      </c>
      <c r="Z29" s="29">
        <v>0.12</v>
      </c>
      <c r="AA29" s="23">
        <f>$Z29*Total!C$108</f>
        <v>0.10199999999999999</v>
      </c>
      <c r="AB29" s="23">
        <f>$Z29*Total!D$108</f>
        <v>1.7999999999999999E-2</v>
      </c>
      <c r="AC29" s="23">
        <f>$Z29*Total!E$108</f>
        <v>0</v>
      </c>
      <c r="AD29" s="29">
        <v>0.12</v>
      </c>
      <c r="AE29" s="23">
        <f>+$AD29*Total!C$109</f>
        <v>0.10199999999999999</v>
      </c>
      <c r="AF29" s="23">
        <f>+$AD29*Total!D$109</f>
        <v>1.7999999999999999E-2</v>
      </c>
      <c r="AG29" s="23">
        <f>+$AD29*Total!E$109</f>
        <v>0</v>
      </c>
      <c r="AH29" s="28"/>
      <c r="AI29" s="14">
        <f>$AH29*Total!C$110</f>
        <v>0</v>
      </c>
      <c r="AJ29" s="14">
        <f>$AH29*Total!D$110</f>
        <v>0</v>
      </c>
      <c r="AK29" s="14">
        <f>$AH29*Total!E$110</f>
        <v>0</v>
      </c>
      <c r="AL29" s="28"/>
      <c r="AM29" s="14">
        <f>$AL29*Total!C$111</f>
        <v>0</v>
      </c>
      <c r="AN29" s="14">
        <f>$AL29*Total!D$111</f>
        <v>0</v>
      </c>
      <c r="AO29" s="14">
        <f>$AL29*Total!E$111</f>
        <v>0</v>
      </c>
    </row>
    <row r="30" spans="1:41" x14ac:dyDescent="0.2">
      <c r="A30" s="22" t="s">
        <v>71</v>
      </c>
      <c r="B30" s="7">
        <v>0.22520000000000001</v>
      </c>
      <c r="C30" s="23">
        <f>+$B30*Total!C$102</f>
        <v>5.6300000000000003E-2</v>
      </c>
      <c r="D30" s="23">
        <f>+$B30*Total!D$102</f>
        <v>0.15764</v>
      </c>
      <c r="E30" s="23">
        <f>+$B30*Total!E$102</f>
        <v>1.1260000000000001E-2</v>
      </c>
      <c r="F30" s="29">
        <v>0.25</v>
      </c>
      <c r="G30" s="23">
        <f>$F30*Total!C$103</f>
        <v>2.5000000000000001E-2</v>
      </c>
      <c r="H30" s="23">
        <f>$F30*Total!D$103</f>
        <v>7.4999999999999997E-2</v>
      </c>
      <c r="I30" s="23">
        <f>$F30*Total!E$103</f>
        <v>0.15</v>
      </c>
      <c r="J30" s="29">
        <v>7.0000000000000007E-2</v>
      </c>
      <c r="K30" s="23">
        <f>$J30*Total!C$104</f>
        <v>3.5000000000000005E-3</v>
      </c>
      <c r="L30" s="23">
        <f>$J30*Total!D$104</f>
        <v>2.8000000000000004E-2</v>
      </c>
      <c r="M30" s="23">
        <f>$J30*Total!E$104</f>
        <v>3.8500000000000006E-2</v>
      </c>
      <c r="N30" s="29">
        <v>0.1</v>
      </c>
      <c r="O30" s="23">
        <f>$N30*Total!C$105</f>
        <v>5.000000000000001E-3</v>
      </c>
      <c r="P30" s="23">
        <f>$N30*Total!D$105</f>
        <v>9.5000000000000001E-2</v>
      </c>
      <c r="Q30" s="23">
        <f>$N30*Total!E$105</f>
        <v>0</v>
      </c>
      <c r="R30" s="29">
        <v>0.2</v>
      </c>
      <c r="S30" s="23">
        <f>$R30*Total!C$106</f>
        <v>1.0000000000000002E-2</v>
      </c>
      <c r="T30" s="23">
        <f>$R30*Total!D$106</f>
        <v>0.19</v>
      </c>
      <c r="U30" s="23">
        <f>$R30*Total!E$106</f>
        <v>0</v>
      </c>
      <c r="V30" s="29">
        <v>0.4</v>
      </c>
      <c r="W30" s="23">
        <f>$V30*Total!C$107</f>
        <v>0.32000000000000006</v>
      </c>
      <c r="X30" s="23">
        <f>$V30*Total!D$107</f>
        <v>8.0000000000000016E-2</v>
      </c>
      <c r="Y30" s="23">
        <f>$V30*Total!E$107</f>
        <v>0</v>
      </c>
      <c r="Z30" s="29">
        <v>0.55000000000000004</v>
      </c>
      <c r="AA30" s="23">
        <f>$Z30*Total!C$108</f>
        <v>0.46750000000000003</v>
      </c>
      <c r="AB30" s="23">
        <f>$Z30*Total!D$108</f>
        <v>8.2500000000000004E-2</v>
      </c>
      <c r="AC30" s="23">
        <f>$Z30*Total!E$108</f>
        <v>0</v>
      </c>
      <c r="AD30" s="29">
        <v>0.55000000000000004</v>
      </c>
      <c r="AE30" s="23">
        <f>+$AD30*Total!C$109</f>
        <v>0.46750000000000003</v>
      </c>
      <c r="AF30" s="23">
        <f>+$AD30*Total!D$109</f>
        <v>8.2500000000000004E-2</v>
      </c>
      <c r="AG30" s="23">
        <f>+$AD30*Total!E$109</f>
        <v>0</v>
      </c>
      <c r="AH30" s="29">
        <v>1</v>
      </c>
      <c r="AI30" s="23">
        <f>$AH30*Total!C$110</f>
        <v>0.5</v>
      </c>
      <c r="AJ30" s="23">
        <f>$AH30*Total!D$110</f>
        <v>0.5</v>
      </c>
      <c r="AK30" s="23">
        <f>$AH30*Total!E$110</f>
        <v>0</v>
      </c>
      <c r="AL30" s="29">
        <v>0.08</v>
      </c>
      <c r="AM30" s="23">
        <f>$AL30*Total!C$111</f>
        <v>6.8000000000000005E-2</v>
      </c>
      <c r="AN30" s="23">
        <f>$AL30*Total!D$111</f>
        <v>8.0000000000000002E-3</v>
      </c>
      <c r="AO30" s="23">
        <f>$AL30*Total!E$111</f>
        <v>4.0000000000000001E-3</v>
      </c>
    </row>
    <row r="31" spans="1:41" x14ac:dyDescent="0.2">
      <c r="A31" s="22" t="s">
        <v>72</v>
      </c>
      <c r="B31" s="14"/>
      <c r="C31" s="14">
        <f>+$B31*Total!C$102</f>
        <v>0</v>
      </c>
      <c r="D31" s="14">
        <f>+$B31*Total!D$102</f>
        <v>0</v>
      </c>
      <c r="E31" s="14">
        <f>+$B31*Total!E$102</f>
        <v>0</v>
      </c>
      <c r="F31" s="28"/>
      <c r="G31" s="14">
        <f>$F31*Total!C$103</f>
        <v>0</v>
      </c>
      <c r="H31" s="14">
        <f>$F31*Total!D$103</f>
        <v>0</v>
      </c>
      <c r="I31" s="14">
        <f>$F31*Total!E$103</f>
        <v>0</v>
      </c>
      <c r="J31" s="29">
        <v>0.1</v>
      </c>
      <c r="K31" s="23">
        <f>$J31*Total!C$104</f>
        <v>5.000000000000001E-3</v>
      </c>
      <c r="L31" s="23">
        <f>$J31*Total!D$104</f>
        <v>4.0000000000000008E-2</v>
      </c>
      <c r="M31" s="23">
        <f>$J31*Total!E$104</f>
        <v>5.5000000000000007E-2</v>
      </c>
      <c r="N31" s="28"/>
      <c r="O31" s="14">
        <f>$N31*Total!C$105</f>
        <v>0</v>
      </c>
      <c r="P31" s="14">
        <f>$N31*Total!D$105</f>
        <v>0</v>
      </c>
      <c r="Q31" s="14">
        <f>$N31*Total!E$105</f>
        <v>0</v>
      </c>
      <c r="R31" s="28"/>
      <c r="S31" s="14">
        <f>$R31*Total!C$106</f>
        <v>0</v>
      </c>
      <c r="T31" s="14">
        <f>$R31*Total!D$106</f>
        <v>0</v>
      </c>
      <c r="U31" s="14">
        <f>$R31*Total!E$106</f>
        <v>0</v>
      </c>
      <c r="V31" s="28"/>
      <c r="W31" s="14">
        <f>$V31*Total!C$107</f>
        <v>0</v>
      </c>
      <c r="X31" s="14">
        <f>$V31*Total!D$107</f>
        <v>0</v>
      </c>
      <c r="Y31" s="14">
        <f>$V31*Total!E$107</f>
        <v>0</v>
      </c>
      <c r="Z31" s="28"/>
      <c r="AA31" s="14">
        <f>$Z31*Total!C$108</f>
        <v>0</v>
      </c>
      <c r="AB31" s="14">
        <f>$Z31*Total!D$108</f>
        <v>0</v>
      </c>
      <c r="AC31" s="14">
        <f>$Z31*Total!E$108</f>
        <v>0</v>
      </c>
      <c r="AD31" s="28"/>
      <c r="AE31" s="14">
        <v>0</v>
      </c>
      <c r="AF31" s="14">
        <v>0</v>
      </c>
      <c r="AG31" s="14">
        <v>0</v>
      </c>
      <c r="AH31" s="28"/>
      <c r="AI31" s="14">
        <f>$AH31*Total!C$110</f>
        <v>0</v>
      </c>
      <c r="AJ31" s="14">
        <f>$AH31*Total!D$110</f>
        <v>0</v>
      </c>
      <c r="AK31" s="14">
        <f>$AH31*Total!E$110</f>
        <v>0</v>
      </c>
      <c r="AL31" s="28"/>
      <c r="AM31" s="14">
        <f>$AL31*Total!C$111</f>
        <v>0</v>
      </c>
      <c r="AN31" s="14">
        <f>$AL31*Total!D$111</f>
        <v>0</v>
      </c>
      <c r="AO31" s="14">
        <f>$AL31*Total!E$111</f>
        <v>0</v>
      </c>
    </row>
    <row r="32" spans="1:41" x14ac:dyDescent="0.2">
      <c r="A32" s="22" t="s">
        <v>73</v>
      </c>
      <c r="B32" s="14"/>
      <c r="C32" s="14">
        <f>+$B32*Total!C$102</f>
        <v>0</v>
      </c>
      <c r="D32" s="14">
        <f>+$B32*Total!D$102</f>
        <v>0</v>
      </c>
      <c r="E32" s="14">
        <f>+$B32*Total!E$102</f>
        <v>0</v>
      </c>
      <c r="F32" s="28"/>
      <c r="G32" s="14">
        <f>$F32*Total!C$103</f>
        <v>0</v>
      </c>
      <c r="H32" s="14">
        <f>$F32*Total!D$103</f>
        <v>0</v>
      </c>
      <c r="I32" s="14">
        <f>$F32*Total!E$103</f>
        <v>0</v>
      </c>
      <c r="J32" s="28"/>
      <c r="K32" s="14">
        <f>$J32*Total!C$104</f>
        <v>0</v>
      </c>
      <c r="L32" s="14">
        <f>$J32*Total!D$104</f>
        <v>0</v>
      </c>
      <c r="M32" s="14">
        <f>$J32*Total!E$104</f>
        <v>0</v>
      </c>
      <c r="N32" s="28"/>
      <c r="O32" s="14">
        <f>$N32*Total!C$105</f>
        <v>0</v>
      </c>
      <c r="P32" s="14">
        <f>$N32*Total!D$105</f>
        <v>0</v>
      </c>
      <c r="Q32" s="14">
        <f>$N32*Total!E$105</f>
        <v>0</v>
      </c>
      <c r="R32" s="28"/>
      <c r="S32" s="14">
        <f>$R32*Total!C$106</f>
        <v>0</v>
      </c>
      <c r="T32" s="14">
        <f>$R32*Total!D$106</f>
        <v>0</v>
      </c>
      <c r="U32" s="14">
        <f>$R32*Total!E$106</f>
        <v>0</v>
      </c>
      <c r="V32" s="28"/>
      <c r="W32" s="14">
        <f>$V32*Total!C$107</f>
        <v>0</v>
      </c>
      <c r="X32" s="14">
        <f>$V32*Total!D$107</f>
        <v>0</v>
      </c>
      <c r="Y32" s="14">
        <f>$V32*Total!E$107</f>
        <v>0</v>
      </c>
      <c r="Z32" s="28"/>
      <c r="AA32" s="14">
        <f>$Z32*Total!C$108</f>
        <v>0</v>
      </c>
      <c r="AB32" s="14">
        <f>$Z32*Total!D$108</f>
        <v>0</v>
      </c>
      <c r="AC32" s="14">
        <f>$Z32*Total!E$108</f>
        <v>0</v>
      </c>
      <c r="AD32" s="28"/>
      <c r="AE32" s="14">
        <v>0</v>
      </c>
      <c r="AF32" s="14">
        <v>0</v>
      </c>
      <c r="AG32" s="14">
        <v>0</v>
      </c>
      <c r="AH32" s="28"/>
      <c r="AI32" s="14">
        <f>$AH32*Total!C$110</f>
        <v>0</v>
      </c>
      <c r="AJ32" s="14">
        <f>$AH32*Total!D$110</f>
        <v>0</v>
      </c>
      <c r="AK32" s="14">
        <f>$AH32*Total!E$110</f>
        <v>0</v>
      </c>
      <c r="AL32" s="29">
        <v>7.0000000000000007E-2</v>
      </c>
      <c r="AM32" s="23">
        <f>$AL32*Total!C$111</f>
        <v>5.9500000000000004E-2</v>
      </c>
      <c r="AN32" s="23">
        <f>$AL32*Total!D$111</f>
        <v>7.000000000000001E-3</v>
      </c>
      <c r="AO32" s="23">
        <f>$AL32*Total!E$111</f>
        <v>3.5000000000000005E-3</v>
      </c>
    </row>
    <row r="33" spans="1:41" x14ac:dyDescent="0.2">
      <c r="A33" s="22" t="s">
        <v>74</v>
      </c>
      <c r="B33" s="14"/>
      <c r="C33" s="14">
        <f>+$B33*Total!C$102</f>
        <v>0</v>
      </c>
      <c r="D33" s="14">
        <f>+$B33*Total!D$102</f>
        <v>0</v>
      </c>
      <c r="E33" s="14">
        <f>+$B33*Total!E$102</f>
        <v>0</v>
      </c>
      <c r="F33" s="28"/>
      <c r="G33" s="14">
        <f>$F33*Total!C$103</f>
        <v>0</v>
      </c>
      <c r="H33" s="14">
        <f>$F33*Total!D$103</f>
        <v>0</v>
      </c>
      <c r="I33" s="14">
        <f>$F33*Total!E$103</f>
        <v>0</v>
      </c>
      <c r="J33" s="28"/>
      <c r="K33" s="14">
        <f>$J33*Total!C$104</f>
        <v>0</v>
      </c>
      <c r="L33" s="14">
        <f>$J33*Total!D$104</f>
        <v>0</v>
      </c>
      <c r="M33" s="14">
        <f>$J33*Total!E$104</f>
        <v>0</v>
      </c>
      <c r="N33" s="28"/>
      <c r="O33" s="14">
        <f>$N33*Total!C$105</f>
        <v>0</v>
      </c>
      <c r="P33" s="14">
        <f>$N33*Total!D$105</f>
        <v>0</v>
      </c>
      <c r="Q33" s="14">
        <f>$N33*Total!E$105</f>
        <v>0</v>
      </c>
      <c r="R33" s="28"/>
      <c r="S33" s="14">
        <f>$R33*Total!C$106</f>
        <v>0</v>
      </c>
      <c r="T33" s="14">
        <f>$R33*Total!D$106</f>
        <v>0</v>
      </c>
      <c r="U33" s="14">
        <f>$R33*Total!E$106</f>
        <v>0</v>
      </c>
      <c r="V33" s="28"/>
      <c r="W33" s="14">
        <f>$V33*Total!C$107</f>
        <v>0</v>
      </c>
      <c r="X33" s="14">
        <f>$V33*Total!D$107</f>
        <v>0</v>
      </c>
      <c r="Y33" s="14">
        <f>$V33*Total!E$107</f>
        <v>0</v>
      </c>
      <c r="Z33" s="28"/>
      <c r="AA33" s="14">
        <f>$Z33*Total!C$108</f>
        <v>0</v>
      </c>
      <c r="AB33" s="14">
        <f>$Z33*Total!D$108</f>
        <v>0</v>
      </c>
      <c r="AC33" s="14">
        <f>$Z33*Total!E$108</f>
        <v>0</v>
      </c>
      <c r="AD33" s="28"/>
      <c r="AE33" s="14">
        <v>0</v>
      </c>
      <c r="AF33" s="14">
        <v>0</v>
      </c>
      <c r="AG33" s="14">
        <v>0</v>
      </c>
      <c r="AH33" s="28"/>
      <c r="AI33" s="14">
        <f>$AH33*Total!C$110</f>
        <v>0</v>
      </c>
      <c r="AJ33" s="14">
        <f>$AH33*Total!D$110</f>
        <v>0</v>
      </c>
      <c r="AK33" s="14">
        <f>$AH33*Total!E$110</f>
        <v>0</v>
      </c>
      <c r="AL33" s="28"/>
      <c r="AM33" s="14">
        <f>$AL33*Total!C$111</f>
        <v>0</v>
      </c>
      <c r="AN33" s="14">
        <f>$AL33*Total!D$111</f>
        <v>0</v>
      </c>
      <c r="AO33" s="14">
        <f>$AL33*Total!E$111</f>
        <v>0</v>
      </c>
    </row>
    <row r="34" spans="1:41" x14ac:dyDescent="0.2">
      <c r="A34" s="22" t="s">
        <v>75</v>
      </c>
      <c r="B34" s="14"/>
      <c r="C34" s="14">
        <f>+$B34*Total!C$102</f>
        <v>0</v>
      </c>
      <c r="D34" s="14">
        <f>+$B34*Total!D$102</f>
        <v>0</v>
      </c>
      <c r="E34" s="14">
        <f>+$B34*Total!E$102</f>
        <v>0</v>
      </c>
      <c r="F34" s="28"/>
      <c r="G34" s="14">
        <f>$F34*Total!C$103</f>
        <v>0</v>
      </c>
      <c r="H34" s="14">
        <f>$F34*Total!D$103</f>
        <v>0</v>
      </c>
      <c r="I34" s="14">
        <f>$F34*Total!E$103</f>
        <v>0</v>
      </c>
      <c r="J34" s="28"/>
      <c r="K34" s="14">
        <f>$J34*Total!C$104</f>
        <v>0</v>
      </c>
      <c r="L34" s="14">
        <f>$J34*Total!D$104</f>
        <v>0</v>
      </c>
      <c r="M34" s="14">
        <f>$J34*Total!E$104</f>
        <v>0</v>
      </c>
      <c r="N34" s="28"/>
      <c r="O34" s="14">
        <f>$N34*Total!C$105</f>
        <v>0</v>
      </c>
      <c r="P34" s="14">
        <f>$N34*Total!D$105</f>
        <v>0</v>
      </c>
      <c r="Q34" s="14">
        <f>$N34*Total!E$105</f>
        <v>0</v>
      </c>
      <c r="R34" s="28"/>
      <c r="S34" s="14">
        <f>$R34*Total!C$106</f>
        <v>0</v>
      </c>
      <c r="T34" s="14">
        <f>$R34*Total!D$106</f>
        <v>0</v>
      </c>
      <c r="U34" s="14">
        <f>$R34*Total!E$106</f>
        <v>0</v>
      </c>
      <c r="V34" s="28"/>
      <c r="W34" s="14">
        <f>$V34*Total!C$107</f>
        <v>0</v>
      </c>
      <c r="X34" s="14">
        <f>$V34*Total!D$107</f>
        <v>0</v>
      </c>
      <c r="Y34" s="14">
        <f>$V34*Total!E$107</f>
        <v>0</v>
      </c>
      <c r="Z34" s="28"/>
      <c r="AA34" s="14">
        <f>$Z34*Total!C$108</f>
        <v>0</v>
      </c>
      <c r="AB34" s="14">
        <f>$Z34*Total!D$108</f>
        <v>0</v>
      </c>
      <c r="AC34" s="14">
        <f>$Z34*Total!E$108</f>
        <v>0</v>
      </c>
      <c r="AD34" s="28"/>
      <c r="AE34" s="14">
        <v>0</v>
      </c>
      <c r="AF34" s="14">
        <v>0</v>
      </c>
      <c r="AG34" s="14">
        <v>0</v>
      </c>
      <c r="AH34" s="28"/>
      <c r="AI34" s="14">
        <f>$AH34*Total!C$110</f>
        <v>0</v>
      </c>
      <c r="AJ34" s="14">
        <f>$AH34*Total!D$110</f>
        <v>0</v>
      </c>
      <c r="AK34" s="14">
        <f>$AH34*Total!E$110</f>
        <v>0</v>
      </c>
      <c r="AL34" s="28"/>
      <c r="AM34" s="14">
        <f>$AL34*Total!C$111</f>
        <v>0</v>
      </c>
      <c r="AN34" s="14">
        <f>$AL34*Total!D$111</f>
        <v>0</v>
      </c>
      <c r="AO34" s="14">
        <f>$AL34*Total!E$111</f>
        <v>0</v>
      </c>
    </row>
    <row r="35" spans="1:41" x14ac:dyDescent="0.2">
      <c r="A35" s="22" t="s">
        <v>76</v>
      </c>
      <c r="B35" s="14"/>
      <c r="C35" s="14">
        <f>+$B35*Total!C$102</f>
        <v>0</v>
      </c>
      <c r="D35" s="14">
        <f>+$B35*Total!D$102</f>
        <v>0</v>
      </c>
      <c r="E35" s="14">
        <f>+$B35*Total!E$102</f>
        <v>0</v>
      </c>
      <c r="F35" s="28"/>
      <c r="G35" s="14">
        <f>$F35*Total!C$103</f>
        <v>0</v>
      </c>
      <c r="H35" s="14">
        <f>$F35*Total!D$103</f>
        <v>0</v>
      </c>
      <c r="I35" s="14">
        <f>$F35*Total!E$103</f>
        <v>0</v>
      </c>
      <c r="J35" s="28"/>
      <c r="K35" s="14">
        <f>$J35*Total!C$104</f>
        <v>0</v>
      </c>
      <c r="L35" s="14">
        <f>$J35*Total!D$104</f>
        <v>0</v>
      </c>
      <c r="M35" s="14">
        <f>$J35*Total!E$104</f>
        <v>0</v>
      </c>
      <c r="N35" s="28"/>
      <c r="O35" s="14">
        <f>$N35*Total!C$105</f>
        <v>0</v>
      </c>
      <c r="P35" s="14">
        <f>$N35*Total!D$105</f>
        <v>0</v>
      </c>
      <c r="Q35" s="14">
        <f>$N35*Total!E$105</f>
        <v>0</v>
      </c>
      <c r="R35" s="28"/>
      <c r="S35" s="14">
        <f>$R35*Total!C$106</f>
        <v>0</v>
      </c>
      <c r="T35" s="14">
        <f>$R35*Total!D$106</f>
        <v>0</v>
      </c>
      <c r="U35" s="14">
        <f>$R35*Total!E$106</f>
        <v>0</v>
      </c>
      <c r="V35" s="28"/>
      <c r="W35" s="14">
        <f>$V35*Total!C$107</f>
        <v>0</v>
      </c>
      <c r="X35" s="14">
        <f>$V35*Total!D$107</f>
        <v>0</v>
      </c>
      <c r="Y35" s="14">
        <f>$V35*Total!E$107</f>
        <v>0</v>
      </c>
      <c r="Z35" s="28"/>
      <c r="AA35" s="14">
        <f>$Z35*Total!C$108</f>
        <v>0</v>
      </c>
      <c r="AB35" s="14">
        <f>$Z35*Total!D$108</f>
        <v>0</v>
      </c>
      <c r="AC35" s="14">
        <f>$Z35*Total!E$108</f>
        <v>0</v>
      </c>
      <c r="AD35" s="28"/>
      <c r="AE35" s="14">
        <v>0</v>
      </c>
      <c r="AF35" s="14">
        <v>0</v>
      </c>
      <c r="AG35" s="14">
        <v>0</v>
      </c>
      <c r="AH35" s="28"/>
      <c r="AI35" s="14">
        <f>$AH35*Total!C$110</f>
        <v>0</v>
      </c>
      <c r="AJ35" s="14">
        <f>$AH35*Total!D$110</f>
        <v>0</v>
      </c>
      <c r="AK35" s="14">
        <f>$AH35*Total!E$110</f>
        <v>0</v>
      </c>
      <c r="AL35" s="28"/>
      <c r="AM35" s="14">
        <f>$AL35*Total!C$111</f>
        <v>0</v>
      </c>
      <c r="AN35" s="14">
        <f>$AL35*Total!D$111</f>
        <v>0</v>
      </c>
      <c r="AO35" s="14">
        <f>$AL35*Total!E$111</f>
        <v>0</v>
      </c>
    </row>
    <row r="36" spans="1:41" x14ac:dyDescent="0.2">
      <c r="A36" s="22" t="s">
        <v>77</v>
      </c>
      <c r="B36" s="14"/>
      <c r="C36" s="14">
        <f>+$B36*Total!C$102</f>
        <v>0</v>
      </c>
      <c r="D36" s="14">
        <f>+$B36*Total!D$102</f>
        <v>0</v>
      </c>
      <c r="E36" s="14">
        <f>+$B36*Total!E$102</f>
        <v>0</v>
      </c>
      <c r="F36" s="28"/>
      <c r="G36" s="14">
        <f>$F36*Total!C$103</f>
        <v>0</v>
      </c>
      <c r="H36" s="14">
        <f>$F36*Total!D$103</f>
        <v>0</v>
      </c>
      <c r="I36" s="14">
        <f>$F36*Total!E$103</f>
        <v>0</v>
      </c>
      <c r="J36" s="28"/>
      <c r="K36" s="14">
        <f>$J36*Total!C$104</f>
        <v>0</v>
      </c>
      <c r="L36" s="14">
        <f>$J36*Total!D$104</f>
        <v>0</v>
      </c>
      <c r="M36" s="14">
        <f>$J36*Total!E$104</f>
        <v>0</v>
      </c>
      <c r="N36" s="28"/>
      <c r="O36" s="14">
        <f>$N36*Total!C$105</f>
        <v>0</v>
      </c>
      <c r="P36" s="14">
        <f>$N36*Total!D$105</f>
        <v>0</v>
      </c>
      <c r="Q36" s="14">
        <f>$N36*Total!E$105</f>
        <v>0</v>
      </c>
      <c r="R36" s="28"/>
      <c r="S36" s="14">
        <f>$R36*Total!C$106</f>
        <v>0</v>
      </c>
      <c r="T36" s="14">
        <f>$R36*Total!D$106</f>
        <v>0</v>
      </c>
      <c r="U36" s="14">
        <f>$R36*Total!E$106</f>
        <v>0</v>
      </c>
      <c r="V36" s="28"/>
      <c r="W36" s="14">
        <f>$V36*Total!C$107</f>
        <v>0</v>
      </c>
      <c r="X36" s="14">
        <f>$V36*Total!D$107</f>
        <v>0</v>
      </c>
      <c r="Y36" s="14">
        <f>$V36*Total!E$107</f>
        <v>0</v>
      </c>
      <c r="Z36" s="28"/>
      <c r="AA36" s="14">
        <f>$Z36*Total!C$108</f>
        <v>0</v>
      </c>
      <c r="AB36" s="14">
        <f>$Z36*Total!D$108</f>
        <v>0</v>
      </c>
      <c r="AC36" s="14">
        <f>$Z36*Total!E$108</f>
        <v>0</v>
      </c>
      <c r="AD36" s="28"/>
      <c r="AE36" s="14">
        <v>0</v>
      </c>
      <c r="AF36" s="14">
        <v>0</v>
      </c>
      <c r="AG36" s="14">
        <v>0</v>
      </c>
      <c r="AH36" s="28"/>
      <c r="AI36" s="14">
        <f>$AH36*Total!C$110</f>
        <v>0</v>
      </c>
      <c r="AJ36" s="14">
        <f>$AH36*Total!D$110</f>
        <v>0</v>
      </c>
      <c r="AK36" s="14">
        <f>$AH36*Total!E$110</f>
        <v>0</v>
      </c>
      <c r="AL36" s="28"/>
      <c r="AM36" s="14">
        <f>$AL36*Total!C$111</f>
        <v>0</v>
      </c>
      <c r="AN36" s="14">
        <f>$AL36*Total!D$111</f>
        <v>0</v>
      </c>
      <c r="AO36" s="14">
        <f>$AL36*Total!E$111</f>
        <v>0</v>
      </c>
    </row>
    <row r="37" spans="1:41" x14ac:dyDescent="0.2">
      <c r="A37" s="22" t="s">
        <v>78</v>
      </c>
      <c r="B37" s="7">
        <v>5.3199999999999997E-2</v>
      </c>
      <c r="C37" s="23">
        <f>+$B37*Total!C$102</f>
        <v>1.3299999999999999E-2</v>
      </c>
      <c r="D37" s="23">
        <f>+$B37*Total!D$102</f>
        <v>3.7239999999999995E-2</v>
      </c>
      <c r="E37" s="23">
        <f>+$B37*Total!E$102</f>
        <v>2.66E-3</v>
      </c>
      <c r="F37" s="29">
        <v>7.0000000000000007E-2</v>
      </c>
      <c r="G37" s="23">
        <f>$F37*Total!C$103</f>
        <v>7.000000000000001E-3</v>
      </c>
      <c r="H37" s="23">
        <f>$F37*Total!D$103</f>
        <v>2.1000000000000001E-2</v>
      </c>
      <c r="I37" s="23">
        <f>$F37*Total!E$103</f>
        <v>4.2000000000000003E-2</v>
      </c>
      <c r="J37" s="29">
        <v>0.05</v>
      </c>
      <c r="K37" s="23">
        <f>$J37*Total!C$104</f>
        <v>2.5000000000000005E-3</v>
      </c>
      <c r="L37" s="23">
        <f>$J37*Total!D$104</f>
        <v>2.0000000000000004E-2</v>
      </c>
      <c r="M37" s="23">
        <f>$J37*Total!E$104</f>
        <v>2.7500000000000004E-2</v>
      </c>
      <c r="N37" s="29">
        <v>0.05</v>
      </c>
      <c r="O37" s="23">
        <f>$N37*Total!C$105</f>
        <v>2.5000000000000005E-3</v>
      </c>
      <c r="P37" s="23">
        <f>$N37*Total!D$105</f>
        <v>4.7500000000000001E-2</v>
      </c>
      <c r="Q37" s="23">
        <f>$N37*Total!E$105</f>
        <v>0</v>
      </c>
      <c r="R37" s="29">
        <v>0.1</v>
      </c>
      <c r="S37" s="23">
        <f>$R37*Total!C$106</f>
        <v>5.000000000000001E-3</v>
      </c>
      <c r="T37" s="23">
        <f>$R37*Total!D$106</f>
        <v>9.5000000000000001E-2</v>
      </c>
      <c r="U37" s="23">
        <f>$R37*Total!E$106</f>
        <v>0</v>
      </c>
      <c r="V37" s="29">
        <v>0.08</v>
      </c>
      <c r="W37" s="23">
        <f>$V37*Total!C$107</f>
        <v>6.4000000000000001E-2</v>
      </c>
      <c r="X37" s="23">
        <f>$V37*Total!D$107</f>
        <v>1.6E-2</v>
      </c>
      <c r="Y37" s="23">
        <f>$V37*Total!E$107</f>
        <v>0</v>
      </c>
      <c r="Z37" s="29">
        <v>0.06</v>
      </c>
      <c r="AA37" s="23">
        <f>$Z37*Total!C$108</f>
        <v>5.0999999999999997E-2</v>
      </c>
      <c r="AB37" s="23">
        <f>$Z37*Total!D$108</f>
        <v>8.9999999999999993E-3</v>
      </c>
      <c r="AC37" s="23">
        <f>$Z37*Total!E$108</f>
        <v>0</v>
      </c>
      <c r="AD37" s="29">
        <v>0.06</v>
      </c>
      <c r="AE37" s="23">
        <f>+$AD37*Total!C$109</f>
        <v>5.0999999999999997E-2</v>
      </c>
      <c r="AF37" s="23">
        <f>+$AD37*Total!D$109</f>
        <v>8.9999999999999993E-3</v>
      </c>
      <c r="AG37" s="23">
        <f>+$AD37*Total!E$109</f>
        <v>0</v>
      </c>
      <c r="AH37" s="28"/>
      <c r="AI37" s="14">
        <f>$AH37*Total!C$110</f>
        <v>0</v>
      </c>
      <c r="AJ37" s="14">
        <f>$AH37*Total!D$110</f>
        <v>0</v>
      </c>
      <c r="AK37" s="14">
        <f>$AH37*Total!E$110</f>
        <v>0</v>
      </c>
      <c r="AL37" s="29">
        <v>0.15</v>
      </c>
      <c r="AM37" s="23">
        <f>$AL37*Total!C$111</f>
        <v>0.1275</v>
      </c>
      <c r="AN37" s="23">
        <f>$AL37*Total!D$111</f>
        <v>1.4999999999999999E-2</v>
      </c>
      <c r="AO37" s="23">
        <f>$AL37*Total!E$111</f>
        <v>7.4999999999999997E-3</v>
      </c>
    </row>
    <row r="38" spans="1:41" x14ac:dyDescent="0.2">
      <c r="A38" s="22" t="s">
        <v>79</v>
      </c>
      <c r="B38" s="14"/>
      <c r="C38" s="14">
        <f>+$B38*Total!C$102</f>
        <v>0</v>
      </c>
      <c r="D38" s="14">
        <f>+$B38*Total!D$102</f>
        <v>0</v>
      </c>
      <c r="E38" s="14">
        <f>+$B38*Total!E$102</f>
        <v>0</v>
      </c>
      <c r="F38" s="28"/>
      <c r="G38" s="14">
        <f>$F38*Total!C$103</f>
        <v>0</v>
      </c>
      <c r="H38" s="14">
        <f>$F38*Total!D$103</f>
        <v>0</v>
      </c>
      <c r="I38" s="14">
        <f>$F38*Total!E$103</f>
        <v>0</v>
      </c>
      <c r="J38" s="28"/>
      <c r="K38" s="14">
        <f>$J38*Total!C$104</f>
        <v>0</v>
      </c>
      <c r="L38" s="14">
        <f>$J38*Total!D$104</f>
        <v>0</v>
      </c>
      <c r="M38" s="14">
        <f>$J38*Total!E$104</f>
        <v>0</v>
      </c>
      <c r="N38" s="28"/>
      <c r="O38" s="14">
        <f>$N38*Total!C$105</f>
        <v>0</v>
      </c>
      <c r="P38" s="14">
        <f>$N38*Total!D$105</f>
        <v>0</v>
      </c>
      <c r="Q38" s="14">
        <f>$N38*Total!E$105</f>
        <v>0</v>
      </c>
      <c r="R38" s="28"/>
      <c r="S38" s="14">
        <f>$R38*Total!C$106</f>
        <v>0</v>
      </c>
      <c r="T38" s="14">
        <f>$R38*Total!D$106</f>
        <v>0</v>
      </c>
      <c r="U38" s="14">
        <f>$R38*Total!E$106</f>
        <v>0</v>
      </c>
      <c r="V38" s="28"/>
      <c r="W38" s="14">
        <f>$V38*Total!C$107</f>
        <v>0</v>
      </c>
      <c r="X38" s="14">
        <f>$V38*Total!D$107</f>
        <v>0</v>
      </c>
      <c r="Y38" s="14">
        <f>$V38*Total!E$107</f>
        <v>0</v>
      </c>
      <c r="Z38" s="28"/>
      <c r="AA38" s="14">
        <f>$Z38*Total!C$108</f>
        <v>0</v>
      </c>
      <c r="AB38" s="14">
        <f>$Z38*Total!D$108</f>
        <v>0</v>
      </c>
      <c r="AC38" s="14">
        <f>$Z38*Total!E$108</f>
        <v>0</v>
      </c>
      <c r="AD38" s="28"/>
      <c r="AE38" s="14">
        <v>0</v>
      </c>
      <c r="AF38" s="14">
        <v>0</v>
      </c>
      <c r="AG38" s="14">
        <v>0</v>
      </c>
      <c r="AH38" s="28"/>
      <c r="AI38" s="14">
        <f>$AH38*Total!C$110</f>
        <v>0</v>
      </c>
      <c r="AJ38" s="14">
        <f>$AH38*Total!D$110</f>
        <v>0</v>
      </c>
      <c r="AK38" s="14">
        <f>$AH38*Total!E$110</f>
        <v>0</v>
      </c>
      <c r="AL38" s="29">
        <v>0.1</v>
      </c>
      <c r="AM38" s="23">
        <f>$AL38*Total!C$111</f>
        <v>8.5000000000000006E-2</v>
      </c>
      <c r="AN38" s="23">
        <f>$AL38*Total!D$111</f>
        <v>1.0000000000000002E-2</v>
      </c>
      <c r="AO38" s="23">
        <f>$AL38*Total!E$111</f>
        <v>5.000000000000001E-3</v>
      </c>
    </row>
    <row r="39" spans="1:41" x14ac:dyDescent="0.2">
      <c r="A39" s="22" t="s">
        <v>80</v>
      </c>
      <c r="B39" s="14"/>
      <c r="C39" s="14">
        <f>+$B39*Total!C$102</f>
        <v>0</v>
      </c>
      <c r="D39" s="14">
        <f>+$B39*Total!D$102</f>
        <v>0</v>
      </c>
      <c r="E39" s="14">
        <f>+$B39*Total!E$102</f>
        <v>0</v>
      </c>
      <c r="F39" s="28"/>
      <c r="G39" s="14">
        <f>$F39*Total!C$103</f>
        <v>0</v>
      </c>
      <c r="H39" s="14">
        <f>$F39*Total!D$103</f>
        <v>0</v>
      </c>
      <c r="I39" s="14">
        <f>$F39*Total!E$103</f>
        <v>0</v>
      </c>
      <c r="J39" s="28"/>
      <c r="K39" s="14">
        <f>$J39*Total!C$104</f>
        <v>0</v>
      </c>
      <c r="L39" s="14">
        <f>$J39*Total!D$104</f>
        <v>0</v>
      </c>
      <c r="M39" s="14">
        <f>$J39*Total!E$104</f>
        <v>0</v>
      </c>
      <c r="N39" s="28"/>
      <c r="O39" s="14">
        <f>$N39*Total!C$105</f>
        <v>0</v>
      </c>
      <c r="P39" s="14">
        <f>$N39*Total!D$105</f>
        <v>0</v>
      </c>
      <c r="Q39" s="14">
        <f>$N39*Total!E$105</f>
        <v>0</v>
      </c>
      <c r="R39" s="28"/>
      <c r="S39" s="14">
        <f>$R39*Total!C$106</f>
        <v>0</v>
      </c>
      <c r="T39" s="14">
        <f>$R39*Total!D$106</f>
        <v>0</v>
      </c>
      <c r="U39" s="14">
        <f>$R39*Total!E$106</f>
        <v>0</v>
      </c>
      <c r="V39" s="28"/>
      <c r="W39" s="14">
        <f>$V39*Total!C$107</f>
        <v>0</v>
      </c>
      <c r="X39" s="14">
        <f>$V39*Total!D$107</f>
        <v>0</v>
      </c>
      <c r="Y39" s="14">
        <f>$V39*Total!E$107</f>
        <v>0</v>
      </c>
      <c r="Z39" s="28"/>
      <c r="AA39" s="14">
        <f>$Z39*Total!C$108</f>
        <v>0</v>
      </c>
      <c r="AB39" s="14">
        <f>$Z39*Total!D$108</f>
        <v>0</v>
      </c>
      <c r="AC39" s="14">
        <f>$Z39*Total!E$108</f>
        <v>0</v>
      </c>
      <c r="AD39" s="28"/>
      <c r="AE39" s="14">
        <v>0</v>
      </c>
      <c r="AF39" s="14">
        <v>0</v>
      </c>
      <c r="AG39" s="14">
        <v>0</v>
      </c>
      <c r="AH39" s="28"/>
      <c r="AI39" s="14">
        <f>$AH39*Total!C$110</f>
        <v>0</v>
      </c>
      <c r="AJ39" s="14">
        <f>$AH39*Total!D$110</f>
        <v>0</v>
      </c>
      <c r="AK39" s="14">
        <f>$AH39*Total!E$110</f>
        <v>0</v>
      </c>
      <c r="AL39" s="28"/>
      <c r="AM39" s="14">
        <f>$AL39*Total!C$111</f>
        <v>0</v>
      </c>
      <c r="AN39" s="14">
        <f>$AL39*Total!D$111</f>
        <v>0</v>
      </c>
      <c r="AO39" s="14">
        <f>$AL39*Total!E$111</f>
        <v>0</v>
      </c>
    </row>
    <row r="40" spans="1:41" x14ac:dyDescent="0.2">
      <c r="A40" s="22" t="s">
        <v>81</v>
      </c>
      <c r="B40" s="14"/>
      <c r="C40" s="14">
        <f>+$B40*Total!C$102</f>
        <v>0</v>
      </c>
      <c r="D40" s="14">
        <f>+$B40*Total!D$102</f>
        <v>0</v>
      </c>
      <c r="E40" s="14">
        <f>+$B40*Total!E$102</f>
        <v>0</v>
      </c>
      <c r="F40" s="28"/>
      <c r="G40" s="14">
        <f>$F40*Total!C$103</f>
        <v>0</v>
      </c>
      <c r="H40" s="14">
        <f>$F40*Total!D$103</f>
        <v>0</v>
      </c>
      <c r="I40" s="14">
        <f>$F40*Total!E$103</f>
        <v>0</v>
      </c>
      <c r="J40" s="28"/>
      <c r="K40" s="14">
        <f>$J40*Total!C$104</f>
        <v>0</v>
      </c>
      <c r="L40" s="14">
        <f>$J40*Total!D$104</f>
        <v>0</v>
      </c>
      <c r="M40" s="14">
        <f>$J40*Total!E$104</f>
        <v>0</v>
      </c>
      <c r="N40" s="28"/>
      <c r="O40" s="14">
        <f>$N40*Total!C$105</f>
        <v>0</v>
      </c>
      <c r="P40" s="14">
        <f>$N40*Total!D$105</f>
        <v>0</v>
      </c>
      <c r="Q40" s="14">
        <f>$N40*Total!E$105</f>
        <v>0</v>
      </c>
      <c r="R40" s="28"/>
      <c r="S40" s="14">
        <f>$R40*Total!C$106</f>
        <v>0</v>
      </c>
      <c r="T40" s="14">
        <f>$R40*Total!D$106</f>
        <v>0</v>
      </c>
      <c r="U40" s="14">
        <f>$R40*Total!E$106</f>
        <v>0</v>
      </c>
      <c r="V40" s="29">
        <v>0.1</v>
      </c>
      <c r="W40" s="23">
        <f>$V40*Total!C$107</f>
        <v>8.0000000000000016E-2</v>
      </c>
      <c r="X40" s="23">
        <f>$V40*Total!D$107</f>
        <v>2.0000000000000004E-2</v>
      </c>
      <c r="Y40" s="23">
        <f>$V40*Total!E$107</f>
        <v>0</v>
      </c>
      <c r="Z40" s="28"/>
      <c r="AA40" s="14">
        <f>$Z40*Total!C$108</f>
        <v>0</v>
      </c>
      <c r="AB40" s="14">
        <f>$Z40*Total!D$108</f>
        <v>0</v>
      </c>
      <c r="AC40" s="14">
        <f>$Z40*Total!E$108</f>
        <v>0</v>
      </c>
      <c r="AD40" s="28"/>
      <c r="AE40" s="14">
        <v>0</v>
      </c>
      <c r="AF40" s="14">
        <v>0</v>
      </c>
      <c r="AG40" s="14">
        <v>0</v>
      </c>
      <c r="AH40" s="28"/>
      <c r="AI40" s="14">
        <f>$AH40*Total!C$110</f>
        <v>0</v>
      </c>
      <c r="AJ40" s="14">
        <f>$AH40*Total!D$110</f>
        <v>0</v>
      </c>
      <c r="AK40" s="14">
        <f>$AH40*Total!E$110</f>
        <v>0</v>
      </c>
      <c r="AL40" s="29">
        <v>0.1</v>
      </c>
      <c r="AM40" s="23">
        <f>$AL40*Total!C$111</f>
        <v>8.5000000000000006E-2</v>
      </c>
      <c r="AN40" s="23">
        <f>$AL40*Total!D$111</f>
        <v>1.0000000000000002E-2</v>
      </c>
      <c r="AO40" s="23">
        <f>$AL40*Total!E$111</f>
        <v>5.000000000000001E-3</v>
      </c>
    </row>
    <row r="41" spans="1:41" ht="16" customHeight="1" thickBot="1" x14ac:dyDescent="0.25">
      <c r="A41" s="32" t="s">
        <v>82</v>
      </c>
      <c r="B41" s="33">
        <v>0.45889999999999997</v>
      </c>
      <c r="C41" s="34">
        <f>+$B41*Total!C$102</f>
        <v>0.11472499999999999</v>
      </c>
      <c r="D41" s="34">
        <f>+$B41*Total!D$102</f>
        <v>0.32122999999999996</v>
      </c>
      <c r="E41" s="34">
        <f>+$B41*Total!E$102</f>
        <v>2.2945E-2</v>
      </c>
      <c r="F41" s="35">
        <v>0.45</v>
      </c>
      <c r="G41" s="34">
        <f>$F41*Total!C$103</f>
        <v>4.5000000000000005E-2</v>
      </c>
      <c r="H41" s="34">
        <f>$F41*Total!D$103</f>
        <v>0.13500000000000001</v>
      </c>
      <c r="I41" s="34">
        <f>$F41*Total!E$103</f>
        <v>0.27</v>
      </c>
      <c r="J41" s="35">
        <v>0.55000000000000004</v>
      </c>
      <c r="K41" s="34">
        <f>$J41*Total!C$104</f>
        <v>2.7500000000000004E-2</v>
      </c>
      <c r="L41" s="34">
        <f>$J41*Total!D$104</f>
        <v>0.22000000000000003</v>
      </c>
      <c r="M41" s="34">
        <f>$J41*Total!E$104</f>
        <v>0.30250000000000005</v>
      </c>
      <c r="N41" s="35">
        <v>0.4</v>
      </c>
      <c r="O41" s="34">
        <f>$N41*Total!C$105</f>
        <v>2.0000000000000004E-2</v>
      </c>
      <c r="P41" s="34">
        <f>$N41*Total!D$105</f>
        <v>0.38</v>
      </c>
      <c r="Q41" s="34">
        <f>$N41*Total!E$105</f>
        <v>0</v>
      </c>
      <c r="R41" s="35">
        <v>0.15</v>
      </c>
      <c r="S41" s="34">
        <f>$R41*Total!C$106</f>
        <v>7.4999999999999997E-3</v>
      </c>
      <c r="T41" s="34">
        <f>$R41*Total!D$106</f>
        <v>0.14249999999999999</v>
      </c>
      <c r="U41" s="34">
        <f>$R41*Total!E$106</f>
        <v>0</v>
      </c>
      <c r="V41" s="35">
        <v>0.12</v>
      </c>
      <c r="W41" s="34">
        <f>$V41*Total!C$107</f>
        <v>9.6000000000000002E-2</v>
      </c>
      <c r="X41" s="34">
        <f>$V41*Total!D$107</f>
        <v>2.4E-2</v>
      </c>
      <c r="Y41" s="34">
        <f>$V41*Total!E$107</f>
        <v>0</v>
      </c>
      <c r="Z41" s="35">
        <v>0.08</v>
      </c>
      <c r="AA41" s="34">
        <f>$Z41*Total!C$108</f>
        <v>6.8000000000000005E-2</v>
      </c>
      <c r="AB41" s="34">
        <f>$Z41*Total!D$108</f>
        <v>1.2E-2</v>
      </c>
      <c r="AC41" s="34">
        <f>$Z41*Total!E$108</f>
        <v>0</v>
      </c>
      <c r="AD41" s="37">
        <v>0.08</v>
      </c>
      <c r="AE41" s="36">
        <f>+$AD41*Total!C$109</f>
        <v>6.8000000000000005E-2</v>
      </c>
      <c r="AF41" s="36">
        <f>+$AD41*Total!D$109</f>
        <v>1.2E-2</v>
      </c>
      <c r="AG41" s="36">
        <f>+$AD41*Total!E$109</f>
        <v>0</v>
      </c>
      <c r="AH41" s="37"/>
      <c r="AI41" s="36">
        <f>$AH41*Total!C$110</f>
        <v>0</v>
      </c>
      <c r="AJ41" s="36">
        <f>$AH41*Total!D$110</f>
        <v>0</v>
      </c>
      <c r="AK41" s="36">
        <f>$AH41*Total!E$110</f>
        <v>0</v>
      </c>
      <c r="AL41" s="37"/>
      <c r="AM41" s="36">
        <f>$AL41*Total!C$111</f>
        <v>0</v>
      </c>
      <c r="AN41" s="36">
        <f>$AL41*Total!D$111</f>
        <v>0</v>
      </c>
      <c r="AO41" s="36">
        <f>$AL41*Total!E$111</f>
        <v>0</v>
      </c>
    </row>
    <row r="42" spans="1:41" ht="16" customHeight="1" thickTop="1" x14ac:dyDescent="0.2">
      <c r="B42" s="25">
        <f>+SUM(B2:B41)</f>
        <v>1</v>
      </c>
      <c r="F42" s="30">
        <f>+SUM(F2:F41)</f>
        <v>1</v>
      </c>
      <c r="J42" s="30">
        <f>+SUM(J2:J41)</f>
        <v>1</v>
      </c>
      <c r="N42" s="30">
        <f>+SUM(N2:N41)</f>
        <v>1</v>
      </c>
      <c r="R42" s="30">
        <f>+SUM(R2:R41)</f>
        <v>1</v>
      </c>
      <c r="V42" s="30">
        <f>+SUM(V2:V41)</f>
        <v>1</v>
      </c>
      <c r="Z42" s="30">
        <f>+SUM(Z2:Z41)</f>
        <v>1.0000000000000002</v>
      </c>
      <c r="AD42" s="30">
        <f>+SUM(AD2:AD41)</f>
        <v>1.0000000000000002</v>
      </c>
      <c r="AH42" s="30">
        <f>+SUM(AH2:AH41)</f>
        <v>1</v>
      </c>
      <c r="AL42" s="30">
        <f>+SUM(AL2:AL41)</f>
        <v>0.99999999999999989</v>
      </c>
    </row>
    <row r="43" spans="1:41" x14ac:dyDescent="0.2">
      <c r="E43" s="25">
        <f>+SUM(C2:E41)</f>
        <v>1</v>
      </c>
      <c r="F43" s="31"/>
      <c r="I43" s="25">
        <f>+SUM(G2:I41)</f>
        <v>1</v>
      </c>
      <c r="J43" s="31"/>
      <c r="M43" s="25">
        <f>+SUM(K2:M41)</f>
        <v>1.0000000000000002</v>
      </c>
      <c r="N43" s="31"/>
      <c r="Q43" s="25">
        <f>+SUM(O2:Q41)</f>
        <v>1</v>
      </c>
      <c r="R43" s="31"/>
      <c r="U43" s="25">
        <f>+SUM(S2:U41)</f>
        <v>0.99999999999999989</v>
      </c>
      <c r="V43" s="31"/>
      <c r="Y43" s="25">
        <f>+SUM(W2:Y41)</f>
        <v>1.0000000000000002</v>
      </c>
      <c r="Z43" s="31"/>
      <c r="AC43" s="25">
        <f>+SUM(AA2:AC41)</f>
        <v>1.0000000000000002</v>
      </c>
      <c r="AD43" s="31"/>
      <c r="AG43" s="25">
        <f>+SUM(AE2:AG41)</f>
        <v>1.0000000000000002</v>
      </c>
      <c r="AH43" s="31"/>
      <c r="AK43" s="25">
        <f>+SUM(AI2:AK41)</f>
        <v>1</v>
      </c>
      <c r="AL43" s="31"/>
      <c r="AO43" s="25">
        <f>+SUM(AM2:AO41)</f>
        <v>1</v>
      </c>
    </row>
  </sheetData>
  <pageMargins left="0.7" right="0.7" top="0.75" bottom="0.75" header="0.3" footer="0.3"/>
  <headerFooter>
    <oddFooter>&amp;R&amp;"Aptos"&amp;10 &amp;K000000_x000D_#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53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41</v>
      </c>
      <c r="C16" s="18" t="s">
        <v>42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55" t="s">
        <v>30</v>
      </c>
      <c r="B17" s="39" t="s">
        <v>43</v>
      </c>
      <c r="C17" s="40">
        <f>+SAM!C2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50"/>
      <c r="B18" s="22" t="s">
        <v>44</v>
      </c>
      <c r="C18" s="41">
        <f>+SAM!C3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50"/>
      <c r="B19" s="22" t="s">
        <v>45</v>
      </c>
      <c r="C19" s="41">
        <f>+SAM!C4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50"/>
      <c r="B20" s="22" t="s">
        <v>46</v>
      </c>
      <c r="C20" s="41">
        <f>+SAM!C5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50"/>
      <c r="B21" s="22" t="s">
        <v>47</v>
      </c>
      <c r="C21" s="41">
        <f>+SAM!C6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50"/>
      <c r="B22" s="22" t="s">
        <v>48</v>
      </c>
      <c r="C22" s="41">
        <f>+SAM!C7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50"/>
      <c r="B23" s="22" t="s">
        <v>49</v>
      </c>
      <c r="C23" s="41">
        <f>+SAM!C8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50"/>
      <c r="B24" s="22" t="s">
        <v>50</v>
      </c>
      <c r="C24" s="41">
        <f>+SAM!C9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50"/>
      <c r="B25" s="22" t="s">
        <v>51</v>
      </c>
      <c r="C25" s="41">
        <f>+SAM!C10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50"/>
      <c r="B26" s="22" t="s">
        <v>52</v>
      </c>
      <c r="C26" s="41">
        <f>+SAM!C11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50"/>
      <c r="B27" s="22" t="s">
        <v>53</v>
      </c>
      <c r="C27" s="41">
        <f>+SAM!C12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50"/>
      <c r="B28" s="22" t="s">
        <v>54</v>
      </c>
      <c r="C28" s="41">
        <f>+SAM!C13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50"/>
      <c r="B29" s="22" t="s">
        <v>55</v>
      </c>
      <c r="C29" s="42">
        <f>+SAM!C14</f>
        <v>1.4749999999999999E-2</v>
      </c>
      <c r="D29" s="44">
        <f t="shared" si="3"/>
        <v>0</v>
      </c>
      <c r="E29" s="44">
        <f t="shared" si="3"/>
        <v>0</v>
      </c>
      <c r="F29" s="44">
        <f t="shared" si="3"/>
        <v>2.4198224351004438E-2</v>
      </c>
      <c r="G29" s="44">
        <f t="shared" si="3"/>
        <v>5.1071910770435439E-3</v>
      </c>
      <c r="H29" s="44">
        <f t="shared" si="3"/>
        <v>2.8282729504223145E-2</v>
      </c>
      <c r="I29" s="44">
        <f t="shared" si="3"/>
        <v>3.8334602713086974E-2</v>
      </c>
      <c r="J29" s="44">
        <f t="shared" si="3"/>
        <v>0.10946777954095759</v>
      </c>
      <c r="K29" s="44">
        <f t="shared" si="3"/>
        <v>0.18232916580625638</v>
      </c>
      <c r="L29" s="44">
        <f t="shared" si="3"/>
        <v>0.15534725859464382</v>
      </c>
      <c r="M29" s="44">
        <f t="shared" si="3"/>
        <v>3.721124586650542E-2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2.5131370788205672E-3</v>
      </c>
      <c r="R29" s="44">
        <f t="shared" si="4"/>
        <v>2.5682243527142982E-2</v>
      </c>
      <c r="S29" s="44">
        <f t="shared" si="4"/>
        <v>2.3974262633432226E-2</v>
      </c>
      <c r="T29" s="44">
        <f t="shared" si="4"/>
        <v>2.0412944373453389E-2</v>
      </c>
      <c r="U29" s="44">
        <f t="shared" si="4"/>
        <v>5.4029153997770946E-3</v>
      </c>
      <c r="V29" s="44">
        <f t="shared" si="4"/>
        <v>1.8508083838587409E-2</v>
      </c>
      <c r="W29" s="44">
        <f t="shared" si="4"/>
        <v>1.7343262541167352E-2</v>
      </c>
      <c r="X29" s="44">
        <f t="shared" si="5"/>
        <v>1.6651438166341095E-2</v>
      </c>
      <c r="Y29" s="44">
        <f t="shared" si="5"/>
        <v>0</v>
      </c>
      <c r="Z29" s="44">
        <f t="shared" si="5"/>
        <v>2.9337581781316607E-2</v>
      </c>
      <c r="AA29" s="44">
        <f t="shared" si="5"/>
        <v>1.638470108124573E-2</v>
      </c>
      <c r="AB29" s="44">
        <f t="shared" si="5"/>
        <v>2.8748051644523286E-2</v>
      </c>
      <c r="AC29" s="44">
        <f t="shared" si="5"/>
        <v>2.6382697560359835E-2</v>
      </c>
      <c r="AD29" s="44">
        <f t="shared" si="5"/>
        <v>4.9466139093025427E-2</v>
      </c>
      <c r="AE29" s="44">
        <f t="shared" si="5"/>
        <v>0.10504326612966035</v>
      </c>
    </row>
    <row r="30" spans="1:31" x14ac:dyDescent="0.2">
      <c r="A30" s="50"/>
      <c r="B30" s="22" t="s">
        <v>56</v>
      </c>
      <c r="C30" s="42">
        <f>+SAM!C15</f>
        <v>2.7750000000000001E-3</v>
      </c>
      <c r="D30" s="44">
        <f t="shared" si="3"/>
        <v>0</v>
      </c>
      <c r="E30" s="44">
        <f t="shared" si="3"/>
        <v>0</v>
      </c>
      <c r="F30" s="44">
        <f t="shared" si="3"/>
        <v>4.5525472931550728E-3</v>
      </c>
      <c r="G30" s="44">
        <f t="shared" si="3"/>
        <v>9.6084442296920922E-4</v>
      </c>
      <c r="H30" s="44">
        <f t="shared" si="3"/>
        <v>5.3209880931674057E-3</v>
      </c>
      <c r="I30" s="44">
        <f t="shared" si="3"/>
        <v>7.2121032222926349E-3</v>
      </c>
      <c r="J30" s="44">
        <f t="shared" si="3"/>
        <v>2.0594785642451343E-2</v>
      </c>
      <c r="K30" s="44">
        <f t="shared" si="3"/>
        <v>3.4302605770329599E-2</v>
      </c>
      <c r="L30" s="44">
        <f t="shared" si="3"/>
        <v>2.9226348650856725E-2</v>
      </c>
      <c r="M30" s="44">
        <f t="shared" si="3"/>
        <v>7.0007598155628851E-3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4.7281053516793725E-4</v>
      </c>
      <c r="R30" s="44">
        <f t="shared" si="4"/>
        <v>4.8317441212082568E-3</v>
      </c>
      <c r="S30" s="44">
        <f t="shared" si="4"/>
        <v>4.5104121225609788E-3</v>
      </c>
      <c r="T30" s="44">
        <f t="shared" si="4"/>
        <v>3.8404013990734347E-3</v>
      </c>
      <c r="U30" s="44">
        <f t="shared" si="4"/>
        <v>1.0164806938563688E-3</v>
      </c>
      <c r="V30" s="44">
        <f t="shared" si="4"/>
        <v>3.4820293323444113E-3</v>
      </c>
      <c r="W30" s="44">
        <f t="shared" si="4"/>
        <v>3.2628849865586037E-3</v>
      </c>
      <c r="X30" s="44">
        <f t="shared" si="5"/>
        <v>3.1327281973963757E-3</v>
      </c>
      <c r="Y30" s="44">
        <f t="shared" si="5"/>
        <v>0</v>
      </c>
      <c r="Z30" s="44">
        <f t="shared" si="5"/>
        <v>5.5194433520782101E-3</v>
      </c>
      <c r="AA30" s="44">
        <f t="shared" si="5"/>
        <v>3.0825454576580949E-3</v>
      </c>
      <c r="AB30" s="44">
        <f t="shared" si="5"/>
        <v>5.4085317500713308E-3</v>
      </c>
      <c r="AC30" s="44">
        <f t="shared" si="5"/>
        <v>4.9635244562710882E-3</v>
      </c>
      <c r="AD30" s="44">
        <f t="shared" si="5"/>
        <v>9.3063414225861407E-3</v>
      </c>
      <c r="AE30" s="44">
        <f t="shared" si="5"/>
        <v>1.9762377187105593E-2</v>
      </c>
    </row>
    <row r="31" spans="1:31" x14ac:dyDescent="0.2">
      <c r="A31" s="50"/>
      <c r="B31" s="22" t="s">
        <v>57</v>
      </c>
      <c r="C31" s="42">
        <f>+SAM!C16</f>
        <v>2.18E-2</v>
      </c>
      <c r="D31" s="44">
        <f t="shared" si="3"/>
        <v>0</v>
      </c>
      <c r="E31" s="44">
        <f t="shared" si="3"/>
        <v>0</v>
      </c>
      <c r="F31" s="44">
        <f t="shared" si="3"/>
        <v>3.5764155311993E-2</v>
      </c>
      <c r="G31" s="44">
        <f t="shared" si="3"/>
        <v>7.5482552867491021E-3</v>
      </c>
      <c r="H31" s="44">
        <f t="shared" si="3"/>
        <v>4.1800915470648445E-2</v>
      </c>
      <c r="I31" s="44">
        <f t="shared" si="3"/>
        <v>5.6657243331884481E-2</v>
      </c>
      <c r="J31" s="44">
        <f t="shared" si="3"/>
        <v>0.1617896673893475</v>
      </c>
      <c r="K31" s="44">
        <f t="shared" si="3"/>
        <v>0.26947632641195862</v>
      </c>
      <c r="L31" s="44">
        <f t="shared" si="3"/>
        <v>0.22959798219411767</v>
      </c>
      <c r="M31" s="44">
        <f t="shared" si="3"/>
        <v>5.4996959992530049E-2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3.7143314114093805E-3</v>
      </c>
      <c r="R31" s="44">
        <f t="shared" si="4"/>
        <v>3.7957485348590989E-2</v>
      </c>
      <c r="S31" s="44">
        <f t="shared" si="4"/>
        <v>3.5433147485343902E-2</v>
      </c>
      <c r="T31" s="44">
        <f t="shared" si="4"/>
        <v>3.0169639819748063E-2</v>
      </c>
      <c r="U31" s="44">
        <f t="shared" si="4"/>
        <v>7.9853258111959782E-3</v>
      </c>
      <c r="V31" s="44">
        <f t="shared" si="4"/>
        <v>2.7354320520759697E-2</v>
      </c>
      <c r="W31" s="44">
        <f t="shared" si="4"/>
        <v>2.5632754128640561E-2</v>
      </c>
      <c r="X31" s="44">
        <f t="shared" si="5"/>
        <v>2.4610261154321075E-2</v>
      </c>
      <c r="Y31" s="44">
        <f t="shared" si="5"/>
        <v>0</v>
      </c>
      <c r="Z31" s="44">
        <f t="shared" si="5"/>
        <v>4.3359951378488276E-2</v>
      </c>
      <c r="AA31" s="44">
        <f t="shared" si="5"/>
        <v>2.4216032784485215E-2</v>
      </c>
      <c r="AB31" s="44">
        <f t="shared" si="5"/>
        <v>4.2488645820380179E-2</v>
      </c>
      <c r="AC31" s="44">
        <f t="shared" si="5"/>
        <v>3.8992732665480978E-2</v>
      </c>
      <c r="AD31" s="44">
        <f t="shared" si="5"/>
        <v>7.3109276761217243E-2</v>
      </c>
      <c r="AE31" s="44">
        <f t="shared" si="5"/>
        <v>0.15525038655095563</v>
      </c>
    </row>
    <row r="32" spans="1:31" x14ac:dyDescent="0.2">
      <c r="A32" s="50"/>
      <c r="B32" s="22" t="s">
        <v>58</v>
      </c>
      <c r="C32" s="42">
        <f>+SAM!C17</f>
        <v>1.9300000000000001E-2</v>
      </c>
      <c r="D32" s="44">
        <f t="shared" si="3"/>
        <v>0</v>
      </c>
      <c r="E32" s="44">
        <f t="shared" si="3"/>
        <v>0</v>
      </c>
      <c r="F32" s="44">
        <f t="shared" si="3"/>
        <v>3.1662761354195643E-2</v>
      </c>
      <c r="G32" s="44">
        <f t="shared" si="3"/>
        <v>6.6826296804705365E-3</v>
      </c>
      <c r="H32" s="44">
        <f t="shared" si="3"/>
        <v>3.7007232503830964E-2</v>
      </c>
      <c r="I32" s="44">
        <f t="shared" si="3"/>
        <v>5.0159853041530762E-2</v>
      </c>
      <c r="J32" s="44">
        <f t="shared" si="3"/>
        <v>0.14323580645020215</v>
      </c>
      <c r="K32" s="44">
        <f t="shared" si="3"/>
        <v>0.23857307797022026</v>
      </c>
      <c r="L32" s="44">
        <f t="shared" si="3"/>
        <v>0.20326793836451704</v>
      </c>
      <c r="M32" s="44">
        <f t="shared" si="3"/>
        <v>4.8689969167698625E-2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3.288375974321149E-3</v>
      </c>
      <c r="R32" s="44">
        <f t="shared" si="4"/>
        <v>3.3604562716871837E-2</v>
      </c>
      <c r="S32" s="44">
        <f t="shared" si="4"/>
        <v>3.1369713140694373E-2</v>
      </c>
      <c r="T32" s="44">
        <f t="shared" si="4"/>
        <v>2.6709818739501727E-2</v>
      </c>
      <c r="U32" s="44">
        <f t="shared" si="4"/>
        <v>7.0695774383524026E-3</v>
      </c>
      <c r="V32" s="44">
        <f t="shared" si="4"/>
        <v>2.4217357158287257E-2</v>
      </c>
      <c r="W32" s="44">
        <f t="shared" si="4"/>
        <v>2.2693218104713891E-2</v>
      </c>
      <c r="X32" s="44">
        <f t="shared" si="5"/>
        <v>2.1787983499009025E-2</v>
      </c>
      <c r="Y32" s="44">
        <f t="shared" si="5"/>
        <v>0</v>
      </c>
      <c r="Z32" s="44">
        <f t="shared" si="5"/>
        <v>3.8387479890129535E-2</v>
      </c>
      <c r="AA32" s="44">
        <f t="shared" si="5"/>
        <v>2.1438964804613058E-2</v>
      </c>
      <c r="AB32" s="44">
        <f t="shared" si="5"/>
        <v>3.7616094694189792E-2</v>
      </c>
      <c r="AC32" s="44">
        <f t="shared" si="5"/>
        <v>3.4521089011182705E-2</v>
      </c>
      <c r="AD32" s="44">
        <f t="shared" si="5"/>
        <v>6.472518538951802E-2</v>
      </c>
      <c r="AE32" s="44">
        <f t="shared" si="5"/>
        <v>0.13744644313914881</v>
      </c>
    </row>
    <row r="33" spans="1:31" x14ac:dyDescent="0.2">
      <c r="A33" s="50"/>
      <c r="B33" s="22" t="s">
        <v>59</v>
      </c>
      <c r="C33" s="42">
        <f>+SAM!C18</f>
        <v>7.0499999999999998E-3</v>
      </c>
      <c r="D33" s="44">
        <f t="shared" si="3"/>
        <v>0</v>
      </c>
      <c r="E33" s="44">
        <f t="shared" si="3"/>
        <v>0</v>
      </c>
      <c r="F33" s="44">
        <f t="shared" si="3"/>
        <v>1.1565930960988562E-2</v>
      </c>
      <c r="G33" s="44">
        <f t="shared" si="3"/>
        <v>2.4410642097055582E-3</v>
      </c>
      <c r="H33" s="44">
        <f t="shared" si="3"/>
        <v>1.3518185966425299E-2</v>
      </c>
      <c r="I33" s="44">
        <f t="shared" si="3"/>
        <v>1.8322640618797504E-2</v>
      </c>
      <c r="J33" s="44">
        <f t="shared" si="3"/>
        <v>5.2321887848389897E-2</v>
      </c>
      <c r="K33" s="44">
        <f t="shared" si="3"/>
        <v>8.7147160605702212E-2</v>
      </c>
      <c r="L33" s="44">
        <f t="shared" si="3"/>
        <v>7.4250723599473836E-2</v>
      </c>
      <c r="M33" s="44">
        <f t="shared" si="3"/>
        <v>1.7785714126024626E-2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1.2011943325888135E-3</v>
      </c>
      <c r="R33" s="44">
        <f t="shared" si="4"/>
        <v>1.2275241821448003E-2</v>
      </c>
      <c r="S33" s="44">
        <f t="shared" si="4"/>
        <v>1.1458884851911676E-2</v>
      </c>
      <c r="T33" s="44">
        <f t="shared" si="4"/>
        <v>9.7566954462946723E-3</v>
      </c>
      <c r="U33" s="44">
        <f t="shared" si="4"/>
        <v>2.5824104114188827E-3</v>
      </c>
      <c r="V33" s="44">
        <f t="shared" si="4"/>
        <v>8.8462366821722878E-3</v>
      </c>
      <c r="W33" s="44">
        <f t="shared" si="4"/>
        <v>8.2894915874732085E-3</v>
      </c>
      <c r="X33" s="44">
        <f t="shared" si="5"/>
        <v>7.9588229879799799E-3</v>
      </c>
      <c r="Y33" s="44">
        <f t="shared" si="5"/>
        <v>0</v>
      </c>
      <c r="Z33" s="44">
        <f t="shared" si="5"/>
        <v>1.4022369597171668E-2</v>
      </c>
      <c r="AA33" s="44">
        <f t="shared" si="5"/>
        <v>7.8313317032394844E-3</v>
      </c>
      <c r="AB33" s="44">
        <f t="shared" si="5"/>
        <v>1.3740594175856893E-2</v>
      </c>
      <c r="AC33" s="44">
        <f t="shared" si="5"/>
        <v>1.2610035105121141E-2</v>
      </c>
      <c r="AD33" s="44">
        <f t="shared" si="5"/>
        <v>2.3643137668191812E-2</v>
      </c>
      <c r="AE33" s="44">
        <f t="shared" si="5"/>
        <v>5.0207120421295284E-2</v>
      </c>
    </row>
    <row r="34" spans="1:31" x14ac:dyDescent="0.2">
      <c r="A34" s="50"/>
      <c r="B34" s="22" t="s">
        <v>60</v>
      </c>
      <c r="C34" s="41">
        <f>+SAM!C19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50"/>
      <c r="B35" s="22" t="s">
        <v>61</v>
      </c>
      <c r="C35" s="41">
        <f>+SAM!C20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50"/>
      <c r="B36" s="22" t="s">
        <v>62</v>
      </c>
      <c r="C36" s="41">
        <f>+SAM!C21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50"/>
      <c r="B37" s="22" t="s">
        <v>63</v>
      </c>
      <c r="C37" s="41">
        <f>+SAM!C22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50"/>
      <c r="B38" s="22" t="s">
        <v>64</v>
      </c>
      <c r="C38" s="41">
        <f>+SAM!C23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50"/>
      <c r="B39" s="22" t="s">
        <v>65</v>
      </c>
      <c r="C39" s="41">
        <f>+SAM!C24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50"/>
      <c r="B40" s="22" t="s">
        <v>66</v>
      </c>
      <c r="C40" s="41">
        <f>+SAM!C25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50"/>
      <c r="B41" s="22" t="s">
        <v>67</v>
      </c>
      <c r="C41" s="41">
        <f>+SAM!C26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50"/>
      <c r="B42" s="22" t="s">
        <v>68</v>
      </c>
      <c r="C42" s="41">
        <f>+SAM!C27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50"/>
      <c r="B43" s="22" t="s">
        <v>69</v>
      </c>
      <c r="C43" s="41">
        <f>+SAM!C28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50"/>
      <c r="B44" s="22" t="s">
        <v>70</v>
      </c>
      <c r="C44" s="41">
        <f>+SAM!C29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50"/>
      <c r="B45" s="22" t="s">
        <v>71</v>
      </c>
      <c r="C45" s="42">
        <f>+SAM!C30</f>
        <v>5.6300000000000003E-2</v>
      </c>
      <c r="D45" s="44">
        <f t="shared" si="6"/>
        <v>0</v>
      </c>
      <c r="E45" s="44">
        <f t="shared" si="6"/>
        <v>0</v>
      </c>
      <c r="F45" s="44">
        <f t="shared" si="6"/>
        <v>9.2363391929596611E-2</v>
      </c>
      <c r="G45" s="44">
        <f t="shared" si="6"/>
        <v>1.9493888653393326E-2</v>
      </c>
      <c r="H45" s="44">
        <f t="shared" si="6"/>
        <v>0.1079537404127297</v>
      </c>
      <c r="I45" s="44">
        <f t="shared" si="6"/>
        <v>0.1463212293387659</v>
      </c>
      <c r="J45" s="44">
        <f t="shared" si="6"/>
        <v>0.41783294834955342</v>
      </c>
      <c r="K45" s="44">
        <f t="shared" si="6"/>
        <v>0.69594115490794817</v>
      </c>
      <c r="L45" s="44">
        <f t="shared" si="6"/>
        <v>0.59295258704260667</v>
      </c>
      <c r="M45" s="44">
        <f t="shared" si="6"/>
        <v>0.14203343337520377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9.5925164432269783E-3</v>
      </c>
      <c r="R45" s="44">
        <f t="shared" si="7"/>
        <v>9.8027817666315256E-2</v>
      </c>
      <c r="S45" s="44">
        <f t="shared" si="7"/>
        <v>9.1508541441507427E-2</v>
      </c>
      <c r="T45" s="44">
        <f t="shared" si="7"/>
        <v>7.7915170727147529E-2</v>
      </c>
      <c r="U45" s="44">
        <f t="shared" si="7"/>
        <v>2.0622653356437318E-2</v>
      </c>
      <c r="V45" s="44">
        <f t="shared" si="7"/>
        <v>7.0644414922879414E-2</v>
      </c>
      <c r="W45" s="44">
        <f t="shared" si="7"/>
        <v>6.6198351258828614E-2</v>
      </c>
      <c r="X45" s="44">
        <f t="shared" si="8"/>
        <v>6.3557692797627366E-2</v>
      </c>
      <c r="Y45" s="44">
        <f t="shared" si="8"/>
        <v>0</v>
      </c>
      <c r="Z45" s="44">
        <f t="shared" si="8"/>
        <v>0.11198005791783899</v>
      </c>
      <c r="AA45" s="44">
        <f t="shared" si="8"/>
        <v>6.2539570906720993E-2</v>
      </c>
      <c r="AB45" s="44">
        <f t="shared" si="8"/>
        <v>0.10972985136180753</v>
      </c>
      <c r="AC45" s="44">
        <f t="shared" si="8"/>
        <v>0.10070141509479721</v>
      </c>
      <c r="AD45" s="44">
        <f t="shared" si="8"/>
        <v>0.18880973769066656</v>
      </c>
      <c r="AE45" s="44">
        <f t="shared" si="8"/>
        <v>0.40094480563389007</v>
      </c>
    </row>
    <row r="46" spans="1:31" x14ac:dyDescent="0.2">
      <c r="A46" s="50"/>
      <c r="B46" s="22" t="s">
        <v>72</v>
      </c>
      <c r="C46" s="41">
        <f>+SAM!C31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50"/>
      <c r="B47" s="22" t="s">
        <v>73</v>
      </c>
      <c r="C47" s="41">
        <f>+SAM!C32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50"/>
      <c r="B48" s="22" t="s">
        <v>74</v>
      </c>
      <c r="C48" s="41">
        <f>+SAM!C33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50"/>
      <c r="B49" s="22" t="s">
        <v>75</v>
      </c>
      <c r="C49" s="41">
        <f>+SAM!C34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50"/>
      <c r="B50" s="22" t="s">
        <v>76</v>
      </c>
      <c r="C50" s="41">
        <f>+SAM!C35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50"/>
      <c r="B51" s="22" t="s">
        <v>77</v>
      </c>
      <c r="C51" s="41">
        <f>+SAM!C36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50"/>
      <c r="B52" s="22" t="s">
        <v>78</v>
      </c>
      <c r="C52" s="42">
        <f>+SAM!C37</f>
        <v>1.3299999999999999E-2</v>
      </c>
      <c r="D52" s="44">
        <f t="shared" si="9"/>
        <v>0</v>
      </c>
      <c r="E52" s="44">
        <f t="shared" si="9"/>
        <v>0</v>
      </c>
      <c r="F52" s="44">
        <f t="shared" si="9"/>
        <v>2.1819415855481968E-2</v>
      </c>
      <c r="G52" s="44">
        <f t="shared" si="9"/>
        <v>4.6051282254019749E-3</v>
      </c>
      <c r="H52" s="44">
        <f t="shared" si="9"/>
        <v>2.5502393383469005E-2</v>
      </c>
      <c r="I52" s="44">
        <f t="shared" si="9"/>
        <v>3.4566116344681819E-2</v>
      </c>
      <c r="J52" s="44">
        <f t="shared" si="9"/>
        <v>9.8706540196253287E-2</v>
      </c>
      <c r="K52" s="44">
        <f t="shared" si="9"/>
        <v>0.16440528171004815</v>
      </c>
      <c r="L52" s="44">
        <f t="shared" si="9"/>
        <v>0.14007583317347547</v>
      </c>
      <c r="M52" s="44">
        <f t="shared" si="9"/>
        <v>3.3553191188103196E-2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2.2660829253093929E-3</v>
      </c>
      <c r="R52" s="44">
        <f t="shared" si="10"/>
        <v>2.3157548400745877E-2</v>
      </c>
      <c r="S52" s="44">
        <f t="shared" si="10"/>
        <v>2.1617470713535501E-2</v>
      </c>
      <c r="T52" s="44">
        <f t="shared" si="10"/>
        <v>1.8406248146910515E-2</v>
      </c>
      <c r="U52" s="44">
        <f t="shared" si="10"/>
        <v>4.8717813435278211E-3</v>
      </c>
      <c r="V52" s="44">
        <f t="shared" si="10"/>
        <v>1.6688645088353393E-2</v>
      </c>
      <c r="W52" s="44">
        <f t="shared" si="10"/>
        <v>1.5638331647289883E-2</v>
      </c>
      <c r="X52" s="44">
        <f t="shared" si="11"/>
        <v>1.5014517126260105E-2</v>
      </c>
      <c r="Y52" s="44">
        <f t="shared" si="11"/>
        <v>0</v>
      </c>
      <c r="Z52" s="44">
        <f t="shared" si="11"/>
        <v>2.6453548318068534E-2</v>
      </c>
      <c r="AA52" s="44">
        <f t="shared" si="11"/>
        <v>1.4774001652919878E-2</v>
      </c>
      <c r="AB52" s="44">
        <f t="shared" si="11"/>
        <v>2.5921971991332862E-2</v>
      </c>
      <c r="AC52" s="44">
        <f t="shared" si="11"/>
        <v>2.3789144240866835E-2</v>
      </c>
      <c r="AD52" s="44">
        <f t="shared" si="11"/>
        <v>4.4603366097439874E-2</v>
      </c>
      <c r="AE52" s="44">
        <f t="shared" si="11"/>
        <v>9.471697895081238E-2</v>
      </c>
    </row>
    <row r="53" spans="1:31" x14ac:dyDescent="0.2">
      <c r="A53" s="50"/>
      <c r="B53" s="22" t="s">
        <v>79</v>
      </c>
      <c r="C53" s="41">
        <f>+SAM!C38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50"/>
      <c r="B54" s="22" t="s">
        <v>80</v>
      </c>
      <c r="C54" s="41">
        <f>+SAM!C39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50"/>
      <c r="B55" s="22" t="s">
        <v>81</v>
      </c>
      <c r="C55" s="41">
        <f>+SAM!C40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56"/>
      <c r="B56" s="32" t="s">
        <v>82</v>
      </c>
      <c r="C56" s="34">
        <f>+SAM!C41</f>
        <v>0.11472499999999999</v>
      </c>
      <c r="D56" s="45">
        <f t="shared" si="9"/>
        <v>0</v>
      </c>
      <c r="E56" s="45">
        <f t="shared" si="9"/>
        <v>0</v>
      </c>
      <c r="F56" s="45">
        <f t="shared" si="9"/>
        <v>0.18821296872332094</v>
      </c>
      <c r="G56" s="45">
        <f t="shared" si="9"/>
        <v>3.9723559072123431E-2</v>
      </c>
      <c r="H56" s="45">
        <f t="shared" si="9"/>
        <v>0.21998211134725426</v>
      </c>
      <c r="I56" s="45">
        <f t="shared" si="9"/>
        <v>0.2981652404243324</v>
      </c>
      <c r="J56" s="45">
        <f t="shared" si="9"/>
        <v>0.85143667849738025</v>
      </c>
      <c r="K56" s="45">
        <f t="shared" si="9"/>
        <v>1.4181500709913739</v>
      </c>
      <c r="L56" s="45">
        <f t="shared" si="9"/>
        <v>1.2082857113403738</v>
      </c>
      <c r="M56" s="45">
        <f t="shared" si="9"/>
        <v>0.28942780895151421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1.9547095007978955E-2</v>
      </c>
      <c r="R56" s="45">
        <f t="shared" si="10"/>
        <v>0.19975561956959179</v>
      </c>
      <c r="S56" s="45">
        <f t="shared" si="10"/>
        <v>0.18647100207596692</v>
      </c>
      <c r="T56" s="45">
        <f t="shared" si="10"/>
        <v>0.15877118937250442</v>
      </c>
      <c r="U56" s="45">
        <f t="shared" si="10"/>
        <v>4.2023692829791674E-2</v>
      </c>
      <c r="V56" s="45">
        <f t="shared" si="10"/>
        <v>0.14395524870386037</v>
      </c>
      <c r="W56" s="45">
        <f t="shared" si="10"/>
        <v>0.13489530813799488</v>
      </c>
      <c r="X56" s="45">
        <f t="shared" si="11"/>
        <v>0.12951432160226997</v>
      </c>
      <c r="Y56" s="45">
        <f t="shared" si="11"/>
        <v>0</v>
      </c>
      <c r="Z56" s="45">
        <f t="shared" si="11"/>
        <v>0.22818671660078291</v>
      </c>
      <c r="AA56" s="45">
        <f t="shared" si="11"/>
        <v>0.1274396495963333</v>
      </c>
      <c r="AB56" s="45">
        <f t="shared" si="11"/>
        <v>0.22360137118087686</v>
      </c>
      <c r="AC56" s="45">
        <f t="shared" si="11"/>
        <v>0.20520372729574793</v>
      </c>
      <c r="AD56" s="45">
        <f t="shared" si="11"/>
        <v>0.38474595304727743</v>
      </c>
      <c r="AE56" s="45">
        <f t="shared" si="11"/>
        <v>0.81702296316781586</v>
      </c>
    </row>
    <row r="57" spans="1:31" ht="16" customHeight="1" thickTop="1" x14ac:dyDescent="0.2">
      <c r="A57" s="54" t="s">
        <v>31</v>
      </c>
      <c r="B57" s="22" t="s">
        <v>43</v>
      </c>
      <c r="C57" s="14">
        <f>+SAM!G2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50"/>
      <c r="B58" s="22" t="s">
        <v>44</v>
      </c>
      <c r="C58" s="14">
        <f>+SAM!G3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50"/>
      <c r="B59" s="22" t="s">
        <v>45</v>
      </c>
      <c r="C59" s="14">
        <f>+SAM!G4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50"/>
      <c r="B60" s="22" t="s">
        <v>46</v>
      </c>
      <c r="C60" s="14">
        <f>+SAM!G5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50"/>
      <c r="B61" s="22" t="s">
        <v>47</v>
      </c>
      <c r="C61" s="14">
        <f>+SAM!G6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50"/>
      <c r="B62" s="22" t="s">
        <v>48</v>
      </c>
      <c r="C62" s="14">
        <f>+SAM!G7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50"/>
      <c r="B63" s="22" t="s">
        <v>49</v>
      </c>
      <c r="C63" s="14">
        <f>+SAM!G8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50"/>
      <c r="B64" s="22" t="s">
        <v>50</v>
      </c>
      <c r="C64" s="23">
        <f>+SAM!G9</f>
        <v>3.0000000000000001E-3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3.7177646702744429E-5</v>
      </c>
      <c r="H64" s="44">
        <f t="shared" si="12"/>
        <v>7.18842451177927E-5</v>
      </c>
      <c r="I64" s="44">
        <f t="shared" si="12"/>
        <v>1.0415064562544274E-4</v>
      </c>
      <c r="J64" s="44">
        <f t="shared" si="12"/>
        <v>1.340307605657917E-4</v>
      </c>
      <c r="K64" s="44">
        <f t="shared" si="12"/>
        <v>1.9448187170782662E-4</v>
      </c>
      <c r="L64" s="44">
        <f t="shared" si="12"/>
        <v>2.6152436271189211E-4</v>
      </c>
      <c r="M64" s="44">
        <f t="shared" si="12"/>
        <v>3.4706149192274219E-4</v>
      </c>
      <c r="N64" s="44">
        <f t="shared" si="13"/>
        <v>4.7778388068837028E-4</v>
      </c>
      <c r="O64" s="44">
        <f t="shared" si="13"/>
        <v>7.0731773052763324E-4</v>
      </c>
      <c r="P64" s="44">
        <f t="shared" si="13"/>
        <v>1.1168843584272127E-3</v>
      </c>
      <c r="Q64" s="44">
        <f t="shared" si="13"/>
        <v>1.7525942983668259E-3</v>
      </c>
      <c r="R64" s="44">
        <f t="shared" si="13"/>
        <v>2.5008064870755699E-3</v>
      </c>
      <c r="S64" s="44">
        <f t="shared" si="13"/>
        <v>3.1347363624726087E-3</v>
      </c>
      <c r="T64" s="44">
        <f t="shared" si="13"/>
        <v>3.5493707065971688E-3</v>
      </c>
      <c r="U64" s="44">
        <f t="shared" si="13"/>
        <v>3.7921536856083331E-3</v>
      </c>
      <c r="V64" s="44">
        <f t="shared" si="13"/>
        <v>3.9412645937594425E-3</v>
      </c>
      <c r="W64" s="44">
        <f t="shared" si="13"/>
        <v>4.047281084194305E-3</v>
      </c>
      <c r="X64" s="44">
        <f t="shared" si="14"/>
        <v>4.1355001236468847E-3</v>
      </c>
      <c r="Y64" s="44">
        <f t="shared" si="14"/>
        <v>4.2173657838804725E-3</v>
      </c>
      <c r="Z64" s="44">
        <f t="shared" si="14"/>
        <v>4.2736200669554521E-3</v>
      </c>
      <c r="AA64" s="44">
        <f t="shared" si="14"/>
        <v>4.3264113681931622E-3</v>
      </c>
      <c r="AB64" s="44">
        <f t="shared" si="14"/>
        <v>4.3817554485481381E-3</v>
      </c>
      <c r="AC64" s="44">
        <f t="shared" si="14"/>
        <v>4.4397650283610835E-3</v>
      </c>
      <c r="AD64" s="44">
        <f t="shared" si="14"/>
        <v>4.5005560408488332E-3</v>
      </c>
      <c r="AE64" s="44">
        <f t="shared" si="14"/>
        <v>4.5642468923020769E-3</v>
      </c>
    </row>
    <row r="65" spans="1:31" x14ac:dyDescent="0.2">
      <c r="A65" s="50"/>
      <c r="B65" s="22" t="s">
        <v>51</v>
      </c>
      <c r="C65" s="14">
        <f>+SAM!G10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50"/>
      <c r="B66" s="22" t="s">
        <v>52</v>
      </c>
      <c r="C66" s="14">
        <f>+SAM!G11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50"/>
      <c r="B67" s="22" t="s">
        <v>53</v>
      </c>
      <c r="C67" s="14">
        <f>+SAM!G12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50"/>
      <c r="B68" s="22" t="s">
        <v>54</v>
      </c>
      <c r="C68" s="14">
        <f>+SAM!G13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50"/>
      <c r="B69" s="22" t="s">
        <v>55</v>
      </c>
      <c r="C69" s="14">
        <f>+SAM!G14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50"/>
      <c r="B70" s="22" t="s">
        <v>56</v>
      </c>
      <c r="C70" s="14">
        <f>+SAM!G15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50"/>
      <c r="B71" s="22" t="s">
        <v>57</v>
      </c>
      <c r="C71" s="23">
        <f>+SAM!G16</f>
        <v>1.4999999999999999E-2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1.8588823351372213E-4</v>
      </c>
      <c r="H71" s="44">
        <f t="shared" si="15"/>
        <v>3.5942122558896343E-4</v>
      </c>
      <c r="I71" s="44">
        <f t="shared" si="15"/>
        <v>5.2075322812721362E-4</v>
      </c>
      <c r="J71" s="44">
        <f t="shared" si="15"/>
        <v>6.7015380282895842E-4</v>
      </c>
      <c r="K71" s="44">
        <f t="shared" si="15"/>
        <v>9.724093585391331E-4</v>
      </c>
      <c r="L71" s="44">
        <f t="shared" si="15"/>
        <v>1.3076218135594604E-3</v>
      </c>
      <c r="M71" s="44">
        <f t="shared" si="15"/>
        <v>1.735307459613711E-3</v>
      </c>
      <c r="N71" s="44">
        <f t="shared" si="16"/>
        <v>2.3889194034418513E-3</v>
      </c>
      <c r="O71" s="44">
        <f t="shared" si="16"/>
        <v>3.536588652638166E-3</v>
      </c>
      <c r="P71" s="44">
        <f t="shared" si="16"/>
        <v>5.5844217921360625E-3</v>
      </c>
      <c r="Q71" s="44">
        <f t="shared" si="16"/>
        <v>8.7629714918341286E-3</v>
      </c>
      <c r="R71" s="44">
        <f t="shared" si="16"/>
        <v>1.2504032435377848E-2</v>
      </c>
      <c r="S71" s="44">
        <f t="shared" si="16"/>
        <v>1.5673681812363043E-2</v>
      </c>
      <c r="T71" s="44">
        <f t="shared" si="16"/>
        <v>1.7746853532985843E-2</v>
      </c>
      <c r="U71" s="44">
        <f t="shared" si="16"/>
        <v>1.8960768428041664E-2</v>
      </c>
      <c r="V71" s="44">
        <f t="shared" si="16"/>
        <v>1.9706322968797214E-2</v>
      </c>
      <c r="W71" s="44">
        <f t="shared" si="16"/>
        <v>2.0236405420971524E-2</v>
      </c>
      <c r="X71" s="44">
        <f t="shared" si="17"/>
        <v>2.067750061823442E-2</v>
      </c>
      <c r="Y71" s="44">
        <f t="shared" si="17"/>
        <v>2.1086828919402358E-2</v>
      </c>
      <c r="Z71" s="44">
        <f t="shared" si="17"/>
        <v>2.1368100334777259E-2</v>
      </c>
      <c r="AA71" s="44">
        <f t="shared" si="17"/>
        <v>2.1632056840965808E-2</v>
      </c>
      <c r="AB71" s="44">
        <f t="shared" si="17"/>
        <v>2.1908777242740689E-2</v>
      </c>
      <c r="AC71" s="44">
        <f t="shared" si="17"/>
        <v>2.2198825141805417E-2</v>
      </c>
      <c r="AD71" s="44">
        <f t="shared" si="17"/>
        <v>2.2502780204244163E-2</v>
      </c>
      <c r="AE71" s="44">
        <f t="shared" si="17"/>
        <v>2.2821234461510385E-2</v>
      </c>
    </row>
    <row r="72" spans="1:31" x14ac:dyDescent="0.2">
      <c r="A72" s="50"/>
      <c r="B72" s="22" t="s">
        <v>58</v>
      </c>
      <c r="C72" s="23">
        <f>+SAM!G17</f>
        <v>5.000000000000001E-3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6.1962744504574053E-5</v>
      </c>
      <c r="H72" s="44">
        <f t="shared" si="15"/>
        <v>1.1980707519632117E-4</v>
      </c>
      <c r="I72" s="44">
        <f t="shared" si="15"/>
        <v>1.7358440937573791E-4</v>
      </c>
      <c r="J72" s="44">
        <f t="shared" si="15"/>
        <v>2.2338460094298618E-4</v>
      </c>
      <c r="K72" s="44">
        <f t="shared" si="15"/>
        <v>3.2413645284637773E-4</v>
      </c>
      <c r="L72" s="44">
        <f t="shared" si="15"/>
        <v>4.3587393785315357E-4</v>
      </c>
      <c r="M72" s="44">
        <f t="shared" si="15"/>
        <v>5.7843581987123706E-4</v>
      </c>
      <c r="N72" s="44">
        <f t="shared" si="16"/>
        <v>7.9630646781395065E-4</v>
      </c>
      <c r="O72" s="44">
        <f t="shared" si="16"/>
        <v>1.1788628842127223E-3</v>
      </c>
      <c r="P72" s="44">
        <f t="shared" si="16"/>
        <v>1.8614739307120213E-3</v>
      </c>
      <c r="Q72" s="44">
        <f t="shared" si="16"/>
        <v>2.9209904972780439E-3</v>
      </c>
      <c r="R72" s="44">
        <f t="shared" si="16"/>
        <v>4.1680108117926173E-3</v>
      </c>
      <c r="S72" s="44">
        <f t="shared" si="16"/>
        <v>5.2245606041210159E-3</v>
      </c>
      <c r="T72" s="44">
        <f t="shared" si="16"/>
        <v>5.9156178443286155E-3</v>
      </c>
      <c r="U72" s="44">
        <f t="shared" si="16"/>
        <v>6.3202561426805564E-3</v>
      </c>
      <c r="V72" s="44">
        <f t="shared" si="16"/>
        <v>6.568774322932406E-3</v>
      </c>
      <c r="W72" s="44">
        <f t="shared" si="16"/>
        <v>6.7454684736571761E-3</v>
      </c>
      <c r="X72" s="44">
        <f t="shared" si="17"/>
        <v>6.8925002060781417E-3</v>
      </c>
      <c r="Y72" s="44">
        <f t="shared" si="17"/>
        <v>7.0289429731341217E-3</v>
      </c>
      <c r="Z72" s="44">
        <f t="shared" si="17"/>
        <v>7.122700111592422E-3</v>
      </c>
      <c r="AA72" s="44">
        <f t="shared" si="17"/>
        <v>7.2106856136552712E-3</v>
      </c>
      <c r="AB72" s="44">
        <f t="shared" si="17"/>
        <v>7.3029257475802313E-3</v>
      </c>
      <c r="AC72" s="44">
        <f t="shared" si="17"/>
        <v>7.3996083806018064E-3</v>
      </c>
      <c r="AD72" s="44">
        <f t="shared" si="17"/>
        <v>7.5009267347480564E-3</v>
      </c>
      <c r="AE72" s="44">
        <f t="shared" si="17"/>
        <v>7.6070781538367964E-3</v>
      </c>
    </row>
    <row r="73" spans="1:31" x14ac:dyDescent="0.2">
      <c r="A73" s="50"/>
      <c r="B73" s="22" t="s">
        <v>59</v>
      </c>
      <c r="C73" s="14">
        <f>+SAM!G18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50"/>
      <c r="B74" s="22" t="s">
        <v>60</v>
      </c>
      <c r="C74" s="14">
        <f>+SAM!G19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50"/>
      <c r="B75" s="22" t="s">
        <v>61</v>
      </c>
      <c r="C75" s="14">
        <f>+SAM!G20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50"/>
      <c r="B76" s="22" t="s">
        <v>62</v>
      </c>
      <c r="C76" s="14">
        <f>+SAM!G21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50"/>
      <c r="B77" s="22" t="s">
        <v>63</v>
      </c>
      <c r="C77" s="14">
        <f>+SAM!G22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50"/>
      <c r="B78" s="22" t="s">
        <v>64</v>
      </c>
      <c r="C78" s="14">
        <f>+SAM!G23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50"/>
      <c r="B79" s="22" t="s">
        <v>65</v>
      </c>
      <c r="C79" s="14">
        <f>+SAM!G24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50"/>
      <c r="B80" s="22" t="s">
        <v>66</v>
      </c>
      <c r="C80" s="14">
        <f>+SAM!G25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50"/>
      <c r="B81" s="22" t="s">
        <v>67</v>
      </c>
      <c r="C81" s="14">
        <f>+SAM!G26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50"/>
      <c r="B82" s="22" t="s">
        <v>68</v>
      </c>
      <c r="C82" s="14">
        <f>+SAM!G27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50"/>
      <c r="B83" s="22" t="s">
        <v>69</v>
      </c>
      <c r="C83" s="14">
        <f>+SAM!G28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50"/>
      <c r="B84" s="22" t="s">
        <v>70</v>
      </c>
      <c r="C84" s="14">
        <f>+SAM!G29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50"/>
      <c r="B85" s="22" t="s">
        <v>71</v>
      </c>
      <c r="C85" s="23">
        <f>+SAM!G30</f>
        <v>2.5000000000000001E-2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3.0981372252287024E-4</v>
      </c>
      <c r="H85" s="44">
        <f t="shared" si="18"/>
        <v>5.9903537598160581E-4</v>
      </c>
      <c r="I85" s="44">
        <f t="shared" si="18"/>
        <v>8.6792204687868944E-4</v>
      </c>
      <c r="J85" s="44">
        <f t="shared" si="18"/>
        <v>1.1169230047149308E-3</v>
      </c>
      <c r="K85" s="44">
        <f t="shared" si="18"/>
        <v>1.6206822642318886E-3</v>
      </c>
      <c r="L85" s="44">
        <f t="shared" si="18"/>
        <v>2.1793696892657677E-3</v>
      </c>
      <c r="M85" s="44">
        <f t="shared" si="18"/>
        <v>2.8921790993561851E-3</v>
      </c>
      <c r="N85" s="44">
        <f t="shared" si="19"/>
        <v>3.9815323390697526E-3</v>
      </c>
      <c r="O85" s="44">
        <f t="shared" si="19"/>
        <v>5.8943144210636105E-3</v>
      </c>
      <c r="P85" s="44">
        <f t="shared" si="19"/>
        <v>9.3073696535601047E-3</v>
      </c>
      <c r="Q85" s="44">
        <f t="shared" si="19"/>
        <v>1.4604952486390217E-2</v>
      </c>
      <c r="R85" s="44">
        <f t="shared" si="19"/>
        <v>2.0840054058963081E-2</v>
      </c>
      <c r="S85" s="44">
        <f t="shared" si="19"/>
        <v>2.6122803020605073E-2</v>
      </c>
      <c r="T85" s="44">
        <f t="shared" si="19"/>
        <v>2.9578089221643074E-2</v>
      </c>
      <c r="U85" s="44">
        <f t="shared" si="19"/>
        <v>3.1601280713402777E-2</v>
      </c>
      <c r="V85" s="44">
        <f t="shared" si="19"/>
        <v>3.2843871614662026E-2</v>
      </c>
      <c r="W85" s="44">
        <f t="shared" si="19"/>
        <v>3.3727342368285874E-2</v>
      </c>
      <c r="X85" s="44">
        <f t="shared" si="20"/>
        <v>3.4462501030390703E-2</v>
      </c>
      <c r="Y85" s="44">
        <f t="shared" si="20"/>
        <v>3.5144714865670605E-2</v>
      </c>
      <c r="Z85" s="44">
        <f t="shared" si="20"/>
        <v>3.5613500557962106E-2</v>
      </c>
      <c r="AA85" s="44">
        <f t="shared" si="20"/>
        <v>3.6053428068276348E-2</v>
      </c>
      <c r="AB85" s="44">
        <f t="shared" si="20"/>
        <v>3.651462873790115E-2</v>
      </c>
      <c r="AC85" s="44">
        <f t="shared" si="20"/>
        <v>3.6998041903009031E-2</v>
      </c>
      <c r="AD85" s="44">
        <f t="shared" si="20"/>
        <v>3.7504633673740274E-2</v>
      </c>
      <c r="AE85" s="44">
        <f t="shared" si="20"/>
        <v>3.8035390769183976E-2</v>
      </c>
    </row>
    <row r="86" spans="1:31" x14ac:dyDescent="0.2">
      <c r="A86" s="50"/>
      <c r="B86" s="22" t="s">
        <v>72</v>
      </c>
      <c r="C86" s="14">
        <f>+SAM!G31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50"/>
      <c r="B87" s="22" t="s">
        <v>73</v>
      </c>
      <c r="C87" s="14">
        <f>+SAM!G32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50"/>
      <c r="B88" s="22" t="s">
        <v>74</v>
      </c>
      <c r="C88" s="14">
        <f>+SAM!G33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50"/>
      <c r="B89" s="22" t="s">
        <v>75</v>
      </c>
      <c r="C89" s="14">
        <f>+SAM!G34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50"/>
      <c r="B90" s="22" t="s">
        <v>76</v>
      </c>
      <c r="C90" s="14">
        <f>+SAM!G35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50"/>
      <c r="B91" s="22" t="s">
        <v>77</v>
      </c>
      <c r="C91" s="14">
        <f>+SAM!G36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50"/>
      <c r="B92" s="22" t="s">
        <v>78</v>
      </c>
      <c r="C92" s="23">
        <f>+SAM!G37</f>
        <v>7.000000000000001E-3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8.6747842306403677E-5</v>
      </c>
      <c r="H92" s="44">
        <f t="shared" si="21"/>
        <v>1.6772990527484964E-4</v>
      </c>
      <c r="I92" s="44">
        <f t="shared" si="21"/>
        <v>2.4301817312603308E-4</v>
      </c>
      <c r="J92" s="44">
        <f t="shared" si="21"/>
        <v>3.1273844132018066E-4</v>
      </c>
      <c r="K92" s="44">
        <f t="shared" si="21"/>
        <v>4.5379103398492885E-4</v>
      </c>
      <c r="L92" s="44">
        <f t="shared" si="21"/>
        <v>6.1022351299441497E-4</v>
      </c>
      <c r="M92" s="44">
        <f t="shared" si="21"/>
        <v>8.0981014781973193E-4</v>
      </c>
      <c r="N92" s="44">
        <f t="shared" si="22"/>
        <v>1.1148290549395307E-3</v>
      </c>
      <c r="O92" s="44">
        <f t="shared" si="22"/>
        <v>1.6504080378978111E-3</v>
      </c>
      <c r="P92" s="44">
        <f t="shared" si="22"/>
        <v>2.6060635029968296E-3</v>
      </c>
      <c r="Q92" s="44">
        <f t="shared" si="22"/>
        <v>4.0893866961892612E-3</v>
      </c>
      <c r="R92" s="44">
        <f t="shared" si="22"/>
        <v>5.8352151365096633E-3</v>
      </c>
      <c r="S92" s="44">
        <f t="shared" si="22"/>
        <v>7.3143848457694217E-3</v>
      </c>
      <c r="T92" s="44">
        <f t="shared" si="22"/>
        <v>8.2818649820600616E-3</v>
      </c>
      <c r="U92" s="44">
        <f t="shared" si="22"/>
        <v>8.8483585997527776E-3</v>
      </c>
      <c r="V92" s="44">
        <f t="shared" si="22"/>
        <v>9.1962840521053676E-3</v>
      </c>
      <c r="W92" s="44">
        <f t="shared" si="22"/>
        <v>9.4436558631200464E-3</v>
      </c>
      <c r="X92" s="44">
        <f t="shared" si="23"/>
        <v>9.6495002885093988E-3</v>
      </c>
      <c r="Y92" s="44">
        <f t="shared" si="23"/>
        <v>9.8405201623877701E-3</v>
      </c>
      <c r="Z92" s="44">
        <f t="shared" si="23"/>
        <v>9.9717801562293901E-3</v>
      </c>
      <c r="AA92" s="44">
        <f t="shared" si="23"/>
        <v>1.009495985911738E-2</v>
      </c>
      <c r="AB92" s="44">
        <f t="shared" si="23"/>
        <v>1.0224096046612324E-2</v>
      </c>
      <c r="AC92" s="44">
        <f t="shared" si="23"/>
        <v>1.0359451732842528E-2</v>
      </c>
      <c r="AD92" s="44">
        <f t="shared" si="23"/>
        <v>1.0501297428647277E-2</v>
      </c>
      <c r="AE92" s="44">
        <f t="shared" si="23"/>
        <v>1.0649909415371514E-2</v>
      </c>
    </row>
    <row r="93" spans="1:31" x14ac:dyDescent="0.2">
      <c r="A93" s="50"/>
      <c r="B93" s="22" t="s">
        <v>79</v>
      </c>
      <c r="C93" s="14">
        <f>+SAM!G38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50"/>
      <c r="B94" s="22" t="s">
        <v>80</v>
      </c>
      <c r="C94" s="14">
        <f>+SAM!G39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50"/>
      <c r="B95" s="22" t="s">
        <v>81</v>
      </c>
      <c r="C95" s="14">
        <f>+SAM!G40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51"/>
      <c r="B96" s="32" t="s">
        <v>82</v>
      </c>
      <c r="C96" s="34">
        <f>+SAM!G41</f>
        <v>4.5000000000000005E-2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5.5766470054116645E-4</v>
      </c>
      <c r="H96" s="45">
        <f t="shared" si="21"/>
        <v>1.0782636767668905E-3</v>
      </c>
      <c r="I96" s="45">
        <f t="shared" si="21"/>
        <v>1.5622596843816411E-3</v>
      </c>
      <c r="J96" s="45">
        <f t="shared" si="21"/>
        <v>2.0104614084868757E-3</v>
      </c>
      <c r="K96" s="45">
        <f t="shared" si="21"/>
        <v>2.9172280756173995E-3</v>
      </c>
      <c r="L96" s="45">
        <f t="shared" si="21"/>
        <v>3.922865440678382E-3</v>
      </c>
      <c r="M96" s="45">
        <f t="shared" si="21"/>
        <v>5.2059223788411338E-3</v>
      </c>
      <c r="N96" s="45">
        <f t="shared" si="22"/>
        <v>7.1667582103255552E-3</v>
      </c>
      <c r="O96" s="45">
        <f t="shared" si="22"/>
        <v>1.06097659579145E-2</v>
      </c>
      <c r="P96" s="45">
        <f t="shared" si="22"/>
        <v>1.6753265376408189E-2</v>
      </c>
      <c r="Q96" s="45">
        <f t="shared" si="22"/>
        <v>2.6288914475502391E-2</v>
      </c>
      <c r="R96" s="45">
        <f t="shared" si="22"/>
        <v>3.751209730613355E-2</v>
      </c>
      <c r="S96" s="45">
        <f t="shared" si="22"/>
        <v>4.702104543708914E-2</v>
      </c>
      <c r="T96" s="45">
        <f t="shared" si="22"/>
        <v>5.3240560598957536E-2</v>
      </c>
      <c r="U96" s="45">
        <f t="shared" si="22"/>
        <v>5.6882305284125002E-2</v>
      </c>
      <c r="V96" s="45">
        <f t="shared" si="22"/>
        <v>5.911896890639165E-2</v>
      </c>
      <c r="W96" s="45">
        <f t="shared" si="22"/>
        <v>6.0709216262914575E-2</v>
      </c>
      <c r="X96" s="45">
        <f t="shared" si="23"/>
        <v>6.203250185470327E-2</v>
      </c>
      <c r="Y96" s="45">
        <f t="shared" si="23"/>
        <v>6.3260486758207085E-2</v>
      </c>
      <c r="Z96" s="45">
        <f t="shared" si="23"/>
        <v>6.4104301004331787E-2</v>
      </c>
      <c r="AA96" s="45">
        <f t="shared" si="23"/>
        <v>6.4896170522897437E-2</v>
      </c>
      <c r="AB96" s="45">
        <f t="shared" si="23"/>
        <v>6.5726331728222079E-2</v>
      </c>
      <c r="AC96" s="45">
        <f t="shared" si="23"/>
        <v>6.659647542541626E-2</v>
      </c>
      <c r="AD96" s="45">
        <f t="shared" si="23"/>
        <v>6.7508340612732504E-2</v>
      </c>
      <c r="AE96" s="45">
        <f t="shared" si="23"/>
        <v>6.8463703384531158E-2</v>
      </c>
    </row>
    <row r="97" spans="1:31" ht="16" customHeight="1" thickTop="1" x14ac:dyDescent="0.2">
      <c r="A97" s="54" t="s">
        <v>32</v>
      </c>
      <c r="B97" s="22" t="s">
        <v>43</v>
      </c>
      <c r="C97" s="14">
        <f>+SAM!K2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50"/>
      <c r="B98" s="22" t="s">
        <v>44</v>
      </c>
      <c r="C98" s="14">
        <f>+SAM!K3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50"/>
      <c r="B99" s="22" t="s">
        <v>45</v>
      </c>
      <c r="C99" s="14">
        <f>+SAM!K4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50"/>
      <c r="B100" s="22" t="s">
        <v>46</v>
      </c>
      <c r="C100" s="14">
        <f>+SAM!K5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50"/>
      <c r="B101" s="22" t="s">
        <v>47</v>
      </c>
      <c r="C101" s="14">
        <f>+SAM!K6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50"/>
      <c r="B102" s="22" t="s">
        <v>48</v>
      </c>
      <c r="C102" s="14">
        <f>+SAM!K7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50"/>
      <c r="B103" s="22" t="s">
        <v>49</v>
      </c>
      <c r="C103" s="14">
        <f>+SAM!K8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50"/>
      <c r="B104" s="22" t="s">
        <v>50</v>
      </c>
      <c r="C104" s="23">
        <f>+SAM!K9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50"/>
      <c r="B105" s="22" t="s">
        <v>51</v>
      </c>
      <c r="C105" s="14">
        <f>+SAM!K10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50"/>
      <c r="B106" s="22" t="s">
        <v>52</v>
      </c>
      <c r="C106" s="14">
        <f>+SAM!K11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50"/>
      <c r="B107" s="22" t="s">
        <v>53</v>
      </c>
      <c r="C107" s="14">
        <f>+SAM!K12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50"/>
      <c r="B108" s="22" t="s">
        <v>54</v>
      </c>
      <c r="C108" s="14">
        <f>+SAM!K13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50"/>
      <c r="B109" s="22" t="s">
        <v>55</v>
      </c>
      <c r="C109" s="14">
        <f>+SAM!K14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50"/>
      <c r="B110" s="22" t="s">
        <v>56</v>
      </c>
      <c r="C110" s="14">
        <f>+SAM!K15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50"/>
      <c r="B111" s="22" t="s">
        <v>57</v>
      </c>
      <c r="C111" s="23">
        <f>+SAM!K16</f>
        <v>4.0000000000000001E-3</v>
      </c>
      <c r="D111" s="44">
        <f t="shared" si="27"/>
        <v>0</v>
      </c>
      <c r="E111" s="44">
        <f t="shared" si="27"/>
        <v>0</v>
      </c>
      <c r="F111" s="44">
        <f t="shared" si="27"/>
        <v>2.8541912419075882E-6</v>
      </c>
      <c r="G111" s="44">
        <f t="shared" si="27"/>
        <v>1.3935544521255047E-5</v>
      </c>
      <c r="H111" s="44">
        <f t="shared" si="27"/>
        <v>2.5663755745123361E-5</v>
      </c>
      <c r="I111" s="44">
        <f t="shared" si="27"/>
        <v>3.8060992401060131E-5</v>
      </c>
      <c r="J111" s="44">
        <f t="shared" si="27"/>
        <v>5.1180322964762086E-5</v>
      </c>
      <c r="K111" s="44">
        <f t="shared" si="27"/>
        <v>6.5013061966342968E-5</v>
      </c>
      <c r="L111" s="44">
        <f t="shared" si="27"/>
        <v>7.9571070632017516E-5</v>
      </c>
      <c r="M111" s="44">
        <f t="shared" si="27"/>
        <v>9.486472267966316E-5</v>
      </c>
      <c r="N111" s="44">
        <f t="shared" si="28"/>
        <v>4.2411233469228559E-4</v>
      </c>
      <c r="O111" s="44">
        <f t="shared" si="28"/>
        <v>7.1749722099041357E-4</v>
      </c>
      <c r="P111" s="44">
        <f t="shared" si="28"/>
        <v>9.7892284214457013E-4</v>
      </c>
      <c r="Q111" s="44">
        <f t="shared" si="28"/>
        <v>1.211955602541103E-3</v>
      </c>
      <c r="R111" s="44">
        <f t="shared" si="28"/>
        <v>1.4198453588538504E-3</v>
      </c>
      <c r="S111" s="44">
        <f t="shared" si="28"/>
        <v>1.6055457546764111E-3</v>
      </c>
      <c r="T111" s="44">
        <f t="shared" si="28"/>
        <v>1.7717323789858887E-3</v>
      </c>
      <c r="U111" s="44">
        <f t="shared" si="28"/>
        <v>1.9208210890533275E-3</v>
      </c>
      <c r="V111" s="44">
        <f t="shared" si="28"/>
        <v>2.055992459538851E-3</v>
      </c>
      <c r="W111" s="44">
        <f t="shared" si="28"/>
        <v>2.1793694763945757E-3</v>
      </c>
      <c r="X111" s="44">
        <f t="shared" si="29"/>
        <v>2.29283216541059E-3</v>
      </c>
      <c r="Y111" s="44">
        <f t="shared" si="29"/>
        <v>2.39803846041683E-3</v>
      </c>
      <c r="Z111" s="44">
        <f t="shared" si="29"/>
        <v>2.4964456161181247E-3</v>
      </c>
      <c r="AA111" s="44">
        <f t="shared" si="29"/>
        <v>2.5893286595701942E-3</v>
      </c>
      <c r="AB111" s="44">
        <f t="shared" si="29"/>
        <v>2.6778017857847477E-3</v>
      </c>
      <c r="AC111" s="44">
        <f t="shared" si="29"/>
        <v>2.7628262519025998E-3</v>
      </c>
      <c r="AD111" s="44">
        <f t="shared" si="29"/>
        <v>2.8452262226069578E-3</v>
      </c>
      <c r="AE111" s="44">
        <f t="shared" si="29"/>
        <v>2.9257019517575796E-3</v>
      </c>
    </row>
    <row r="112" spans="1:31" x14ac:dyDescent="0.2">
      <c r="A112" s="50"/>
      <c r="B112" s="22" t="s">
        <v>58</v>
      </c>
      <c r="C112" s="23">
        <f>+SAM!K17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50"/>
      <c r="B113" s="22" t="s">
        <v>59</v>
      </c>
      <c r="C113" s="14">
        <f>+SAM!K18</f>
        <v>7.4999999999999997E-3</v>
      </c>
      <c r="D113" s="44">
        <f t="shared" si="27"/>
        <v>0</v>
      </c>
      <c r="E113" s="44">
        <f t="shared" si="27"/>
        <v>0</v>
      </c>
      <c r="F113" s="44">
        <f t="shared" si="27"/>
        <v>5.3516085785767271E-6</v>
      </c>
      <c r="G113" s="44">
        <f t="shared" si="27"/>
        <v>2.6129145977353212E-5</v>
      </c>
      <c r="H113" s="44">
        <f t="shared" si="27"/>
        <v>4.8119542022106293E-5</v>
      </c>
      <c r="I113" s="44">
        <f t="shared" si="27"/>
        <v>7.1364360751987747E-5</v>
      </c>
      <c r="J113" s="44">
        <f t="shared" si="27"/>
        <v>9.5963105558928896E-5</v>
      </c>
      <c r="K113" s="44">
        <f t="shared" si="27"/>
        <v>1.2189949118689305E-4</v>
      </c>
      <c r="L113" s="44">
        <f t="shared" si="27"/>
        <v>1.4919575743503282E-4</v>
      </c>
      <c r="M113" s="44">
        <f t="shared" si="27"/>
        <v>1.778713550243684E-4</v>
      </c>
      <c r="N113" s="44">
        <f t="shared" si="28"/>
        <v>7.9521062754803543E-4</v>
      </c>
      <c r="O113" s="44">
        <f t="shared" si="28"/>
        <v>1.3453072893570253E-3</v>
      </c>
      <c r="P113" s="44">
        <f t="shared" si="28"/>
        <v>1.8354803290210686E-3</v>
      </c>
      <c r="Q113" s="44">
        <f t="shared" si="28"/>
        <v>2.2724167547645679E-3</v>
      </c>
      <c r="R113" s="44">
        <f t="shared" si="28"/>
        <v>2.6622100478509696E-3</v>
      </c>
      <c r="S113" s="44">
        <f t="shared" si="28"/>
        <v>3.0103982900182708E-3</v>
      </c>
      <c r="T113" s="44">
        <f t="shared" si="28"/>
        <v>3.3219982105985413E-3</v>
      </c>
      <c r="U113" s="44">
        <f t="shared" si="28"/>
        <v>3.6015395419749887E-3</v>
      </c>
      <c r="V113" s="44">
        <f t="shared" si="28"/>
        <v>3.8549858616353451E-3</v>
      </c>
      <c r="W113" s="44">
        <f t="shared" si="28"/>
        <v>4.0863177682398293E-3</v>
      </c>
      <c r="X113" s="44">
        <f t="shared" si="29"/>
        <v>4.2990603101448555E-3</v>
      </c>
      <c r="Y113" s="44">
        <f t="shared" si="29"/>
        <v>4.4963221132815565E-3</v>
      </c>
      <c r="Z113" s="44">
        <f t="shared" si="29"/>
        <v>4.6808355302214834E-3</v>
      </c>
      <c r="AA113" s="44">
        <f t="shared" si="29"/>
        <v>4.8549912366941134E-3</v>
      </c>
      <c r="AB113" s="44">
        <f t="shared" si="29"/>
        <v>5.0208783483464015E-3</v>
      </c>
      <c r="AC113" s="44">
        <f t="shared" si="29"/>
        <v>5.1802992223173739E-3</v>
      </c>
      <c r="AD113" s="44">
        <f t="shared" si="29"/>
        <v>5.3347991673880456E-3</v>
      </c>
      <c r="AE113" s="44">
        <f t="shared" si="29"/>
        <v>5.485691159545461E-3</v>
      </c>
    </row>
    <row r="114" spans="1:31" x14ac:dyDescent="0.2">
      <c r="A114" s="50"/>
      <c r="B114" s="22" t="s">
        <v>60</v>
      </c>
      <c r="C114" s="14">
        <f>+SAM!K19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50"/>
      <c r="B115" s="22" t="s">
        <v>61</v>
      </c>
      <c r="C115" s="14">
        <f>+SAM!K20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50"/>
      <c r="B116" s="22" t="s">
        <v>62</v>
      </c>
      <c r="C116" s="14">
        <f>+SAM!K21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50"/>
      <c r="B117" s="22" t="s">
        <v>63</v>
      </c>
      <c r="C117" s="14">
        <f>+SAM!K22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50"/>
      <c r="B118" s="22" t="s">
        <v>64</v>
      </c>
      <c r="C118" s="14">
        <f>+SAM!K23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50"/>
      <c r="B119" s="22" t="s">
        <v>65</v>
      </c>
      <c r="C119" s="14">
        <f>+SAM!K24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50"/>
      <c r="B120" s="22" t="s">
        <v>66</v>
      </c>
      <c r="C120" s="14">
        <f>+SAM!K25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50"/>
      <c r="B121" s="22" t="s">
        <v>67</v>
      </c>
      <c r="C121" s="14">
        <f>+SAM!K26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50"/>
      <c r="B122" s="22" t="s">
        <v>68</v>
      </c>
      <c r="C122" s="14">
        <f>+SAM!K27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50"/>
      <c r="B123" s="22" t="s">
        <v>69</v>
      </c>
      <c r="C123" s="14">
        <f>+SAM!K28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50"/>
      <c r="B124" s="22" t="s">
        <v>70</v>
      </c>
      <c r="C124" s="14">
        <f>+SAM!K29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50"/>
      <c r="B125" s="22" t="s">
        <v>71</v>
      </c>
      <c r="C125" s="23">
        <f>+SAM!K30</f>
        <v>3.5000000000000005E-3</v>
      </c>
      <c r="D125" s="44">
        <f t="shared" si="30"/>
        <v>0</v>
      </c>
      <c r="E125" s="44">
        <f t="shared" si="30"/>
        <v>0</v>
      </c>
      <c r="F125" s="44">
        <f t="shared" si="30"/>
        <v>2.4974173366691397E-6</v>
      </c>
      <c r="G125" s="44">
        <f t="shared" si="30"/>
        <v>1.2193601456098168E-5</v>
      </c>
      <c r="H125" s="44">
        <f t="shared" si="30"/>
        <v>2.2455786276982943E-5</v>
      </c>
      <c r="I125" s="44">
        <f t="shared" si="30"/>
        <v>3.3303368350927623E-5</v>
      </c>
      <c r="J125" s="44">
        <f t="shared" si="30"/>
        <v>4.4782782594166831E-5</v>
      </c>
      <c r="K125" s="44">
        <f t="shared" si="30"/>
        <v>5.6886429220550097E-5</v>
      </c>
      <c r="L125" s="44">
        <f t="shared" si="30"/>
        <v>6.9624686803015335E-5</v>
      </c>
      <c r="M125" s="44">
        <f t="shared" si="30"/>
        <v>8.3006632344705269E-5</v>
      </c>
      <c r="N125" s="44">
        <f t="shared" si="31"/>
        <v>3.7109829285574995E-4</v>
      </c>
      <c r="O125" s="44">
        <f t="shared" si="31"/>
        <v>6.2781006836661198E-4</v>
      </c>
      <c r="P125" s="44">
        <f t="shared" si="31"/>
        <v>8.5655748687649895E-4</v>
      </c>
      <c r="Q125" s="44">
        <f t="shared" si="31"/>
        <v>1.0604611522234651E-3</v>
      </c>
      <c r="R125" s="44">
        <f t="shared" si="31"/>
        <v>1.2423646889971193E-3</v>
      </c>
      <c r="S125" s="44">
        <f t="shared" si="31"/>
        <v>1.4048525353418599E-3</v>
      </c>
      <c r="T125" s="44">
        <f t="shared" si="31"/>
        <v>1.550265831612653E-3</v>
      </c>
      <c r="U125" s="44">
        <f t="shared" si="31"/>
        <v>1.6807184529216619E-3</v>
      </c>
      <c r="V125" s="44">
        <f t="shared" si="31"/>
        <v>1.7989934020964948E-3</v>
      </c>
      <c r="W125" s="44">
        <f t="shared" si="31"/>
        <v>1.906948291845254E-3</v>
      </c>
      <c r="X125" s="44">
        <f t="shared" si="32"/>
        <v>2.0062281447342663E-3</v>
      </c>
      <c r="Y125" s="44">
        <f t="shared" si="32"/>
        <v>2.0982836528647265E-3</v>
      </c>
      <c r="Z125" s="44">
        <f t="shared" si="32"/>
        <v>2.1843899141033591E-3</v>
      </c>
      <c r="AA125" s="44">
        <f t="shared" si="32"/>
        <v>2.2656625771239202E-3</v>
      </c>
      <c r="AB125" s="44">
        <f t="shared" si="32"/>
        <v>2.3430765625616543E-3</v>
      </c>
      <c r="AC125" s="44">
        <f t="shared" si="32"/>
        <v>2.4174729704147749E-3</v>
      </c>
      <c r="AD125" s="44">
        <f t="shared" si="32"/>
        <v>2.4895729447810882E-3</v>
      </c>
      <c r="AE125" s="44">
        <f t="shared" si="32"/>
        <v>2.5599892077878823E-3</v>
      </c>
    </row>
    <row r="126" spans="1:31" x14ac:dyDescent="0.2">
      <c r="A126" s="50"/>
      <c r="B126" s="22" t="s">
        <v>72</v>
      </c>
      <c r="C126" s="14">
        <f>+SAM!K31</f>
        <v>5.000000000000001E-3</v>
      </c>
      <c r="D126" s="44">
        <f t="shared" si="30"/>
        <v>0</v>
      </c>
      <c r="E126" s="44">
        <f t="shared" si="30"/>
        <v>0</v>
      </c>
      <c r="F126" s="44">
        <f t="shared" si="30"/>
        <v>3.5677390523844856E-6</v>
      </c>
      <c r="G126" s="44">
        <f t="shared" si="30"/>
        <v>1.7419430651568812E-5</v>
      </c>
      <c r="H126" s="44">
        <f t="shared" si="30"/>
        <v>3.2079694681404207E-5</v>
      </c>
      <c r="I126" s="44">
        <f t="shared" si="30"/>
        <v>4.7576240501325174E-5</v>
      </c>
      <c r="J126" s="44">
        <f t="shared" si="30"/>
        <v>6.3975403705952616E-5</v>
      </c>
      <c r="K126" s="44">
        <f t="shared" si="30"/>
        <v>8.126632745792871E-5</v>
      </c>
      <c r="L126" s="44">
        <f t="shared" si="30"/>
        <v>9.9463838290021918E-5</v>
      </c>
      <c r="M126" s="44">
        <f t="shared" si="30"/>
        <v>1.1858090334957897E-4</v>
      </c>
      <c r="N126" s="44">
        <f t="shared" si="31"/>
        <v>5.3014041836535713E-4</v>
      </c>
      <c r="O126" s="44">
        <f t="shared" si="31"/>
        <v>8.9687152623801718E-4</v>
      </c>
      <c r="P126" s="44">
        <f t="shared" si="31"/>
        <v>1.2236535526807127E-3</v>
      </c>
      <c r="Q126" s="44">
        <f t="shared" si="31"/>
        <v>1.5149445031763789E-3</v>
      </c>
      <c r="R126" s="44">
        <f t="shared" si="31"/>
        <v>1.7748066985673135E-3</v>
      </c>
      <c r="S126" s="44">
        <f t="shared" si="31"/>
        <v>2.0069321933455144E-3</v>
      </c>
      <c r="T126" s="44">
        <f t="shared" si="31"/>
        <v>2.2146654737323613E-3</v>
      </c>
      <c r="U126" s="44">
        <f t="shared" si="31"/>
        <v>2.4010263613166599E-3</v>
      </c>
      <c r="V126" s="44">
        <f t="shared" si="31"/>
        <v>2.5699905744235641E-3</v>
      </c>
      <c r="W126" s="44">
        <f t="shared" si="31"/>
        <v>2.72421184549322E-3</v>
      </c>
      <c r="X126" s="44">
        <f t="shared" si="32"/>
        <v>2.8660402067632379E-3</v>
      </c>
      <c r="Y126" s="44">
        <f t="shared" si="32"/>
        <v>2.9975480755210383E-3</v>
      </c>
      <c r="Z126" s="44">
        <f t="shared" si="32"/>
        <v>3.1205570201476565E-3</v>
      </c>
      <c r="AA126" s="44">
        <f t="shared" si="32"/>
        <v>3.2366608244627434E-3</v>
      </c>
      <c r="AB126" s="44">
        <f t="shared" si="32"/>
        <v>3.3472522322309352E-3</v>
      </c>
      <c r="AC126" s="44">
        <f t="shared" si="32"/>
        <v>3.4535328148782504E-3</v>
      </c>
      <c r="AD126" s="44">
        <f t="shared" si="32"/>
        <v>3.5565327782586978E-3</v>
      </c>
      <c r="AE126" s="44">
        <f t="shared" si="32"/>
        <v>3.657127439696975E-3</v>
      </c>
    </row>
    <row r="127" spans="1:31" x14ac:dyDescent="0.2">
      <c r="A127" s="50"/>
      <c r="B127" s="22" t="s">
        <v>73</v>
      </c>
      <c r="C127" s="14">
        <f>+SAM!K32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50"/>
      <c r="B128" s="22" t="s">
        <v>74</v>
      </c>
      <c r="C128" s="14">
        <f>+SAM!K33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50"/>
      <c r="B129" s="22" t="s">
        <v>75</v>
      </c>
      <c r="C129" s="14">
        <f>+SAM!K34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50"/>
      <c r="B130" s="22" t="s">
        <v>76</v>
      </c>
      <c r="C130" s="14">
        <f>+SAM!K35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50"/>
      <c r="B131" s="22" t="s">
        <v>77</v>
      </c>
      <c r="C131" s="14">
        <f>+SAM!K36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50"/>
      <c r="B132" s="22" t="s">
        <v>78</v>
      </c>
      <c r="C132" s="23">
        <f>+SAM!K37</f>
        <v>2.5000000000000005E-3</v>
      </c>
      <c r="D132" s="44">
        <f t="shared" si="33"/>
        <v>0</v>
      </c>
      <c r="E132" s="44">
        <f t="shared" si="33"/>
        <v>0</v>
      </c>
      <c r="F132" s="44">
        <f t="shared" si="33"/>
        <v>1.7838695261922428E-6</v>
      </c>
      <c r="G132" s="44">
        <f t="shared" si="33"/>
        <v>8.7097153257844061E-6</v>
      </c>
      <c r="H132" s="44">
        <f t="shared" si="33"/>
        <v>1.6039847340702103E-5</v>
      </c>
      <c r="I132" s="44">
        <f t="shared" si="33"/>
        <v>2.3788120250662587E-5</v>
      </c>
      <c r="J132" s="44">
        <f t="shared" si="33"/>
        <v>3.1987701852976308E-5</v>
      </c>
      <c r="K132" s="44">
        <f t="shared" si="33"/>
        <v>4.0633163728964355E-5</v>
      </c>
      <c r="L132" s="44">
        <f t="shared" si="33"/>
        <v>4.9731919145010959E-5</v>
      </c>
      <c r="M132" s="44">
        <f t="shared" si="33"/>
        <v>5.9290451674789485E-5</v>
      </c>
      <c r="N132" s="44">
        <f t="shared" si="34"/>
        <v>2.6507020918267857E-4</v>
      </c>
      <c r="O132" s="44">
        <f t="shared" si="34"/>
        <v>4.4843576311900859E-4</v>
      </c>
      <c r="P132" s="44">
        <f t="shared" si="34"/>
        <v>6.1182677634035636E-4</v>
      </c>
      <c r="Q132" s="44">
        <f t="shared" si="34"/>
        <v>7.5747225158818944E-4</v>
      </c>
      <c r="R132" s="44">
        <f t="shared" si="34"/>
        <v>8.8740334928365673E-4</v>
      </c>
      <c r="S132" s="44">
        <f t="shared" si="34"/>
        <v>1.0034660966727572E-3</v>
      </c>
      <c r="T132" s="44">
        <f t="shared" si="34"/>
        <v>1.1073327368661806E-3</v>
      </c>
      <c r="U132" s="44">
        <f t="shared" si="34"/>
        <v>1.2005131806583299E-3</v>
      </c>
      <c r="V132" s="44">
        <f t="shared" si="34"/>
        <v>1.2849952872117821E-3</v>
      </c>
      <c r="W132" s="44">
        <f t="shared" si="34"/>
        <v>1.36210592274661E-3</v>
      </c>
      <c r="X132" s="44">
        <f t="shared" si="35"/>
        <v>1.4330201033816189E-3</v>
      </c>
      <c r="Y132" s="44">
        <f t="shared" si="35"/>
        <v>1.4987740377605191E-3</v>
      </c>
      <c r="Z132" s="44">
        <f t="shared" si="35"/>
        <v>1.5602785100738282E-3</v>
      </c>
      <c r="AA132" s="44">
        <f t="shared" si="35"/>
        <v>1.6183304122313717E-3</v>
      </c>
      <c r="AB132" s="44">
        <f t="shared" si="35"/>
        <v>1.6736261161154676E-3</v>
      </c>
      <c r="AC132" s="44">
        <f t="shared" si="35"/>
        <v>1.7267664074391252E-3</v>
      </c>
      <c r="AD132" s="44">
        <f t="shared" si="35"/>
        <v>1.7782663891293489E-3</v>
      </c>
      <c r="AE132" s="44">
        <f t="shared" si="35"/>
        <v>1.8285637198484875E-3</v>
      </c>
    </row>
    <row r="133" spans="1:31" x14ac:dyDescent="0.2">
      <c r="A133" s="50"/>
      <c r="B133" s="22" t="s">
        <v>79</v>
      </c>
      <c r="C133" s="14">
        <f>+SAM!K38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50"/>
      <c r="B134" s="22" t="s">
        <v>80</v>
      </c>
      <c r="C134" s="14">
        <f>+SAM!K39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50"/>
      <c r="B135" s="22" t="s">
        <v>81</v>
      </c>
      <c r="C135" s="14">
        <f>+SAM!K40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51"/>
      <c r="B136" s="32" t="s">
        <v>82</v>
      </c>
      <c r="C136" s="34">
        <f>+SAM!K41</f>
        <v>2.7500000000000004E-2</v>
      </c>
      <c r="D136" s="45">
        <f t="shared" si="33"/>
        <v>0</v>
      </c>
      <c r="E136" s="45">
        <f t="shared" si="33"/>
        <v>0</v>
      </c>
      <c r="F136" s="45">
        <f t="shared" si="33"/>
        <v>1.9622564788114669E-5</v>
      </c>
      <c r="G136" s="45">
        <f t="shared" si="33"/>
        <v>9.5806868583628467E-5</v>
      </c>
      <c r="H136" s="45">
        <f t="shared" si="33"/>
        <v>1.7643832074772312E-4</v>
      </c>
      <c r="I136" s="45">
        <f t="shared" si="33"/>
        <v>2.6166932275728842E-4</v>
      </c>
      <c r="J136" s="45">
        <f t="shared" si="33"/>
        <v>3.5186472038273937E-4</v>
      </c>
      <c r="K136" s="45">
        <f t="shared" si="33"/>
        <v>4.4696480101860794E-4</v>
      </c>
      <c r="L136" s="45">
        <f t="shared" si="33"/>
        <v>5.4705111059512052E-4</v>
      </c>
      <c r="M136" s="45">
        <f t="shared" si="33"/>
        <v>6.5219496842268431E-4</v>
      </c>
      <c r="N136" s="45">
        <f t="shared" si="34"/>
        <v>2.915772301009464E-3</v>
      </c>
      <c r="O136" s="45">
        <f t="shared" si="34"/>
        <v>4.9327933943090936E-3</v>
      </c>
      <c r="P136" s="45">
        <f t="shared" si="34"/>
        <v>6.7300945397439195E-3</v>
      </c>
      <c r="Q136" s="45">
        <f t="shared" si="34"/>
        <v>8.3321947674700834E-3</v>
      </c>
      <c r="R136" s="45">
        <f t="shared" si="34"/>
        <v>9.7614368421202226E-3</v>
      </c>
      <c r="S136" s="45">
        <f t="shared" si="34"/>
        <v>1.1038127063400328E-2</v>
      </c>
      <c r="T136" s="45">
        <f t="shared" si="34"/>
        <v>1.2180660105527987E-2</v>
      </c>
      <c r="U136" s="45">
        <f t="shared" si="34"/>
        <v>1.3205644987241628E-2</v>
      </c>
      <c r="V136" s="45">
        <f t="shared" si="34"/>
        <v>1.4134948159329601E-2</v>
      </c>
      <c r="W136" s="45">
        <f t="shared" si="34"/>
        <v>1.498316515021271E-2</v>
      </c>
      <c r="X136" s="45">
        <f t="shared" si="35"/>
        <v>1.5763221137197806E-2</v>
      </c>
      <c r="Y136" s="45">
        <f t="shared" si="35"/>
        <v>1.6486514415365708E-2</v>
      </c>
      <c r="Z136" s="45">
        <f t="shared" si="35"/>
        <v>1.7163063610812108E-2</v>
      </c>
      <c r="AA136" s="45">
        <f t="shared" si="35"/>
        <v>1.7801634534545085E-2</v>
      </c>
      <c r="AB136" s="45">
        <f t="shared" si="35"/>
        <v>1.8409887277270141E-2</v>
      </c>
      <c r="AC136" s="45">
        <f t="shared" si="35"/>
        <v>1.8994430481830374E-2</v>
      </c>
      <c r="AD136" s="45">
        <f t="shared" si="35"/>
        <v>1.9560930280422835E-2</v>
      </c>
      <c r="AE136" s="45">
        <f t="shared" si="35"/>
        <v>2.0114200918333363E-2</v>
      </c>
    </row>
    <row r="137" spans="1:31" ht="16" customHeight="1" thickTop="1" x14ac:dyDescent="0.2">
      <c r="A137" s="54" t="s">
        <v>33</v>
      </c>
      <c r="B137" s="22" t="s">
        <v>43</v>
      </c>
      <c r="C137" s="14">
        <f>+SAM!O2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50"/>
      <c r="B138" s="22" t="s">
        <v>44</v>
      </c>
      <c r="C138" s="14">
        <f>+SAM!O3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50"/>
      <c r="B139" s="22" t="s">
        <v>45</v>
      </c>
      <c r="C139" s="14">
        <f>+SAM!O4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50"/>
      <c r="B140" s="22" t="s">
        <v>46</v>
      </c>
      <c r="C140" s="14">
        <f>+SAM!O5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50"/>
      <c r="B141" s="22" t="s">
        <v>47</v>
      </c>
      <c r="C141" s="14">
        <f>+SAM!O6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50"/>
      <c r="B142" s="22" t="s">
        <v>48</v>
      </c>
      <c r="C142" s="14">
        <f>+SAM!O7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50"/>
      <c r="B143" s="22" t="s">
        <v>49</v>
      </c>
      <c r="C143" s="14">
        <f>+SAM!O8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50"/>
      <c r="B144" s="22" t="s">
        <v>50</v>
      </c>
      <c r="C144" s="14">
        <f>+SAM!O9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50"/>
      <c r="B145" s="22" t="s">
        <v>51</v>
      </c>
      <c r="C145" s="14">
        <f>+SAM!O10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50"/>
      <c r="B146" s="22" t="s">
        <v>52</v>
      </c>
      <c r="C146" s="14">
        <f>+SAM!O11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50"/>
      <c r="B147" s="22" t="s">
        <v>53</v>
      </c>
      <c r="C147" s="14">
        <f>+SAM!O12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50"/>
      <c r="B148" s="22" t="s">
        <v>54</v>
      </c>
      <c r="C148" s="14">
        <f>+SAM!O13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50"/>
      <c r="B149" s="22" t="s">
        <v>55</v>
      </c>
      <c r="C149" s="23">
        <f>+SAM!O14</f>
        <v>6.0000000000000001E-3</v>
      </c>
      <c r="D149" s="44">
        <f t="shared" si="39"/>
        <v>0</v>
      </c>
      <c r="E149" s="44">
        <f t="shared" si="39"/>
        <v>0</v>
      </c>
      <c r="F149" s="44">
        <f t="shared" si="39"/>
        <v>8.9870448765924898E-5</v>
      </c>
      <c r="G149" s="44">
        <f t="shared" si="39"/>
        <v>2.3159458597388501E-4</v>
      </c>
      <c r="H149" s="44">
        <f t="shared" si="39"/>
        <v>3.7110578720219855E-4</v>
      </c>
      <c r="I149" s="44">
        <f t="shared" si="39"/>
        <v>5.263733675261508E-4</v>
      </c>
      <c r="J149" s="44">
        <f t="shared" si="39"/>
        <v>6.7966486895320623E-4</v>
      </c>
      <c r="K149" s="44">
        <f t="shared" si="39"/>
        <v>8.3143013043743828E-4</v>
      </c>
      <c r="L149" s="44">
        <f t="shared" si="39"/>
        <v>9.8218748867595542E-4</v>
      </c>
      <c r="M149" s="44">
        <f t="shared" si="39"/>
        <v>1.1324340862382657E-3</v>
      </c>
      <c r="N149" s="44">
        <f t="shared" si="40"/>
        <v>1.2826537973942335E-3</v>
      </c>
      <c r="O149" s="44">
        <f t="shared" si="40"/>
        <v>1.4332680788499486E-3</v>
      </c>
      <c r="P149" s="44">
        <f t="shared" si="40"/>
        <v>1.5844994368301682E-3</v>
      </c>
      <c r="Q149" s="44">
        <f t="shared" si="40"/>
        <v>1.736233762742345E-3</v>
      </c>
      <c r="R149" s="44">
        <f t="shared" si="40"/>
        <v>1.8880986772397876E-3</v>
      </c>
      <c r="S149" s="44">
        <f t="shared" si="40"/>
        <v>2.0397583513734039E-3</v>
      </c>
      <c r="T149" s="44">
        <f t="shared" si="40"/>
        <v>2.1911038013200188E-3</v>
      </c>
      <c r="U149" s="44">
        <f t="shared" si="40"/>
        <v>2.3422069046882413E-3</v>
      </c>
      <c r="V149" s="44">
        <f t="shared" si="40"/>
        <v>2.4936089052430507E-3</v>
      </c>
      <c r="W149" s="44">
        <f t="shared" si="40"/>
        <v>2.6455008019206105E-3</v>
      </c>
      <c r="X149" s="44">
        <f t="shared" si="41"/>
        <v>2.7980359840508932E-3</v>
      </c>
      <c r="Y149" s="44">
        <f t="shared" si="41"/>
        <v>2.9513238283516798E-3</v>
      </c>
      <c r="Z149" s="44">
        <f t="shared" si="41"/>
        <v>3.1054413544658369E-3</v>
      </c>
      <c r="AA149" s="44">
        <f t="shared" si="41"/>
        <v>3.2604342635560116E-3</v>
      </c>
      <c r="AB149" s="44">
        <f t="shared" si="41"/>
        <v>3.4163209748117435E-3</v>
      </c>
      <c r="AC149" s="44">
        <f t="shared" si="41"/>
        <v>3.5730985795685622E-3</v>
      </c>
      <c r="AD149" s="44">
        <f t="shared" si="41"/>
        <v>3.7294464765254645E-3</v>
      </c>
      <c r="AE149" s="44">
        <f t="shared" si="41"/>
        <v>3.8864556128859712E-3</v>
      </c>
    </row>
    <row r="150" spans="1:31" x14ac:dyDescent="0.2">
      <c r="A150" s="50"/>
      <c r="B150" s="22" t="s">
        <v>56</v>
      </c>
      <c r="C150" s="14">
        <f>+SAM!O15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50"/>
      <c r="B151" s="22" t="s">
        <v>57</v>
      </c>
      <c r="C151" s="23">
        <f>+SAM!O16</f>
        <v>4.0000000000000001E-3</v>
      </c>
      <c r="D151" s="44">
        <f t="shared" si="39"/>
        <v>0</v>
      </c>
      <c r="E151" s="44">
        <f t="shared" si="39"/>
        <v>0</v>
      </c>
      <c r="F151" s="44">
        <f t="shared" si="39"/>
        <v>5.9913632510616603E-5</v>
      </c>
      <c r="G151" s="44">
        <f t="shared" si="39"/>
        <v>1.5439639064925668E-4</v>
      </c>
      <c r="H151" s="44">
        <f t="shared" si="39"/>
        <v>2.4740385813479899E-4</v>
      </c>
      <c r="I151" s="44">
        <f t="shared" si="39"/>
        <v>3.5091557835076722E-4</v>
      </c>
      <c r="J151" s="44">
        <f t="shared" si="39"/>
        <v>4.5310991263547082E-4</v>
      </c>
      <c r="K151" s="44">
        <f t="shared" si="39"/>
        <v>5.5428675362495885E-4</v>
      </c>
      <c r="L151" s="44">
        <f t="shared" si="39"/>
        <v>6.5479165911730365E-4</v>
      </c>
      <c r="M151" s="44">
        <f t="shared" si="39"/>
        <v>7.5495605749217724E-4</v>
      </c>
      <c r="N151" s="44">
        <f t="shared" si="40"/>
        <v>8.551025315961556E-4</v>
      </c>
      <c r="O151" s="44">
        <f t="shared" si="40"/>
        <v>9.5551205256663241E-4</v>
      </c>
      <c r="P151" s="44">
        <f t="shared" si="40"/>
        <v>1.0563329578867789E-3</v>
      </c>
      <c r="Q151" s="44">
        <f t="shared" si="40"/>
        <v>1.1574891751615632E-3</v>
      </c>
      <c r="R151" s="44">
        <f t="shared" si="40"/>
        <v>1.2587324514931916E-3</v>
      </c>
      <c r="S151" s="44">
        <f t="shared" si="40"/>
        <v>1.3598389009156025E-3</v>
      </c>
      <c r="T151" s="44">
        <f t="shared" si="40"/>
        <v>1.4607358675466794E-3</v>
      </c>
      <c r="U151" s="44">
        <f t="shared" si="40"/>
        <v>1.5614712697921609E-3</v>
      </c>
      <c r="V151" s="44">
        <f t="shared" si="40"/>
        <v>1.6624059368287004E-3</v>
      </c>
      <c r="W151" s="44">
        <f t="shared" si="40"/>
        <v>1.7636672012804069E-3</v>
      </c>
      <c r="X151" s="44">
        <f t="shared" si="41"/>
        <v>1.8653573227005956E-3</v>
      </c>
      <c r="Y151" s="44">
        <f t="shared" si="41"/>
        <v>1.9675492189011197E-3</v>
      </c>
      <c r="Z151" s="44">
        <f t="shared" si="41"/>
        <v>2.0702942363105578E-3</v>
      </c>
      <c r="AA151" s="44">
        <f t="shared" si="41"/>
        <v>2.1736228423706746E-3</v>
      </c>
      <c r="AB151" s="44">
        <f t="shared" si="41"/>
        <v>2.2775473165411626E-3</v>
      </c>
      <c r="AC151" s="44">
        <f t="shared" si="41"/>
        <v>2.3820657197123748E-3</v>
      </c>
      <c r="AD151" s="44">
        <f t="shared" si="41"/>
        <v>2.4862976510169762E-3</v>
      </c>
      <c r="AE151" s="44">
        <f t="shared" si="41"/>
        <v>2.5909704085906476E-3</v>
      </c>
    </row>
    <row r="152" spans="1:31" x14ac:dyDescent="0.2">
      <c r="A152" s="50"/>
      <c r="B152" s="22" t="s">
        <v>58</v>
      </c>
      <c r="C152" s="23">
        <f>+SAM!O17</f>
        <v>1.2500000000000001E-2</v>
      </c>
      <c r="D152" s="44">
        <f t="shared" si="39"/>
        <v>0</v>
      </c>
      <c r="E152" s="44">
        <f t="shared" si="39"/>
        <v>0</v>
      </c>
      <c r="F152" s="44">
        <f t="shared" si="39"/>
        <v>1.8723010159567689E-4</v>
      </c>
      <c r="G152" s="44">
        <f t="shared" si="39"/>
        <v>4.824887207789271E-4</v>
      </c>
      <c r="H152" s="44">
        <f t="shared" si="39"/>
        <v>7.7313705667124693E-4</v>
      </c>
      <c r="I152" s="44">
        <f t="shared" si="39"/>
        <v>1.0966111823461475E-3</v>
      </c>
      <c r="J152" s="44">
        <f t="shared" si="39"/>
        <v>1.4159684769858463E-3</v>
      </c>
      <c r="K152" s="44">
        <f t="shared" si="39"/>
        <v>1.7321461050779964E-3</v>
      </c>
      <c r="L152" s="44">
        <f t="shared" si="39"/>
        <v>2.0462239347415739E-3</v>
      </c>
      <c r="M152" s="44">
        <f t="shared" si="39"/>
        <v>2.3592376796630538E-3</v>
      </c>
      <c r="N152" s="44">
        <f t="shared" si="40"/>
        <v>2.6721954112379864E-3</v>
      </c>
      <c r="O152" s="44">
        <f t="shared" si="40"/>
        <v>2.9859751642707264E-3</v>
      </c>
      <c r="P152" s="44">
        <f t="shared" si="40"/>
        <v>3.301040493396184E-3</v>
      </c>
      <c r="Q152" s="44">
        <f t="shared" si="40"/>
        <v>3.6171536723798854E-3</v>
      </c>
      <c r="R152" s="44">
        <f t="shared" si="40"/>
        <v>3.9335389109162238E-3</v>
      </c>
      <c r="S152" s="44">
        <f t="shared" si="40"/>
        <v>4.249496565361258E-3</v>
      </c>
      <c r="T152" s="44">
        <f t="shared" si="40"/>
        <v>4.5647995860833733E-3</v>
      </c>
      <c r="U152" s="44">
        <f t="shared" si="40"/>
        <v>4.8795977181005029E-3</v>
      </c>
      <c r="V152" s="44">
        <f t="shared" si="40"/>
        <v>5.1950185525896884E-3</v>
      </c>
      <c r="W152" s="44">
        <f t="shared" si="40"/>
        <v>5.5114600040012717E-3</v>
      </c>
      <c r="X152" s="44">
        <f t="shared" si="41"/>
        <v>5.8292416334393615E-3</v>
      </c>
      <c r="Y152" s="44">
        <f t="shared" si="41"/>
        <v>6.1485913090660003E-3</v>
      </c>
      <c r="Z152" s="44">
        <f t="shared" si="41"/>
        <v>6.469669488470494E-3</v>
      </c>
      <c r="AA152" s="44">
        <f t="shared" si="41"/>
        <v>6.7925713824083583E-3</v>
      </c>
      <c r="AB152" s="44">
        <f t="shared" si="41"/>
        <v>7.1173353641911328E-3</v>
      </c>
      <c r="AC152" s="44">
        <f t="shared" si="41"/>
        <v>7.4439553741011723E-3</v>
      </c>
      <c r="AD152" s="44">
        <f t="shared" si="41"/>
        <v>7.7696801594280517E-3</v>
      </c>
      <c r="AE152" s="44">
        <f t="shared" si="41"/>
        <v>8.0967825268457739E-3</v>
      </c>
    </row>
    <row r="153" spans="1:31" x14ac:dyDescent="0.2">
      <c r="A153" s="50"/>
      <c r="B153" s="22" t="s">
        <v>59</v>
      </c>
      <c r="C153" s="14">
        <f>+SAM!O18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50"/>
      <c r="B154" s="22" t="s">
        <v>60</v>
      </c>
      <c r="C154" s="14">
        <f>+SAM!O19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50"/>
      <c r="B155" s="22" t="s">
        <v>61</v>
      </c>
      <c r="C155" s="14">
        <f>+SAM!O20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50"/>
      <c r="B156" s="22" t="s">
        <v>62</v>
      </c>
      <c r="C156" s="14">
        <f>+SAM!O21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50"/>
      <c r="B157" s="22" t="s">
        <v>63</v>
      </c>
      <c r="C157" s="14">
        <f>+SAM!O22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50"/>
      <c r="B158" s="22" t="s">
        <v>64</v>
      </c>
      <c r="C158" s="14">
        <f>+SAM!O23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50"/>
      <c r="B159" s="22" t="s">
        <v>65</v>
      </c>
      <c r="C159" s="14">
        <f>+SAM!O24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50"/>
      <c r="B160" s="22" t="s">
        <v>66</v>
      </c>
      <c r="C160" s="14">
        <f>+SAM!O25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50"/>
      <c r="B161" s="22" t="s">
        <v>67</v>
      </c>
      <c r="C161" s="14">
        <f>+SAM!O26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50"/>
      <c r="B162" s="22" t="s">
        <v>68</v>
      </c>
      <c r="C162" s="14">
        <f>+SAM!O27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50"/>
      <c r="B163" s="22" t="s">
        <v>69</v>
      </c>
      <c r="C163" s="14">
        <f>+SAM!O28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50"/>
      <c r="B164" s="22" t="s">
        <v>70</v>
      </c>
      <c r="C164" s="14">
        <f>+SAM!O29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50"/>
      <c r="B165" s="22" t="s">
        <v>71</v>
      </c>
      <c r="C165" s="23">
        <f>+SAM!O30</f>
        <v>5.000000000000001E-3</v>
      </c>
      <c r="D165" s="44">
        <f t="shared" si="42"/>
        <v>0</v>
      </c>
      <c r="E165" s="44">
        <f t="shared" si="42"/>
        <v>0</v>
      </c>
      <c r="F165" s="44">
        <f t="shared" si="42"/>
        <v>7.4892040638270757E-5</v>
      </c>
      <c r="G165" s="44">
        <f t="shared" si="42"/>
        <v>1.9299548831157087E-4</v>
      </c>
      <c r="H165" s="44">
        <f t="shared" si="42"/>
        <v>3.0925482266849882E-4</v>
      </c>
      <c r="I165" s="44">
        <f t="shared" si="42"/>
        <v>4.3864447293845909E-4</v>
      </c>
      <c r="J165" s="44">
        <f t="shared" si="42"/>
        <v>5.6638739079433863E-4</v>
      </c>
      <c r="K165" s="44">
        <f t="shared" si="42"/>
        <v>6.9285844203119862E-4</v>
      </c>
      <c r="L165" s="44">
        <f t="shared" si="42"/>
        <v>8.184895738966297E-4</v>
      </c>
      <c r="M165" s="44">
        <f t="shared" si="42"/>
        <v>9.4369507186522171E-4</v>
      </c>
      <c r="N165" s="44">
        <f t="shared" si="43"/>
        <v>1.0688781644951947E-3</v>
      </c>
      <c r="O165" s="44">
        <f t="shared" si="43"/>
        <v>1.1943900657082908E-3</v>
      </c>
      <c r="P165" s="44">
        <f t="shared" si="43"/>
        <v>1.3204161973584738E-3</v>
      </c>
      <c r="Q165" s="44">
        <f t="shared" si="43"/>
        <v>1.4468614689519543E-3</v>
      </c>
      <c r="R165" s="44">
        <f t="shared" si="43"/>
        <v>1.5734155643664898E-3</v>
      </c>
      <c r="S165" s="44">
        <f t="shared" si="43"/>
        <v>1.6997986261445034E-3</v>
      </c>
      <c r="T165" s="44">
        <f t="shared" si="43"/>
        <v>1.8259198344333495E-3</v>
      </c>
      <c r="U165" s="44">
        <f t="shared" si="43"/>
        <v>1.9518390872402015E-3</v>
      </c>
      <c r="V165" s="44">
        <f t="shared" si="43"/>
        <v>2.0780074210358756E-3</v>
      </c>
      <c r="W165" s="44">
        <f t="shared" si="43"/>
        <v>2.2045840016005091E-3</v>
      </c>
      <c r="X165" s="44">
        <f t="shared" si="44"/>
        <v>2.3316966533757449E-3</v>
      </c>
      <c r="Y165" s="44">
        <f t="shared" si="44"/>
        <v>2.4594365236264002E-3</v>
      </c>
      <c r="Z165" s="44">
        <f t="shared" si="44"/>
        <v>2.5878677953881978E-3</v>
      </c>
      <c r="AA165" s="44">
        <f t="shared" si="44"/>
        <v>2.7170285529633438E-3</v>
      </c>
      <c r="AB165" s="44">
        <f t="shared" si="44"/>
        <v>2.8469341456764537E-3</v>
      </c>
      <c r="AC165" s="44">
        <f t="shared" si="44"/>
        <v>2.9775821496404692E-3</v>
      </c>
      <c r="AD165" s="44">
        <f t="shared" si="44"/>
        <v>3.1078720637712212E-3</v>
      </c>
      <c r="AE165" s="44">
        <f t="shared" si="44"/>
        <v>3.2387130107383102E-3</v>
      </c>
    </row>
    <row r="166" spans="1:31" x14ac:dyDescent="0.2">
      <c r="A166" s="50"/>
      <c r="B166" s="22" t="s">
        <v>72</v>
      </c>
      <c r="C166" s="14">
        <f>+SAM!O31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50"/>
      <c r="B167" s="22" t="s">
        <v>73</v>
      </c>
      <c r="C167" s="14">
        <f>+SAM!O32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50"/>
      <c r="B168" s="22" t="s">
        <v>74</v>
      </c>
      <c r="C168" s="14">
        <f>+SAM!O33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50"/>
      <c r="B169" s="22" t="s">
        <v>75</v>
      </c>
      <c r="C169" s="14">
        <f>+SAM!O34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50"/>
      <c r="B170" s="22" t="s">
        <v>76</v>
      </c>
      <c r="C170" s="14">
        <f>+SAM!O35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50"/>
      <c r="B171" s="22" t="s">
        <v>77</v>
      </c>
      <c r="C171" s="14">
        <f>+SAM!O36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50"/>
      <c r="B172" s="22" t="s">
        <v>78</v>
      </c>
      <c r="C172" s="23">
        <f>+SAM!O37</f>
        <v>2.5000000000000005E-3</v>
      </c>
      <c r="D172" s="44">
        <f t="shared" si="45"/>
        <v>0</v>
      </c>
      <c r="E172" s="44">
        <f t="shared" si="45"/>
        <v>0</v>
      </c>
      <c r="F172" s="44">
        <f t="shared" si="45"/>
        <v>3.7446020319135379E-5</v>
      </c>
      <c r="G172" s="44">
        <f t="shared" si="45"/>
        <v>9.6497744155785435E-5</v>
      </c>
      <c r="H172" s="44">
        <f t="shared" si="45"/>
        <v>1.5462741133424941E-4</v>
      </c>
      <c r="I172" s="44">
        <f t="shared" si="45"/>
        <v>2.1932223646922954E-4</v>
      </c>
      <c r="J172" s="44">
        <f t="shared" si="45"/>
        <v>2.8319369539716932E-4</v>
      </c>
      <c r="K172" s="44">
        <f t="shared" si="45"/>
        <v>3.4642922101559931E-4</v>
      </c>
      <c r="L172" s="44">
        <f t="shared" si="45"/>
        <v>4.0924478694831485E-4</v>
      </c>
      <c r="M172" s="44">
        <f t="shared" si="45"/>
        <v>4.7184753593261086E-4</v>
      </c>
      <c r="N172" s="44">
        <f t="shared" si="46"/>
        <v>5.3443908224759735E-4</v>
      </c>
      <c r="O172" s="44">
        <f t="shared" si="46"/>
        <v>5.9719503285414542E-4</v>
      </c>
      <c r="P172" s="44">
        <f t="shared" si="46"/>
        <v>6.6020809867923689E-4</v>
      </c>
      <c r="Q172" s="44">
        <f t="shared" si="46"/>
        <v>7.2343073447597717E-4</v>
      </c>
      <c r="R172" s="44">
        <f t="shared" si="46"/>
        <v>7.8670778218324492E-4</v>
      </c>
      <c r="S172" s="44">
        <f t="shared" si="46"/>
        <v>8.4989931307225171E-4</v>
      </c>
      <c r="T172" s="44">
        <f t="shared" si="46"/>
        <v>9.1295991721667476E-4</v>
      </c>
      <c r="U172" s="44">
        <f t="shared" si="46"/>
        <v>9.7591954362010076E-4</v>
      </c>
      <c r="V172" s="44">
        <f t="shared" si="46"/>
        <v>1.0390037105179378E-3</v>
      </c>
      <c r="W172" s="44">
        <f t="shared" si="46"/>
        <v>1.1022920008002546E-3</v>
      </c>
      <c r="X172" s="44">
        <f t="shared" si="47"/>
        <v>1.1658483266878724E-3</v>
      </c>
      <c r="Y172" s="44">
        <f t="shared" si="47"/>
        <v>1.2297182618132001E-3</v>
      </c>
      <c r="Z172" s="44">
        <f t="shared" si="47"/>
        <v>1.2939338976940989E-3</v>
      </c>
      <c r="AA172" s="44">
        <f t="shared" si="47"/>
        <v>1.3585142764816719E-3</v>
      </c>
      <c r="AB172" s="44">
        <f t="shared" si="47"/>
        <v>1.4234670728382269E-3</v>
      </c>
      <c r="AC172" s="44">
        <f t="shared" si="47"/>
        <v>1.4887910748202346E-3</v>
      </c>
      <c r="AD172" s="44">
        <f t="shared" si="47"/>
        <v>1.5539360318856106E-3</v>
      </c>
      <c r="AE172" s="44">
        <f t="shared" si="47"/>
        <v>1.6193565053691551E-3</v>
      </c>
    </row>
    <row r="173" spans="1:31" x14ac:dyDescent="0.2">
      <c r="A173" s="50"/>
      <c r="B173" s="22" t="s">
        <v>79</v>
      </c>
      <c r="C173" s="14">
        <f>+SAM!O38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50"/>
      <c r="B174" s="22" t="s">
        <v>80</v>
      </c>
      <c r="C174" s="14">
        <f>+SAM!O39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50"/>
      <c r="B175" s="22" t="s">
        <v>81</v>
      </c>
      <c r="C175" s="14">
        <f>+SAM!O40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51"/>
      <c r="B176" s="32" t="s">
        <v>82</v>
      </c>
      <c r="C176" s="34">
        <f>+SAM!O41</f>
        <v>2.0000000000000004E-2</v>
      </c>
      <c r="D176" s="45">
        <f t="shared" si="45"/>
        <v>0</v>
      </c>
      <c r="E176" s="45">
        <f t="shared" si="45"/>
        <v>0</v>
      </c>
      <c r="F176" s="45">
        <f t="shared" si="45"/>
        <v>2.9956816255308303E-4</v>
      </c>
      <c r="G176" s="45">
        <f t="shared" si="45"/>
        <v>7.7198195324628348E-4</v>
      </c>
      <c r="H176" s="45">
        <f t="shared" si="45"/>
        <v>1.2370192906739953E-3</v>
      </c>
      <c r="I176" s="45">
        <f t="shared" si="45"/>
        <v>1.7545778917538364E-3</v>
      </c>
      <c r="J176" s="45">
        <f t="shared" si="45"/>
        <v>2.2655495631773545E-3</v>
      </c>
      <c r="K176" s="45">
        <f t="shared" si="45"/>
        <v>2.7714337681247945E-3</v>
      </c>
      <c r="L176" s="45">
        <f t="shared" si="45"/>
        <v>3.2739582955865188E-3</v>
      </c>
      <c r="M176" s="45">
        <f t="shared" si="45"/>
        <v>3.7747802874608868E-3</v>
      </c>
      <c r="N176" s="45">
        <f t="shared" si="46"/>
        <v>4.2755126579807788E-3</v>
      </c>
      <c r="O176" s="45">
        <f t="shared" si="46"/>
        <v>4.7775602628331634E-3</v>
      </c>
      <c r="P176" s="45">
        <f t="shared" si="46"/>
        <v>5.2816647894338951E-3</v>
      </c>
      <c r="Q176" s="45">
        <f t="shared" si="46"/>
        <v>5.7874458758078173E-3</v>
      </c>
      <c r="R176" s="45">
        <f t="shared" si="46"/>
        <v>6.2936622574659594E-3</v>
      </c>
      <c r="S176" s="45">
        <f t="shared" si="46"/>
        <v>6.7991945045780136E-3</v>
      </c>
      <c r="T176" s="45">
        <f t="shared" si="46"/>
        <v>7.3036793377333981E-3</v>
      </c>
      <c r="U176" s="45">
        <f t="shared" si="46"/>
        <v>7.8073563489608061E-3</v>
      </c>
      <c r="V176" s="45">
        <f t="shared" si="46"/>
        <v>8.3120296841435026E-3</v>
      </c>
      <c r="W176" s="45">
        <f t="shared" si="46"/>
        <v>8.8183360064020364E-3</v>
      </c>
      <c r="X176" s="45">
        <f t="shared" si="47"/>
        <v>9.3267866135029794E-3</v>
      </c>
      <c r="Y176" s="45">
        <f t="shared" si="47"/>
        <v>9.8377460945056009E-3</v>
      </c>
      <c r="Z176" s="45">
        <f t="shared" si="47"/>
        <v>1.0351471181552791E-2</v>
      </c>
      <c r="AA176" s="45">
        <f t="shared" si="47"/>
        <v>1.0868114211853375E-2</v>
      </c>
      <c r="AB176" s="45">
        <f t="shared" si="47"/>
        <v>1.1387736582705815E-2</v>
      </c>
      <c r="AC176" s="45">
        <f t="shared" si="47"/>
        <v>1.1910328598561877E-2</v>
      </c>
      <c r="AD176" s="45">
        <f t="shared" si="47"/>
        <v>1.2431488255084885E-2</v>
      </c>
      <c r="AE176" s="45">
        <f t="shared" si="47"/>
        <v>1.2954852042953241E-2</v>
      </c>
    </row>
    <row r="177" spans="1:31" ht="16" customHeight="1" thickTop="1" x14ac:dyDescent="0.2">
      <c r="A177" s="54" t="s">
        <v>34</v>
      </c>
      <c r="B177" s="22" t="s">
        <v>43</v>
      </c>
      <c r="C177" s="14">
        <f>+SAM!S2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50"/>
      <c r="B178" s="22" t="s">
        <v>44</v>
      </c>
      <c r="C178" s="14">
        <f>+SAM!S3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50"/>
      <c r="B179" s="22" t="s">
        <v>45</v>
      </c>
      <c r="C179" s="14">
        <f>+SAM!S4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50"/>
      <c r="B180" s="22" t="s">
        <v>46</v>
      </c>
      <c r="C180" s="14">
        <f>+SAM!S5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50"/>
      <c r="B181" s="22" t="s">
        <v>47</v>
      </c>
      <c r="C181" s="14">
        <f>+SAM!S6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50"/>
      <c r="B182" s="22" t="s">
        <v>48</v>
      </c>
      <c r="C182" s="14">
        <f>+SAM!S7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50"/>
      <c r="B183" s="22" t="s">
        <v>49</v>
      </c>
      <c r="C183" s="14">
        <f>+SAM!S8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50"/>
      <c r="B184" s="22" t="s">
        <v>50</v>
      </c>
      <c r="C184" s="14">
        <f>+SAM!S9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50"/>
      <c r="B185" s="22" t="s">
        <v>51</v>
      </c>
      <c r="C185" s="14">
        <f>+SAM!S10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50"/>
      <c r="B186" s="22" t="s">
        <v>52</v>
      </c>
      <c r="C186" s="23">
        <f>+SAM!S11</f>
        <v>5.000000000000001E-3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4.0696146108747588E-3</v>
      </c>
      <c r="H186" s="44">
        <f t="shared" si="48"/>
        <v>4.5415209908809141E-3</v>
      </c>
      <c r="I186" s="44">
        <f t="shared" si="48"/>
        <v>5.0241957742315057E-3</v>
      </c>
      <c r="J186" s="44">
        <f t="shared" si="48"/>
        <v>5.5187961007892661E-3</v>
      </c>
      <c r="K186" s="44">
        <f t="shared" si="48"/>
        <v>6.0240157104982702E-3</v>
      </c>
      <c r="L186" s="44">
        <f t="shared" si="48"/>
        <v>6.5397836551883363E-3</v>
      </c>
      <c r="M186" s="44">
        <f t="shared" si="48"/>
        <v>7.0660189384397065E-3</v>
      </c>
      <c r="N186" s="44">
        <f t="shared" si="49"/>
        <v>7.6026308107441012E-3</v>
      </c>
      <c r="O186" s="44">
        <f t="shared" si="49"/>
        <v>8.1495188173835078E-3</v>
      </c>
      <c r="P186" s="44">
        <f t="shared" si="49"/>
        <v>8.7065727811000068E-3</v>
      </c>
      <c r="Q186" s="44">
        <f t="shared" si="49"/>
        <v>9.2736727612260372E-3</v>
      </c>
      <c r="R186" s="44">
        <f t="shared" si="49"/>
        <v>9.8506890172094224E-3</v>
      </c>
      <c r="S186" s="44">
        <f t="shared" si="49"/>
        <v>1.0437481974903462E-2</v>
      </c>
      <c r="T186" s="44">
        <f t="shared" si="49"/>
        <v>1.1033902199780727E-2</v>
      </c>
      <c r="U186" s="44">
        <f t="shared" si="49"/>
        <v>1.1639790378485006E-2</v>
      </c>
      <c r="V186" s="44">
        <f t="shared" si="49"/>
        <v>1.2257004794532723E-2</v>
      </c>
      <c r="W186" s="44">
        <f t="shared" si="49"/>
        <v>1.2885693171034442E-2</v>
      </c>
      <c r="X186" s="44">
        <f t="shared" si="50"/>
        <v>1.3526004354582134E-2</v>
      </c>
      <c r="Y186" s="44">
        <f t="shared" si="50"/>
        <v>1.4178088296750083E-2</v>
      </c>
      <c r="Z186" s="44">
        <f t="shared" si="50"/>
        <v>1.4842096050296393E-2</v>
      </c>
      <c r="AA186" s="44">
        <f t="shared" si="50"/>
        <v>1.5518179754248544E-2</v>
      </c>
      <c r="AB186" s="44">
        <f t="shared" si="50"/>
        <v>1.6206492638156128E-2</v>
      </c>
      <c r="AC186" s="44">
        <f t="shared" si="50"/>
        <v>1.6907188990086024E-2</v>
      </c>
      <c r="AD186" s="44">
        <f t="shared" si="50"/>
        <v>1.7620424146184029E-2</v>
      </c>
      <c r="AE186" s="44">
        <f t="shared" si="50"/>
        <v>1.834635448395644E-2</v>
      </c>
    </row>
    <row r="187" spans="1:31" x14ac:dyDescent="0.2">
      <c r="A187" s="50"/>
      <c r="B187" s="22" t="s">
        <v>53</v>
      </c>
      <c r="C187" s="14">
        <f>+SAM!S12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50"/>
      <c r="B188" s="22" t="s">
        <v>54</v>
      </c>
      <c r="C188" s="14">
        <f>+SAM!S13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50"/>
      <c r="B189" s="22" t="s">
        <v>55</v>
      </c>
      <c r="C189" s="23">
        <f>+SAM!S14</f>
        <v>7.4999999999999997E-3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6.104421916312136E-3</v>
      </c>
      <c r="H189" s="44">
        <f t="shared" si="51"/>
        <v>6.8122814863213694E-3</v>
      </c>
      <c r="I189" s="44">
        <f t="shared" si="51"/>
        <v>7.5362936613472568E-3</v>
      </c>
      <c r="J189" s="44">
        <f t="shared" si="51"/>
        <v>8.2781941511838979E-3</v>
      </c>
      <c r="K189" s="44">
        <f t="shared" si="51"/>
        <v>9.0360235657474045E-3</v>
      </c>
      <c r="L189" s="44">
        <f t="shared" si="51"/>
        <v>9.8096754827825018E-3</v>
      </c>
      <c r="M189" s="44">
        <f t="shared" si="51"/>
        <v>1.0599028407659557E-2</v>
      </c>
      <c r="N189" s="44">
        <f t="shared" si="52"/>
        <v>1.1403946216116149E-2</v>
      </c>
      <c r="O189" s="44">
        <f t="shared" si="52"/>
        <v>1.2224278226075257E-2</v>
      </c>
      <c r="P189" s="44">
        <f t="shared" si="52"/>
        <v>1.3059859171650007E-2</v>
      </c>
      <c r="Q189" s="44">
        <f t="shared" si="52"/>
        <v>1.3910509141839052E-2</v>
      </c>
      <c r="R189" s="44">
        <f t="shared" si="52"/>
        <v>1.4776033525814129E-2</v>
      </c>
      <c r="S189" s="44">
        <f t="shared" si="52"/>
        <v>1.5656222962355189E-2</v>
      </c>
      <c r="T189" s="44">
        <f t="shared" si="52"/>
        <v>1.6550853299671087E-2</v>
      </c>
      <c r="U189" s="44">
        <f t="shared" si="52"/>
        <v>1.7459685567727506E-2</v>
      </c>
      <c r="V189" s="44">
        <f t="shared" si="52"/>
        <v>1.8385507191799079E-2</v>
      </c>
      <c r="W189" s="44">
        <f t="shared" si="52"/>
        <v>1.932853975655166E-2</v>
      </c>
      <c r="X189" s="44">
        <f t="shared" si="53"/>
        <v>2.0289006531873197E-2</v>
      </c>
      <c r="Y189" s="44">
        <f t="shared" si="53"/>
        <v>2.1267132445125118E-2</v>
      </c>
      <c r="Z189" s="44">
        <f t="shared" si="53"/>
        <v>2.2263144075444583E-2</v>
      </c>
      <c r="AA189" s="44">
        <f t="shared" si="53"/>
        <v>2.3277269631372808E-2</v>
      </c>
      <c r="AB189" s="44">
        <f t="shared" si="53"/>
        <v>2.4309738957234185E-2</v>
      </c>
      <c r="AC189" s="44">
        <f t="shared" si="53"/>
        <v>2.5360783485129029E-2</v>
      </c>
      <c r="AD189" s="44">
        <f t="shared" si="53"/>
        <v>2.6430636219276039E-2</v>
      </c>
      <c r="AE189" s="44">
        <f t="shared" si="53"/>
        <v>2.7519531725934653E-2</v>
      </c>
    </row>
    <row r="190" spans="1:31" x14ac:dyDescent="0.2">
      <c r="A190" s="50"/>
      <c r="B190" s="22" t="s">
        <v>56</v>
      </c>
      <c r="C190" s="14">
        <f>+SAM!S15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50"/>
      <c r="B191" s="22" t="s">
        <v>57</v>
      </c>
      <c r="C191" s="14">
        <f>+SAM!S16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50"/>
      <c r="B192" s="22" t="s">
        <v>58</v>
      </c>
      <c r="C192" s="23">
        <f>+SAM!S17</f>
        <v>1.4999999999999999E-2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1.2208843832624272E-2</v>
      </c>
      <c r="H192" s="44">
        <f t="shared" si="51"/>
        <v>1.3624562972642739E-2</v>
      </c>
      <c r="I192" s="44">
        <f t="shared" si="51"/>
        <v>1.5072587322694514E-2</v>
      </c>
      <c r="J192" s="44">
        <f t="shared" si="51"/>
        <v>1.6556388302367796E-2</v>
      </c>
      <c r="K192" s="44">
        <f t="shared" si="51"/>
        <v>1.8072047131494809E-2</v>
      </c>
      <c r="L192" s="44">
        <f t="shared" si="51"/>
        <v>1.9619350965565004E-2</v>
      </c>
      <c r="M192" s="44">
        <f t="shared" si="51"/>
        <v>2.1198056815319114E-2</v>
      </c>
      <c r="N192" s="44">
        <f t="shared" si="52"/>
        <v>2.2807892432232298E-2</v>
      </c>
      <c r="O192" s="44">
        <f t="shared" si="52"/>
        <v>2.4448556452150515E-2</v>
      </c>
      <c r="P192" s="44">
        <f t="shared" si="52"/>
        <v>2.6119718343300014E-2</v>
      </c>
      <c r="Q192" s="44">
        <f t="shared" si="52"/>
        <v>2.7821018283678105E-2</v>
      </c>
      <c r="R192" s="44">
        <f t="shared" si="52"/>
        <v>2.9552067051628259E-2</v>
      </c>
      <c r="S192" s="44">
        <f t="shared" si="52"/>
        <v>3.1312445924710379E-2</v>
      </c>
      <c r="T192" s="44">
        <f t="shared" si="52"/>
        <v>3.3101706599342175E-2</v>
      </c>
      <c r="U192" s="44">
        <f t="shared" si="52"/>
        <v>3.4919371135455013E-2</v>
      </c>
      <c r="V192" s="44">
        <f t="shared" si="52"/>
        <v>3.6771014383598158E-2</v>
      </c>
      <c r="W192" s="44">
        <f t="shared" si="52"/>
        <v>3.8657079513103321E-2</v>
      </c>
      <c r="X192" s="44">
        <f t="shared" si="53"/>
        <v>4.0578013063746393E-2</v>
      </c>
      <c r="Y192" s="44">
        <f t="shared" si="53"/>
        <v>4.2534264890250237E-2</v>
      </c>
      <c r="Z192" s="44">
        <f t="shared" si="53"/>
        <v>4.4526288150889166E-2</v>
      </c>
      <c r="AA192" s="44">
        <f t="shared" si="53"/>
        <v>4.6554539262745616E-2</v>
      </c>
      <c r="AB192" s="44">
        <f t="shared" si="53"/>
        <v>4.861947791446837E-2</v>
      </c>
      <c r="AC192" s="44">
        <f t="shared" si="53"/>
        <v>5.0721566970258057E-2</v>
      </c>
      <c r="AD192" s="44">
        <f t="shared" si="53"/>
        <v>5.2861272438552077E-2</v>
      </c>
      <c r="AE192" s="44">
        <f t="shared" si="53"/>
        <v>5.5039063451869305E-2</v>
      </c>
    </row>
    <row r="193" spans="1:31" x14ac:dyDescent="0.2">
      <c r="A193" s="50"/>
      <c r="B193" s="22" t="s">
        <v>59</v>
      </c>
      <c r="C193" s="14">
        <f>+SAM!S18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50"/>
      <c r="B194" s="22" t="s">
        <v>60</v>
      </c>
      <c r="C194" s="14">
        <f>+SAM!S19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50"/>
      <c r="B195" s="22" t="s">
        <v>61</v>
      </c>
      <c r="C195" s="14">
        <f>+SAM!S20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50"/>
      <c r="B196" s="22" t="s">
        <v>62</v>
      </c>
      <c r="C196" s="14">
        <f>+SAM!S21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50"/>
      <c r="B197" s="22" t="s">
        <v>63</v>
      </c>
      <c r="C197" s="14">
        <f>+SAM!S22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50"/>
      <c r="B198" s="22" t="s">
        <v>64</v>
      </c>
      <c r="C198" s="14">
        <f>+SAM!S23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50"/>
      <c r="B199" s="22" t="s">
        <v>65</v>
      </c>
      <c r="C199" s="14">
        <f>+SAM!S24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50"/>
      <c r="B200" s="22" t="s">
        <v>66</v>
      </c>
      <c r="C200" s="14">
        <f>+SAM!S25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50"/>
      <c r="B201" s="22" t="s">
        <v>67</v>
      </c>
      <c r="C201" s="14">
        <f>+SAM!S26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50"/>
      <c r="B202" s="22" t="s">
        <v>68</v>
      </c>
      <c r="C202" s="14">
        <f>+SAM!S27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50"/>
      <c r="B203" s="22" t="s">
        <v>69</v>
      </c>
      <c r="C203" s="14">
        <f>+SAM!S28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50"/>
      <c r="B204" s="22" t="s">
        <v>70</v>
      </c>
      <c r="C204" s="14">
        <f>+SAM!S29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50"/>
      <c r="B205" s="22" t="s">
        <v>71</v>
      </c>
      <c r="C205" s="23">
        <f>+SAM!S30</f>
        <v>1.0000000000000002E-2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8.1392292217495176E-3</v>
      </c>
      <c r="H205" s="44">
        <f t="shared" si="54"/>
        <v>9.0830419817618281E-3</v>
      </c>
      <c r="I205" s="44">
        <f t="shared" si="54"/>
        <v>1.0048391548463011E-2</v>
      </c>
      <c r="J205" s="44">
        <f t="shared" si="54"/>
        <v>1.1037592201578532E-2</v>
      </c>
      <c r="K205" s="44">
        <f t="shared" si="54"/>
        <v>1.204803142099654E-2</v>
      </c>
      <c r="L205" s="44">
        <f t="shared" si="54"/>
        <v>1.3079567310376673E-2</v>
      </c>
      <c r="M205" s="44">
        <f t="shared" si="54"/>
        <v>1.4132037876879413E-2</v>
      </c>
      <c r="N205" s="44">
        <f t="shared" si="55"/>
        <v>1.5205261621488202E-2</v>
      </c>
      <c r="O205" s="44">
        <f t="shared" si="55"/>
        <v>1.6299037634767016E-2</v>
      </c>
      <c r="P205" s="44">
        <f t="shared" si="55"/>
        <v>1.7413145562200014E-2</v>
      </c>
      <c r="Q205" s="44">
        <f t="shared" si="55"/>
        <v>1.8547345522452074E-2</v>
      </c>
      <c r="R205" s="44">
        <f t="shared" si="55"/>
        <v>1.9701378034418845E-2</v>
      </c>
      <c r="S205" s="44">
        <f t="shared" si="55"/>
        <v>2.0874963949806924E-2</v>
      </c>
      <c r="T205" s="44">
        <f t="shared" si="55"/>
        <v>2.2067804399561453E-2</v>
      </c>
      <c r="U205" s="44">
        <f t="shared" si="55"/>
        <v>2.3279580756970012E-2</v>
      </c>
      <c r="V205" s="44">
        <f t="shared" si="55"/>
        <v>2.4514009589065446E-2</v>
      </c>
      <c r="W205" s="44">
        <f t="shared" si="55"/>
        <v>2.5771386342068884E-2</v>
      </c>
      <c r="X205" s="44">
        <f t="shared" si="56"/>
        <v>2.7052008709164268E-2</v>
      </c>
      <c r="Y205" s="44">
        <f t="shared" si="56"/>
        <v>2.8356176593500166E-2</v>
      </c>
      <c r="Z205" s="44">
        <f t="shared" si="56"/>
        <v>2.9684192100592786E-2</v>
      </c>
      <c r="AA205" s="44">
        <f t="shared" si="56"/>
        <v>3.1036359508497088E-2</v>
      </c>
      <c r="AB205" s="44">
        <f t="shared" si="56"/>
        <v>3.2412985276312256E-2</v>
      </c>
      <c r="AC205" s="44">
        <f t="shared" si="56"/>
        <v>3.3814377980172047E-2</v>
      </c>
      <c r="AD205" s="44">
        <f t="shared" si="56"/>
        <v>3.5240848292368059E-2</v>
      </c>
      <c r="AE205" s="44">
        <f t="shared" si="56"/>
        <v>3.6692708967912879E-2</v>
      </c>
    </row>
    <row r="206" spans="1:31" x14ac:dyDescent="0.2">
      <c r="A206" s="50"/>
      <c r="B206" s="22" t="s">
        <v>72</v>
      </c>
      <c r="C206" s="14">
        <f>+SAM!S31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50"/>
      <c r="B207" s="22" t="s">
        <v>73</v>
      </c>
      <c r="C207" s="14">
        <f>+SAM!S32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50"/>
      <c r="B208" s="22" t="s">
        <v>74</v>
      </c>
      <c r="C208" s="14">
        <f>+SAM!S33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50"/>
      <c r="B209" s="22" t="s">
        <v>75</v>
      </c>
      <c r="C209" s="14">
        <f>+SAM!S34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50"/>
      <c r="B210" s="22" t="s">
        <v>76</v>
      </c>
      <c r="C210" s="14">
        <f>+SAM!S35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50"/>
      <c r="B211" s="22" t="s">
        <v>77</v>
      </c>
      <c r="C211" s="14">
        <f>+SAM!S36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50"/>
      <c r="B212" s="22" t="s">
        <v>78</v>
      </c>
      <c r="C212" s="23">
        <f>+SAM!S37</f>
        <v>5.000000000000001E-3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4.0696146108747588E-3</v>
      </c>
      <c r="H212" s="44">
        <f t="shared" si="57"/>
        <v>4.5415209908809141E-3</v>
      </c>
      <c r="I212" s="44">
        <f t="shared" si="57"/>
        <v>5.0241957742315057E-3</v>
      </c>
      <c r="J212" s="44">
        <f t="shared" si="57"/>
        <v>5.5187961007892661E-3</v>
      </c>
      <c r="K212" s="44">
        <f t="shared" si="57"/>
        <v>6.0240157104982702E-3</v>
      </c>
      <c r="L212" s="44">
        <f t="shared" si="57"/>
        <v>6.5397836551883363E-3</v>
      </c>
      <c r="M212" s="44">
        <f t="shared" si="57"/>
        <v>7.0660189384397065E-3</v>
      </c>
      <c r="N212" s="44">
        <f t="shared" si="58"/>
        <v>7.6026308107441012E-3</v>
      </c>
      <c r="O212" s="44">
        <f t="shared" si="58"/>
        <v>8.1495188173835078E-3</v>
      </c>
      <c r="P212" s="44">
        <f t="shared" si="58"/>
        <v>8.7065727811000068E-3</v>
      </c>
      <c r="Q212" s="44">
        <f t="shared" si="58"/>
        <v>9.2736727612260372E-3</v>
      </c>
      <c r="R212" s="44">
        <f t="shared" si="58"/>
        <v>9.8506890172094224E-3</v>
      </c>
      <c r="S212" s="44">
        <f t="shared" si="58"/>
        <v>1.0437481974903462E-2</v>
      </c>
      <c r="T212" s="44">
        <f t="shared" si="58"/>
        <v>1.1033902199780727E-2</v>
      </c>
      <c r="U212" s="44">
        <f t="shared" si="58"/>
        <v>1.1639790378485006E-2</v>
      </c>
      <c r="V212" s="44">
        <f t="shared" si="58"/>
        <v>1.2257004794532723E-2</v>
      </c>
      <c r="W212" s="44">
        <f t="shared" si="58"/>
        <v>1.2885693171034442E-2</v>
      </c>
      <c r="X212" s="44">
        <f t="shared" si="59"/>
        <v>1.3526004354582134E-2</v>
      </c>
      <c r="Y212" s="44">
        <f t="shared" si="59"/>
        <v>1.4178088296750083E-2</v>
      </c>
      <c r="Z212" s="44">
        <f t="shared" si="59"/>
        <v>1.4842096050296393E-2</v>
      </c>
      <c r="AA212" s="44">
        <f t="shared" si="59"/>
        <v>1.5518179754248544E-2</v>
      </c>
      <c r="AB212" s="44">
        <f t="shared" si="59"/>
        <v>1.6206492638156128E-2</v>
      </c>
      <c r="AC212" s="44">
        <f t="shared" si="59"/>
        <v>1.6907188990086024E-2</v>
      </c>
      <c r="AD212" s="44">
        <f t="shared" si="59"/>
        <v>1.7620424146184029E-2</v>
      </c>
      <c r="AE212" s="44">
        <f t="shared" si="59"/>
        <v>1.834635448395644E-2</v>
      </c>
    </row>
    <row r="213" spans="1:31" x14ac:dyDescent="0.2">
      <c r="A213" s="50"/>
      <c r="B213" s="22" t="s">
        <v>79</v>
      </c>
      <c r="C213" s="14">
        <f>+SAM!S38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50"/>
      <c r="B214" s="22" t="s">
        <v>80</v>
      </c>
      <c r="C214" s="14">
        <f>+SAM!S39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50"/>
      <c r="B215" s="22" t="s">
        <v>81</v>
      </c>
      <c r="C215" s="14">
        <f>+SAM!S40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51"/>
      <c r="B216" s="32" t="s">
        <v>82</v>
      </c>
      <c r="C216" s="34">
        <f>+SAM!S41</f>
        <v>7.4999999999999997E-3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6.104421916312136E-3</v>
      </c>
      <c r="H216" s="45">
        <f t="shared" si="57"/>
        <v>6.8122814863213694E-3</v>
      </c>
      <c r="I216" s="45">
        <f t="shared" si="57"/>
        <v>7.5362936613472568E-3</v>
      </c>
      <c r="J216" s="45">
        <f t="shared" si="57"/>
        <v>8.2781941511838979E-3</v>
      </c>
      <c r="K216" s="45">
        <f t="shared" si="57"/>
        <v>9.0360235657474045E-3</v>
      </c>
      <c r="L216" s="45">
        <f t="shared" si="57"/>
        <v>9.8096754827825018E-3</v>
      </c>
      <c r="M216" s="45">
        <f t="shared" si="57"/>
        <v>1.0599028407659557E-2</v>
      </c>
      <c r="N216" s="45">
        <f t="shared" si="58"/>
        <v>1.1403946216116149E-2</v>
      </c>
      <c r="O216" s="45">
        <f t="shared" si="58"/>
        <v>1.2224278226075257E-2</v>
      </c>
      <c r="P216" s="45">
        <f t="shared" si="58"/>
        <v>1.3059859171650007E-2</v>
      </c>
      <c r="Q216" s="45">
        <f t="shared" si="58"/>
        <v>1.3910509141839052E-2</v>
      </c>
      <c r="R216" s="45">
        <f t="shared" si="58"/>
        <v>1.4776033525814129E-2</v>
      </c>
      <c r="S216" s="45">
        <f t="shared" si="58"/>
        <v>1.5656222962355189E-2</v>
      </c>
      <c r="T216" s="45">
        <f t="shared" si="58"/>
        <v>1.6550853299671087E-2</v>
      </c>
      <c r="U216" s="45">
        <f t="shared" si="58"/>
        <v>1.7459685567727506E-2</v>
      </c>
      <c r="V216" s="45">
        <f t="shared" si="58"/>
        <v>1.8385507191799079E-2</v>
      </c>
      <c r="W216" s="45">
        <f t="shared" si="58"/>
        <v>1.932853975655166E-2</v>
      </c>
      <c r="X216" s="45">
        <f t="shared" si="59"/>
        <v>2.0289006531873197E-2</v>
      </c>
      <c r="Y216" s="45">
        <f t="shared" si="59"/>
        <v>2.1267132445125118E-2</v>
      </c>
      <c r="Z216" s="45">
        <f t="shared" si="59"/>
        <v>2.2263144075444583E-2</v>
      </c>
      <c r="AA216" s="45">
        <f t="shared" si="59"/>
        <v>2.3277269631372808E-2</v>
      </c>
      <c r="AB216" s="45">
        <f t="shared" si="59"/>
        <v>2.4309738957234185E-2</v>
      </c>
      <c r="AC216" s="45">
        <f t="shared" si="59"/>
        <v>2.5360783485129029E-2</v>
      </c>
      <c r="AD216" s="45">
        <f t="shared" si="59"/>
        <v>2.6430636219276039E-2</v>
      </c>
      <c r="AE216" s="45">
        <f t="shared" si="59"/>
        <v>2.7519531725934653E-2</v>
      </c>
    </row>
    <row r="217" spans="1:31" ht="16" customHeight="1" thickTop="1" x14ac:dyDescent="0.2">
      <c r="A217" s="54" t="s">
        <v>35</v>
      </c>
      <c r="B217" s="22" t="s">
        <v>43</v>
      </c>
      <c r="C217" s="14">
        <f>+SAM!W2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50"/>
      <c r="B218" s="22" t="s">
        <v>44</v>
      </c>
      <c r="C218" s="14">
        <f>+SAM!W3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50"/>
      <c r="B219" s="22" t="s">
        <v>45</v>
      </c>
      <c r="C219" s="14">
        <f>+SAM!W4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50"/>
      <c r="B220" s="22" t="s">
        <v>46</v>
      </c>
      <c r="C220" s="14">
        <f>+SAM!W5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50"/>
      <c r="B221" s="22" t="s">
        <v>47</v>
      </c>
      <c r="C221" s="14">
        <f>+SAM!W6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50"/>
      <c r="B222" s="22" t="s">
        <v>48</v>
      </c>
      <c r="C222" s="14">
        <f>+SAM!W7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50"/>
      <c r="B223" s="22" t="s">
        <v>49</v>
      </c>
      <c r="C223" s="14">
        <f>+SAM!W8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50"/>
      <c r="B224" s="22" t="s">
        <v>50</v>
      </c>
      <c r="C224" s="14">
        <f>+SAM!W9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50"/>
      <c r="B225" s="22" t="s">
        <v>51</v>
      </c>
      <c r="C225" s="14">
        <f>+SAM!W10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50"/>
      <c r="B226" s="22" t="s">
        <v>52</v>
      </c>
      <c r="C226" s="14">
        <f>+SAM!W11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50"/>
      <c r="B227" s="22" t="s">
        <v>53</v>
      </c>
      <c r="C227" s="14">
        <f>+SAM!W12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50"/>
      <c r="B228" s="22" t="s">
        <v>54</v>
      </c>
      <c r="C228" s="14">
        <f>+SAM!W13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50"/>
      <c r="B229" s="22" t="s">
        <v>55</v>
      </c>
      <c r="C229" s="14">
        <f>+SAM!W14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50"/>
      <c r="B230" s="22" t="s">
        <v>56</v>
      </c>
      <c r="C230" s="14">
        <f>+SAM!W15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50"/>
      <c r="B231" s="22" t="s">
        <v>57</v>
      </c>
      <c r="C231" s="14">
        <f>+SAM!W16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50"/>
      <c r="B232" s="22" t="s">
        <v>58</v>
      </c>
      <c r="C232" s="23">
        <f>+SAM!W17</f>
        <v>0.16000000000000003</v>
      </c>
      <c r="D232" s="44">
        <f t="shared" si="63"/>
        <v>0</v>
      </c>
      <c r="E232" s="44">
        <f t="shared" si="63"/>
        <v>0</v>
      </c>
      <c r="F232" s="44">
        <f t="shared" si="63"/>
        <v>1.3928391383743886E-2</v>
      </c>
      <c r="G232" s="44">
        <f t="shared" si="63"/>
        <v>1.8173029935801811E-2</v>
      </c>
      <c r="H232" s="44">
        <f t="shared" si="63"/>
        <v>2.2388304100290853E-2</v>
      </c>
      <c r="I232" s="44">
        <f t="shared" si="63"/>
        <v>2.6167637016359928E-2</v>
      </c>
      <c r="J232" s="44">
        <f t="shared" si="63"/>
        <v>2.927302326980807E-2</v>
      </c>
      <c r="K232" s="44">
        <f t="shared" si="63"/>
        <v>3.1672187003292836E-2</v>
      </c>
      <c r="L232" s="44">
        <f t="shared" si="63"/>
        <v>3.3468762594804968E-2</v>
      </c>
      <c r="M232" s="44">
        <f t="shared" si="63"/>
        <v>3.4811551774860838E-2</v>
      </c>
      <c r="N232" s="44">
        <f t="shared" si="64"/>
        <v>3.583846323639929E-2</v>
      </c>
      <c r="O232" s="44">
        <f t="shared" si="64"/>
        <v>3.6655592085089818E-2</v>
      </c>
      <c r="P232" s="44">
        <f t="shared" si="64"/>
        <v>3.7334544750913017E-2</v>
      </c>
      <c r="Q232" s="44">
        <f t="shared" si="64"/>
        <v>3.8104118097382421E-2</v>
      </c>
      <c r="R232" s="44">
        <f t="shared" si="64"/>
        <v>3.8813923625344041E-2</v>
      </c>
      <c r="S232" s="44">
        <f t="shared" si="64"/>
        <v>3.9476169668876841E-2</v>
      </c>
      <c r="T232" s="44">
        <f t="shared" si="64"/>
        <v>4.0101158633700652E-2</v>
      </c>
      <c r="U232" s="44">
        <f t="shared" si="64"/>
        <v>4.0698253079466118E-2</v>
      </c>
      <c r="V232" s="44">
        <f t="shared" si="64"/>
        <v>4.1275127639431128E-2</v>
      </c>
      <c r="W232" s="44">
        <f t="shared" si="64"/>
        <v>4.1837206227389893E-2</v>
      </c>
      <c r="X232" s="44">
        <f t="shared" si="65"/>
        <v>4.1596181029586884E-2</v>
      </c>
      <c r="Y232" s="44">
        <f t="shared" si="65"/>
        <v>4.1357295251940152E-2</v>
      </c>
      <c r="Z232" s="44">
        <f t="shared" si="65"/>
        <v>4.1122227165136659E-2</v>
      </c>
      <c r="AA232" s="44">
        <f t="shared" si="65"/>
        <v>4.0892467160542283E-2</v>
      </c>
      <c r="AB232" s="44">
        <f t="shared" si="65"/>
        <v>4.066918690443927E-2</v>
      </c>
      <c r="AC232" s="44">
        <f t="shared" si="65"/>
        <v>4.0453653582472993E-2</v>
      </c>
      <c r="AD232" s="44">
        <f t="shared" si="65"/>
        <v>4.0209168243568835E-2</v>
      </c>
      <c r="AE232" s="44">
        <f t="shared" si="65"/>
        <v>3.9973322729708827E-2</v>
      </c>
    </row>
    <row r="233" spans="1:31" x14ac:dyDescent="0.2">
      <c r="A233" s="50"/>
      <c r="B233" s="22" t="s">
        <v>59</v>
      </c>
      <c r="C233" s="23">
        <f>+SAM!W18</f>
        <v>8.0000000000000016E-2</v>
      </c>
      <c r="D233" s="44">
        <f t="shared" si="63"/>
        <v>0</v>
      </c>
      <c r="E233" s="44">
        <f t="shared" si="63"/>
        <v>0</v>
      </c>
      <c r="F233" s="44">
        <f t="shared" si="63"/>
        <v>6.9641956918719428E-3</v>
      </c>
      <c r="G233" s="44">
        <f t="shared" si="63"/>
        <v>9.0865149679009057E-3</v>
      </c>
      <c r="H233" s="44">
        <f t="shared" si="63"/>
        <v>1.1194152050145427E-2</v>
      </c>
      <c r="I233" s="44">
        <f t="shared" si="63"/>
        <v>1.3083818508179964E-2</v>
      </c>
      <c r="J233" s="44">
        <f t="shared" si="63"/>
        <v>1.4636511634904035E-2</v>
      </c>
      <c r="K233" s="44">
        <f t="shared" si="63"/>
        <v>1.5836093501646418E-2</v>
      </c>
      <c r="L233" s="44">
        <f t="shared" si="63"/>
        <v>1.6734381297402484E-2</v>
      </c>
      <c r="M233" s="44">
        <f t="shared" si="63"/>
        <v>1.7405775887430419E-2</v>
      </c>
      <c r="N233" s="44">
        <f t="shared" si="64"/>
        <v>1.7919231618199645E-2</v>
      </c>
      <c r="O233" s="44">
        <f t="shared" si="64"/>
        <v>1.8327796042544909E-2</v>
      </c>
      <c r="P233" s="44">
        <f t="shared" si="64"/>
        <v>1.8667272375456508E-2</v>
      </c>
      <c r="Q233" s="44">
        <f t="shared" si="64"/>
        <v>1.905205904869121E-2</v>
      </c>
      <c r="R233" s="44">
        <f t="shared" si="64"/>
        <v>1.940696181267202E-2</v>
      </c>
      <c r="S233" s="44">
        <f t="shared" si="64"/>
        <v>1.9738084834438421E-2</v>
      </c>
      <c r="T233" s="44">
        <f t="shared" si="64"/>
        <v>2.0050579316850326E-2</v>
      </c>
      <c r="U233" s="44">
        <f t="shared" si="64"/>
        <v>2.0349126539733059E-2</v>
      </c>
      <c r="V233" s="44">
        <f t="shared" si="64"/>
        <v>2.0637563819715564E-2</v>
      </c>
      <c r="W233" s="44">
        <f t="shared" si="64"/>
        <v>2.0918603113694947E-2</v>
      </c>
      <c r="X233" s="44">
        <f t="shared" si="65"/>
        <v>2.0798090514793442E-2</v>
      </c>
      <c r="Y233" s="44">
        <f t="shared" si="65"/>
        <v>2.0678647625970076E-2</v>
      </c>
      <c r="Z233" s="44">
        <f t="shared" si="65"/>
        <v>2.0561113582568329E-2</v>
      </c>
      <c r="AA233" s="44">
        <f t="shared" si="65"/>
        <v>2.0446233580271141E-2</v>
      </c>
      <c r="AB233" s="44">
        <f t="shared" si="65"/>
        <v>2.0334593452219635E-2</v>
      </c>
      <c r="AC233" s="44">
        <f t="shared" si="65"/>
        <v>2.0226826791236496E-2</v>
      </c>
      <c r="AD233" s="44">
        <f t="shared" si="65"/>
        <v>2.0104584121784418E-2</v>
      </c>
      <c r="AE233" s="44">
        <f t="shared" si="65"/>
        <v>1.9986661364854413E-2</v>
      </c>
    </row>
    <row r="234" spans="1:31" x14ac:dyDescent="0.2">
      <c r="A234" s="50"/>
      <c r="B234" s="22" t="s">
        <v>60</v>
      </c>
      <c r="C234" s="14">
        <f>+SAM!W19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50"/>
      <c r="B235" s="22" t="s">
        <v>61</v>
      </c>
      <c r="C235" s="14">
        <f>+SAM!W20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50"/>
      <c r="B236" s="22" t="s">
        <v>62</v>
      </c>
      <c r="C236" s="14">
        <f>+SAM!W21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50"/>
      <c r="B237" s="22" t="s">
        <v>63</v>
      </c>
      <c r="C237" s="14">
        <f>+SAM!W22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50"/>
      <c r="B238" s="22" t="s">
        <v>64</v>
      </c>
      <c r="C238" s="14">
        <f>+SAM!W23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50"/>
      <c r="B239" s="22" t="s">
        <v>65</v>
      </c>
      <c r="C239" s="14">
        <f>+SAM!W24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50"/>
      <c r="B240" s="22" t="s">
        <v>66</v>
      </c>
      <c r="C240" s="14">
        <f>+SAM!W25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50"/>
      <c r="B241" s="22" t="s">
        <v>67</v>
      </c>
      <c r="C241" s="14">
        <f>+SAM!W26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50"/>
      <c r="B242" s="22" t="s">
        <v>68</v>
      </c>
      <c r="C242" s="14">
        <f>+SAM!W27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50"/>
      <c r="B243" s="22" t="s">
        <v>69</v>
      </c>
      <c r="C243" s="14">
        <f>+SAM!W28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50"/>
      <c r="B244" s="22" t="s">
        <v>70</v>
      </c>
      <c r="C244" s="14">
        <f>+SAM!W29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50"/>
      <c r="B245" s="22" t="s">
        <v>71</v>
      </c>
      <c r="C245" s="23">
        <f>+SAM!W30</f>
        <v>0.32000000000000006</v>
      </c>
      <c r="D245" s="44">
        <f t="shared" si="66"/>
        <v>0</v>
      </c>
      <c r="E245" s="44">
        <f t="shared" si="66"/>
        <v>0</v>
      </c>
      <c r="F245" s="44">
        <f t="shared" si="66"/>
        <v>2.7856782767487771E-2</v>
      </c>
      <c r="G245" s="44">
        <f t="shared" si="66"/>
        <v>3.6346059871603623E-2</v>
      </c>
      <c r="H245" s="44">
        <f t="shared" si="66"/>
        <v>4.4776608200581706E-2</v>
      </c>
      <c r="I245" s="44">
        <f t="shared" si="66"/>
        <v>5.2335274032719856E-2</v>
      </c>
      <c r="J245" s="44">
        <f t="shared" si="66"/>
        <v>5.8546046539616141E-2</v>
      </c>
      <c r="K245" s="44">
        <f t="shared" si="66"/>
        <v>6.3344374006585671E-2</v>
      </c>
      <c r="L245" s="44">
        <f t="shared" si="66"/>
        <v>6.6937525189609937E-2</v>
      </c>
      <c r="M245" s="44">
        <f t="shared" si="66"/>
        <v>6.9623103549721677E-2</v>
      </c>
      <c r="N245" s="44">
        <f t="shared" si="67"/>
        <v>7.167692647279858E-2</v>
      </c>
      <c r="O245" s="44">
        <f t="shared" si="67"/>
        <v>7.3311184170179636E-2</v>
      </c>
      <c r="P245" s="44">
        <f t="shared" si="67"/>
        <v>7.4669089501826033E-2</v>
      </c>
      <c r="Q245" s="44">
        <f t="shared" si="67"/>
        <v>7.6208236194764842E-2</v>
      </c>
      <c r="R245" s="44">
        <f t="shared" si="67"/>
        <v>7.7627847250688081E-2</v>
      </c>
      <c r="S245" s="44">
        <f t="shared" si="67"/>
        <v>7.8952339337753683E-2</v>
      </c>
      <c r="T245" s="44">
        <f t="shared" si="67"/>
        <v>8.0202317267401305E-2</v>
      </c>
      <c r="U245" s="44">
        <f t="shared" si="67"/>
        <v>8.1396506158932236E-2</v>
      </c>
      <c r="V245" s="44">
        <f t="shared" si="67"/>
        <v>8.2550255278862256E-2</v>
      </c>
      <c r="W245" s="44">
        <f t="shared" si="67"/>
        <v>8.3674412454779787E-2</v>
      </c>
      <c r="X245" s="44">
        <f t="shared" si="68"/>
        <v>8.3192362059173769E-2</v>
      </c>
      <c r="Y245" s="44">
        <f t="shared" si="68"/>
        <v>8.2714590503880303E-2</v>
      </c>
      <c r="Z245" s="44">
        <f t="shared" si="68"/>
        <v>8.2244454330273317E-2</v>
      </c>
      <c r="AA245" s="44">
        <f t="shared" si="68"/>
        <v>8.1784934321084565E-2</v>
      </c>
      <c r="AB245" s="44">
        <f t="shared" si="68"/>
        <v>8.1338373808878539E-2</v>
      </c>
      <c r="AC245" s="44">
        <f t="shared" si="68"/>
        <v>8.0907307164945985E-2</v>
      </c>
      <c r="AD245" s="44">
        <f t="shared" si="68"/>
        <v>8.041833648713767E-2</v>
      </c>
      <c r="AE245" s="44">
        <f t="shared" si="68"/>
        <v>7.9946645459417653E-2</v>
      </c>
    </row>
    <row r="246" spans="1:31" x14ac:dyDescent="0.2">
      <c r="A246" s="50"/>
      <c r="B246" s="22" t="s">
        <v>72</v>
      </c>
      <c r="C246" s="14">
        <f>+SAM!W31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50"/>
      <c r="B247" s="22" t="s">
        <v>73</v>
      </c>
      <c r="C247" s="14">
        <f>+SAM!W32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50"/>
      <c r="B248" s="22" t="s">
        <v>74</v>
      </c>
      <c r="C248" s="14">
        <f>+SAM!W33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50"/>
      <c r="B249" s="22" t="s">
        <v>75</v>
      </c>
      <c r="C249" s="14">
        <f>+SAM!W34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50"/>
      <c r="B250" s="22" t="s">
        <v>76</v>
      </c>
      <c r="C250" s="14">
        <f>+SAM!W35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50"/>
      <c r="B251" s="22" t="s">
        <v>77</v>
      </c>
      <c r="C251" s="14">
        <f>+SAM!W36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50"/>
      <c r="B252" s="22" t="s">
        <v>78</v>
      </c>
      <c r="C252" s="23">
        <f>+SAM!W37</f>
        <v>6.4000000000000001E-2</v>
      </c>
      <c r="D252" s="44">
        <f t="shared" si="69"/>
        <v>0</v>
      </c>
      <c r="E252" s="44">
        <f t="shared" si="69"/>
        <v>0</v>
      </c>
      <c r="F252" s="44">
        <f t="shared" si="69"/>
        <v>5.5713565534975537E-3</v>
      </c>
      <c r="G252" s="44">
        <f t="shared" si="69"/>
        <v>7.2692119743207233E-3</v>
      </c>
      <c r="H252" s="44">
        <f t="shared" si="69"/>
        <v>8.9553216401163406E-3</v>
      </c>
      <c r="I252" s="44">
        <f t="shared" si="69"/>
        <v>1.0467054806543969E-2</v>
      </c>
      <c r="J252" s="44">
        <f t="shared" si="69"/>
        <v>1.1709209307923227E-2</v>
      </c>
      <c r="K252" s="44">
        <f t="shared" si="69"/>
        <v>1.2668874801317133E-2</v>
      </c>
      <c r="L252" s="44">
        <f t="shared" si="69"/>
        <v>1.3387505037921984E-2</v>
      </c>
      <c r="M252" s="44">
        <f t="shared" si="69"/>
        <v>1.3924620709944335E-2</v>
      </c>
      <c r="N252" s="44">
        <f t="shared" si="70"/>
        <v>1.4335385294559713E-2</v>
      </c>
      <c r="O252" s="44">
        <f t="shared" si="70"/>
        <v>1.4662236834035924E-2</v>
      </c>
      <c r="P252" s="44">
        <f t="shared" si="70"/>
        <v>1.4933817900365205E-2</v>
      </c>
      <c r="Q252" s="44">
        <f t="shared" si="70"/>
        <v>1.5241647238952967E-2</v>
      </c>
      <c r="R252" s="44">
        <f t="shared" si="70"/>
        <v>1.5525569450137614E-2</v>
      </c>
      <c r="S252" s="44">
        <f t="shared" si="70"/>
        <v>1.5790467867550735E-2</v>
      </c>
      <c r="T252" s="44">
        <f t="shared" si="70"/>
        <v>1.6040463453480258E-2</v>
      </c>
      <c r="U252" s="44">
        <f t="shared" si="70"/>
        <v>1.6279301231786444E-2</v>
      </c>
      <c r="V252" s="44">
        <f t="shared" si="70"/>
        <v>1.6510051055772447E-2</v>
      </c>
      <c r="W252" s="44">
        <f t="shared" si="70"/>
        <v>1.6734882490955956E-2</v>
      </c>
      <c r="X252" s="44">
        <f t="shared" si="71"/>
        <v>1.6638472411834752E-2</v>
      </c>
      <c r="Y252" s="44">
        <f t="shared" si="71"/>
        <v>1.6542918100776058E-2</v>
      </c>
      <c r="Z252" s="44">
        <f t="shared" si="71"/>
        <v>1.6448890866054663E-2</v>
      </c>
      <c r="AA252" s="44">
        <f t="shared" si="71"/>
        <v>1.635698686421691E-2</v>
      </c>
      <c r="AB252" s="44">
        <f t="shared" si="71"/>
        <v>1.6267674761775704E-2</v>
      </c>
      <c r="AC252" s="44">
        <f t="shared" si="71"/>
        <v>1.6181461432989194E-2</v>
      </c>
      <c r="AD252" s="44">
        <f t="shared" si="71"/>
        <v>1.6083667297427533E-2</v>
      </c>
      <c r="AE252" s="44">
        <f t="shared" si="71"/>
        <v>1.5989329091883525E-2</v>
      </c>
    </row>
    <row r="253" spans="1:31" x14ac:dyDescent="0.2">
      <c r="A253" s="50"/>
      <c r="B253" s="22" t="s">
        <v>79</v>
      </c>
      <c r="C253" s="14">
        <f>+SAM!W38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50"/>
      <c r="B254" s="22" t="s">
        <v>80</v>
      </c>
      <c r="C254" s="14">
        <f>+SAM!W39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50"/>
      <c r="B255" s="22" t="s">
        <v>81</v>
      </c>
      <c r="C255" s="23">
        <f>+SAM!W40</f>
        <v>8.0000000000000016E-2</v>
      </c>
      <c r="D255" s="44">
        <f t="shared" si="69"/>
        <v>0</v>
      </c>
      <c r="E255" s="44">
        <f t="shared" si="69"/>
        <v>0</v>
      </c>
      <c r="F255" s="44">
        <f t="shared" si="69"/>
        <v>6.9641956918719428E-3</v>
      </c>
      <c r="G255" s="44">
        <f t="shared" si="69"/>
        <v>9.0865149679009057E-3</v>
      </c>
      <c r="H255" s="44">
        <f t="shared" si="69"/>
        <v>1.1194152050145427E-2</v>
      </c>
      <c r="I255" s="44">
        <f t="shared" si="69"/>
        <v>1.3083818508179964E-2</v>
      </c>
      <c r="J255" s="44">
        <f t="shared" si="69"/>
        <v>1.4636511634904035E-2</v>
      </c>
      <c r="K255" s="44">
        <f t="shared" si="69"/>
        <v>1.5836093501646418E-2</v>
      </c>
      <c r="L255" s="44">
        <f t="shared" si="69"/>
        <v>1.6734381297402484E-2</v>
      </c>
      <c r="M255" s="44">
        <f t="shared" si="69"/>
        <v>1.7405775887430419E-2</v>
      </c>
      <c r="N255" s="44">
        <f t="shared" si="70"/>
        <v>1.7919231618199645E-2</v>
      </c>
      <c r="O255" s="44">
        <f t="shared" si="70"/>
        <v>1.8327796042544909E-2</v>
      </c>
      <c r="P255" s="44">
        <f t="shared" si="70"/>
        <v>1.8667272375456508E-2</v>
      </c>
      <c r="Q255" s="44">
        <f t="shared" si="70"/>
        <v>1.905205904869121E-2</v>
      </c>
      <c r="R255" s="44">
        <f t="shared" si="70"/>
        <v>1.940696181267202E-2</v>
      </c>
      <c r="S255" s="44">
        <f t="shared" si="70"/>
        <v>1.9738084834438421E-2</v>
      </c>
      <c r="T255" s="44">
        <f t="shared" si="70"/>
        <v>2.0050579316850326E-2</v>
      </c>
      <c r="U255" s="44">
        <f t="shared" si="70"/>
        <v>2.0349126539733059E-2</v>
      </c>
      <c r="V255" s="44">
        <f t="shared" si="70"/>
        <v>2.0637563819715564E-2</v>
      </c>
      <c r="W255" s="44">
        <f t="shared" si="70"/>
        <v>2.0918603113694947E-2</v>
      </c>
      <c r="X255" s="44">
        <f t="shared" si="71"/>
        <v>2.0798090514793442E-2</v>
      </c>
      <c r="Y255" s="44">
        <f t="shared" si="71"/>
        <v>2.0678647625970076E-2</v>
      </c>
      <c r="Z255" s="44">
        <f t="shared" si="71"/>
        <v>2.0561113582568329E-2</v>
      </c>
      <c r="AA255" s="44">
        <f t="shared" si="71"/>
        <v>2.0446233580271141E-2</v>
      </c>
      <c r="AB255" s="44">
        <f t="shared" si="71"/>
        <v>2.0334593452219635E-2</v>
      </c>
      <c r="AC255" s="44">
        <f t="shared" si="71"/>
        <v>2.0226826791236496E-2</v>
      </c>
      <c r="AD255" s="44">
        <f t="shared" si="71"/>
        <v>2.0104584121784418E-2</v>
      </c>
      <c r="AE255" s="44">
        <f t="shared" si="71"/>
        <v>1.9986661364854413E-2</v>
      </c>
    </row>
    <row r="256" spans="1:31" ht="16" customHeight="1" thickBot="1" x14ac:dyDescent="0.25">
      <c r="A256" s="51"/>
      <c r="B256" s="32" t="s">
        <v>82</v>
      </c>
      <c r="C256" s="34">
        <f>+SAM!W41</f>
        <v>9.6000000000000002E-2</v>
      </c>
      <c r="D256" s="45">
        <f t="shared" si="69"/>
        <v>0</v>
      </c>
      <c r="E256" s="45">
        <f t="shared" si="69"/>
        <v>0</v>
      </c>
      <c r="F256" s="45">
        <f t="shared" si="69"/>
        <v>8.3570348302463293E-3</v>
      </c>
      <c r="G256" s="45">
        <f t="shared" si="69"/>
        <v>1.0903817961481085E-2</v>
      </c>
      <c r="H256" s="45">
        <f t="shared" si="69"/>
        <v>1.3432982460174511E-2</v>
      </c>
      <c r="I256" s="45">
        <f t="shared" si="69"/>
        <v>1.5700582209815954E-2</v>
      </c>
      <c r="J256" s="45">
        <f t="shared" si="69"/>
        <v>1.756381396188484E-2</v>
      </c>
      <c r="K256" s="45">
        <f t="shared" si="69"/>
        <v>1.9003312201975698E-2</v>
      </c>
      <c r="L256" s="45">
        <f t="shared" si="69"/>
        <v>2.0081257556882979E-2</v>
      </c>
      <c r="M256" s="45">
        <f t="shared" si="69"/>
        <v>2.08869310649165E-2</v>
      </c>
      <c r="N256" s="45">
        <f t="shared" si="70"/>
        <v>2.1503077941839567E-2</v>
      </c>
      <c r="O256" s="45">
        <f t="shared" si="70"/>
        <v>2.1993355251053885E-2</v>
      </c>
      <c r="P256" s="45">
        <f t="shared" si="70"/>
        <v>2.2400726850547805E-2</v>
      </c>
      <c r="Q256" s="45">
        <f t="shared" si="70"/>
        <v>2.2862470858429448E-2</v>
      </c>
      <c r="R256" s="45">
        <f t="shared" si="70"/>
        <v>2.328835417520642E-2</v>
      </c>
      <c r="S256" s="45">
        <f t="shared" si="70"/>
        <v>2.3685701801326099E-2</v>
      </c>
      <c r="T256" s="45">
        <f t="shared" si="70"/>
        <v>2.4060695180220387E-2</v>
      </c>
      <c r="U256" s="45">
        <f t="shared" si="70"/>
        <v>2.4418951847679667E-2</v>
      </c>
      <c r="V256" s="45">
        <f t="shared" si="70"/>
        <v>2.476507658365867E-2</v>
      </c>
      <c r="W256" s="45">
        <f t="shared" si="70"/>
        <v>2.5102323736433931E-2</v>
      </c>
      <c r="X256" s="45">
        <f t="shared" si="71"/>
        <v>2.4957708617752126E-2</v>
      </c>
      <c r="Y256" s="45">
        <f t="shared" si="71"/>
        <v>2.4814377151164083E-2</v>
      </c>
      <c r="Z256" s="45">
        <f t="shared" si="71"/>
        <v>2.4673336299081992E-2</v>
      </c>
      <c r="AA256" s="45">
        <f t="shared" si="71"/>
        <v>2.4535480296325365E-2</v>
      </c>
      <c r="AB256" s="45">
        <f t="shared" si="71"/>
        <v>2.4401512142663558E-2</v>
      </c>
      <c r="AC256" s="45">
        <f t="shared" si="71"/>
        <v>2.4272192149483795E-2</v>
      </c>
      <c r="AD256" s="45">
        <f t="shared" si="71"/>
        <v>2.4125500946141298E-2</v>
      </c>
      <c r="AE256" s="45">
        <f t="shared" si="71"/>
        <v>2.3983993637825291E-2</v>
      </c>
    </row>
    <row r="257" spans="1:31" ht="16" customHeight="1" thickTop="1" x14ac:dyDescent="0.2">
      <c r="A257" s="54" t="s">
        <v>36</v>
      </c>
      <c r="B257" s="22" t="s">
        <v>43</v>
      </c>
      <c r="C257" s="14">
        <f>+SAM!AA2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50"/>
      <c r="B258" s="22" t="s">
        <v>44</v>
      </c>
      <c r="C258" s="14">
        <f>+SAM!AA3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50"/>
      <c r="B259" s="22" t="s">
        <v>45</v>
      </c>
      <c r="C259" s="14">
        <f>+SAM!AA4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50"/>
      <c r="B260" s="22" t="s">
        <v>46</v>
      </c>
      <c r="C260" s="14">
        <f>+SAM!AA5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50"/>
      <c r="B261" s="22" t="s">
        <v>47</v>
      </c>
      <c r="C261" s="14">
        <f>+SAM!AA6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50"/>
      <c r="B262" s="22" t="s">
        <v>48</v>
      </c>
      <c r="C262" s="14">
        <f>+SAM!AA7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50"/>
      <c r="B263" s="22" t="s">
        <v>49</v>
      </c>
      <c r="C263" s="14">
        <f>+SAM!AA8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50"/>
      <c r="B264" s="22" t="s">
        <v>50</v>
      </c>
      <c r="C264" s="14">
        <f>+SAM!AA9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50"/>
      <c r="B265" s="22" t="s">
        <v>51</v>
      </c>
      <c r="C265" s="14">
        <f>+SAM!AA10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50"/>
      <c r="B266" s="22" t="s">
        <v>52</v>
      </c>
      <c r="C266" s="23">
        <f>+SAM!AA11</f>
        <v>3.4000000000000002E-2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3.9813380034262507E-3</v>
      </c>
      <c r="H266" s="44">
        <f t="shared" si="72"/>
        <v>8.4756222842026149E-3</v>
      </c>
      <c r="I266" s="44">
        <f t="shared" si="72"/>
        <v>1.3519575069116748E-2</v>
      </c>
      <c r="J266" s="44">
        <f t="shared" si="72"/>
        <v>1.9157448587702991E-2</v>
      </c>
      <c r="K266" s="44">
        <f t="shared" si="72"/>
        <v>2.5424335463987629E-2</v>
      </c>
      <c r="L266" s="44">
        <f t="shared" si="72"/>
        <v>3.2360201544350389E-2</v>
      </c>
      <c r="M266" s="44">
        <f t="shared" si="72"/>
        <v>4.0006327906505885E-2</v>
      </c>
      <c r="N266" s="44">
        <f t="shared" si="73"/>
        <v>4.8405318080038562E-2</v>
      </c>
      <c r="O266" s="44">
        <f t="shared" si="73"/>
        <v>5.7601092117918452E-2</v>
      </c>
      <c r="P266" s="44">
        <f t="shared" si="73"/>
        <v>6.7638854335208984E-2</v>
      </c>
      <c r="Q266" s="44">
        <f t="shared" si="73"/>
        <v>6.9494372427366752E-2</v>
      </c>
      <c r="R266" s="44">
        <f t="shared" si="73"/>
        <v>7.1379401358430905E-2</v>
      </c>
      <c r="S266" s="44">
        <f t="shared" si="73"/>
        <v>7.3293691558017224E-2</v>
      </c>
      <c r="T266" s="44">
        <f t="shared" si="73"/>
        <v>7.5236985950794116E-2</v>
      </c>
      <c r="U266" s="44">
        <f t="shared" si="73"/>
        <v>7.7209002773516944E-2</v>
      </c>
      <c r="V266" s="44">
        <f t="shared" si="73"/>
        <v>7.9230804185864839E-2</v>
      </c>
      <c r="W266" s="44">
        <f t="shared" si="73"/>
        <v>8.1303897006489337E-2</v>
      </c>
      <c r="X266" s="44">
        <f t="shared" si="74"/>
        <v>8.342984096909338E-2</v>
      </c>
      <c r="Y266" s="44">
        <f t="shared" si="74"/>
        <v>8.5610297716153028E-2</v>
      </c>
      <c r="Z266" s="44">
        <f t="shared" si="74"/>
        <v>8.784700032013526E-2</v>
      </c>
      <c r="AA266" s="44">
        <f t="shared" si="74"/>
        <v>9.0141752088204644E-2</v>
      </c>
      <c r="AB266" s="44">
        <f t="shared" si="74"/>
        <v>9.2496297474947614E-2</v>
      </c>
      <c r="AC266" s="44">
        <f t="shared" si="74"/>
        <v>9.491251140537145E-2</v>
      </c>
      <c r="AD266" s="44">
        <f t="shared" si="74"/>
        <v>9.7392330146018377E-2</v>
      </c>
      <c r="AE266" s="44">
        <f t="shared" si="74"/>
        <v>9.9937718746681614E-2</v>
      </c>
    </row>
    <row r="267" spans="1:31" x14ac:dyDescent="0.2">
      <c r="A267" s="50"/>
      <c r="B267" s="22" t="s">
        <v>53</v>
      </c>
      <c r="C267" s="14">
        <f>+SAM!AA12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50"/>
      <c r="B268" s="22" t="s">
        <v>54</v>
      </c>
      <c r="C268" s="14">
        <f>+SAM!AA13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50"/>
      <c r="B269" s="22" t="s">
        <v>55</v>
      </c>
      <c r="C269" s="14">
        <f>+SAM!AA14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50"/>
      <c r="B270" s="22" t="s">
        <v>56</v>
      </c>
      <c r="C270" s="14">
        <f>+SAM!AA15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50"/>
      <c r="B271" s="22" t="s">
        <v>57</v>
      </c>
      <c r="C271" s="14">
        <f>+SAM!AA16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50"/>
      <c r="B272" s="22" t="s">
        <v>58</v>
      </c>
      <c r="C272" s="23">
        <f>+SAM!AA17</f>
        <v>0.1275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1.4930017512848439E-2</v>
      </c>
      <c r="H272" s="44">
        <f t="shared" si="75"/>
        <v>3.1783583565759804E-2</v>
      </c>
      <c r="I272" s="44">
        <f t="shared" si="75"/>
        <v>5.0698406509187798E-2</v>
      </c>
      <c r="J272" s="44">
        <f t="shared" si="75"/>
        <v>7.1840432203886209E-2</v>
      </c>
      <c r="K272" s="44">
        <f t="shared" si="75"/>
        <v>9.534125798995359E-2</v>
      </c>
      <c r="L272" s="44">
        <f t="shared" si="75"/>
        <v>0.12135075579131395</v>
      </c>
      <c r="M272" s="44">
        <f t="shared" si="75"/>
        <v>0.15002372964939706</v>
      </c>
      <c r="N272" s="44">
        <f t="shared" si="76"/>
        <v>0.18151994280014461</v>
      </c>
      <c r="O272" s="44">
        <f t="shared" si="76"/>
        <v>0.21600409544219418</v>
      </c>
      <c r="P272" s="44">
        <f t="shared" si="76"/>
        <v>0.25364570375703366</v>
      </c>
      <c r="Q272" s="44">
        <f t="shared" si="76"/>
        <v>0.26060389660262528</v>
      </c>
      <c r="R272" s="44">
        <f t="shared" si="76"/>
        <v>0.26767275509411592</v>
      </c>
      <c r="S272" s="44">
        <f t="shared" si="76"/>
        <v>0.27485134334256456</v>
      </c>
      <c r="T272" s="44">
        <f t="shared" si="76"/>
        <v>0.28213869731547792</v>
      </c>
      <c r="U272" s="44">
        <f t="shared" si="76"/>
        <v>0.28953376040068851</v>
      </c>
      <c r="V272" s="44">
        <f t="shared" si="76"/>
        <v>0.29711551569699313</v>
      </c>
      <c r="W272" s="44">
        <f t="shared" si="76"/>
        <v>0.30488961377433499</v>
      </c>
      <c r="X272" s="44">
        <f t="shared" si="77"/>
        <v>0.31286190363410016</v>
      </c>
      <c r="Y272" s="44">
        <f t="shared" si="77"/>
        <v>0.32103861643557385</v>
      </c>
      <c r="Z272" s="44">
        <f t="shared" si="77"/>
        <v>0.32942625120050723</v>
      </c>
      <c r="AA272" s="44">
        <f t="shared" si="77"/>
        <v>0.33803157033076736</v>
      </c>
      <c r="AB272" s="44">
        <f t="shared" si="77"/>
        <v>0.34686111553105353</v>
      </c>
      <c r="AC272" s="44">
        <f t="shared" si="77"/>
        <v>0.35592191777014293</v>
      </c>
      <c r="AD272" s="44">
        <f t="shared" si="77"/>
        <v>0.3652212380475689</v>
      </c>
      <c r="AE272" s="44">
        <f t="shared" si="77"/>
        <v>0.37476644530005598</v>
      </c>
    </row>
    <row r="273" spans="1:31" x14ac:dyDescent="0.2">
      <c r="A273" s="50"/>
      <c r="B273" s="22" t="s">
        <v>59</v>
      </c>
      <c r="C273" s="14">
        <f>+SAM!AA18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50"/>
      <c r="B274" s="22" t="s">
        <v>60</v>
      </c>
      <c r="C274" s="14">
        <f>+SAM!AA19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50"/>
      <c r="B275" s="22" t="s">
        <v>61</v>
      </c>
      <c r="C275" s="14">
        <f>+SAM!AA20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50"/>
      <c r="B276" s="22" t="s">
        <v>62</v>
      </c>
      <c r="C276" s="14">
        <f>+SAM!AA21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50"/>
      <c r="B277" s="22" t="s">
        <v>63</v>
      </c>
      <c r="C277" s="14">
        <f>+SAM!AA22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50"/>
      <c r="B278" s="22" t="s">
        <v>64</v>
      </c>
      <c r="C278" s="14">
        <f>+SAM!AA23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50"/>
      <c r="B279" s="22" t="s">
        <v>65</v>
      </c>
      <c r="C279" s="14">
        <f>+SAM!AA24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50"/>
      <c r="B280" s="22" t="s">
        <v>66</v>
      </c>
      <c r="C280" s="14">
        <f>+SAM!AA25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50"/>
      <c r="B281" s="22" t="s">
        <v>67</v>
      </c>
      <c r="C281" s="14">
        <f>+SAM!AA26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50"/>
      <c r="B282" s="22" t="s">
        <v>68</v>
      </c>
      <c r="C282" s="14">
        <f>+SAM!AA27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50"/>
      <c r="B283" s="22" t="s">
        <v>69</v>
      </c>
      <c r="C283" s="14">
        <f>+SAM!AA28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50"/>
      <c r="B284" s="22" t="s">
        <v>70</v>
      </c>
      <c r="C284" s="23">
        <f>+SAM!AA29</f>
        <v>0.10199999999999999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1.1944014010278751E-2</v>
      </c>
      <c r="H284" s="44">
        <f t="shared" si="78"/>
        <v>2.5426866852607841E-2</v>
      </c>
      <c r="I284" s="44">
        <f t="shared" si="78"/>
        <v>4.0558725207350238E-2</v>
      </c>
      <c r="J284" s="44">
        <f t="shared" si="78"/>
        <v>5.7472345763108966E-2</v>
      </c>
      <c r="K284" s="44">
        <f t="shared" si="78"/>
        <v>7.6273006391962869E-2</v>
      </c>
      <c r="L284" s="44">
        <f t="shared" si="78"/>
        <v>9.7080604633051154E-2</v>
      </c>
      <c r="M284" s="44">
        <f t="shared" si="78"/>
        <v>0.12001898371951764</v>
      </c>
      <c r="N284" s="44">
        <f t="shared" si="79"/>
        <v>0.14521595424011566</v>
      </c>
      <c r="O284" s="44">
        <f t="shared" si="79"/>
        <v>0.17280327635375534</v>
      </c>
      <c r="P284" s="44">
        <f t="shared" si="79"/>
        <v>0.20291656300562691</v>
      </c>
      <c r="Q284" s="44">
        <f t="shared" si="79"/>
        <v>0.20848311728210023</v>
      </c>
      <c r="R284" s="44">
        <f t="shared" si="79"/>
        <v>0.21413820407529272</v>
      </c>
      <c r="S284" s="44">
        <f t="shared" si="79"/>
        <v>0.21988107467405163</v>
      </c>
      <c r="T284" s="44">
        <f t="shared" si="79"/>
        <v>0.22571095785238232</v>
      </c>
      <c r="U284" s="44">
        <f t="shared" si="79"/>
        <v>0.2316270083205508</v>
      </c>
      <c r="V284" s="44">
        <f t="shared" si="79"/>
        <v>0.23769241255759449</v>
      </c>
      <c r="W284" s="44">
        <f t="shared" si="79"/>
        <v>0.243911691019468</v>
      </c>
      <c r="X284" s="44">
        <f t="shared" si="80"/>
        <v>0.25028952290728013</v>
      </c>
      <c r="Y284" s="44">
        <f t="shared" si="80"/>
        <v>0.25683089314845908</v>
      </c>
      <c r="Z284" s="44">
        <f t="shared" si="80"/>
        <v>0.26354100096040572</v>
      </c>
      <c r="AA284" s="44">
        <f t="shared" si="80"/>
        <v>0.27042525626461389</v>
      </c>
      <c r="AB284" s="44">
        <f t="shared" si="80"/>
        <v>0.27748889242484281</v>
      </c>
      <c r="AC284" s="44">
        <f t="shared" si="80"/>
        <v>0.28473753421611431</v>
      </c>
      <c r="AD284" s="44">
        <f t="shared" si="80"/>
        <v>0.29217699043805512</v>
      </c>
      <c r="AE284" s="44">
        <f t="shared" si="80"/>
        <v>0.29981315624004479</v>
      </c>
    </row>
    <row r="285" spans="1:31" x14ac:dyDescent="0.2">
      <c r="A285" s="50"/>
      <c r="B285" s="22" t="s">
        <v>71</v>
      </c>
      <c r="C285" s="23">
        <f>+SAM!AA30</f>
        <v>0.46750000000000003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5.4743397547110946E-2</v>
      </c>
      <c r="H285" s="44">
        <f t="shared" si="78"/>
        <v>0.11653980640778595</v>
      </c>
      <c r="I285" s="44">
        <f t="shared" si="78"/>
        <v>0.18589415720035526</v>
      </c>
      <c r="J285" s="44">
        <f t="shared" si="78"/>
        <v>0.26341491808091611</v>
      </c>
      <c r="K285" s="44">
        <f t="shared" si="78"/>
        <v>0.34958461262982987</v>
      </c>
      <c r="L285" s="44">
        <f t="shared" si="78"/>
        <v>0.4449527712348178</v>
      </c>
      <c r="M285" s="44">
        <f t="shared" si="78"/>
        <v>0.55008700871445593</v>
      </c>
      <c r="N285" s="44">
        <f t="shared" si="79"/>
        <v>0.66557312360053023</v>
      </c>
      <c r="O285" s="44">
        <f t="shared" si="79"/>
        <v>0.79201501662137874</v>
      </c>
      <c r="P285" s="44">
        <f t="shared" si="79"/>
        <v>0.93003424710912352</v>
      </c>
      <c r="Q285" s="44">
        <f t="shared" si="79"/>
        <v>0.95554762087629286</v>
      </c>
      <c r="R285" s="44">
        <f t="shared" si="79"/>
        <v>0.98146676867842497</v>
      </c>
      <c r="S285" s="44">
        <f t="shared" si="79"/>
        <v>1.0077882589227367</v>
      </c>
      <c r="T285" s="44">
        <f t="shared" si="79"/>
        <v>1.0345085568234191</v>
      </c>
      <c r="U285" s="44">
        <f t="shared" si="79"/>
        <v>1.0616237881358579</v>
      </c>
      <c r="V285" s="44">
        <f t="shared" si="79"/>
        <v>1.0894235575556415</v>
      </c>
      <c r="W285" s="44">
        <f t="shared" si="79"/>
        <v>1.1179285838392283</v>
      </c>
      <c r="X285" s="44">
        <f t="shared" si="80"/>
        <v>1.1471603133250341</v>
      </c>
      <c r="Y285" s="44">
        <f t="shared" si="80"/>
        <v>1.1771415935971041</v>
      </c>
      <c r="Z285" s="44">
        <f t="shared" si="80"/>
        <v>1.2078962544018599</v>
      </c>
      <c r="AA285" s="44">
        <f t="shared" si="80"/>
        <v>1.2394490912128138</v>
      </c>
      <c r="AB285" s="44">
        <f t="shared" si="80"/>
        <v>1.2718240902805298</v>
      </c>
      <c r="AC285" s="44">
        <f t="shared" si="80"/>
        <v>1.3050470318238574</v>
      </c>
      <c r="AD285" s="44">
        <f t="shared" si="80"/>
        <v>1.3391445395077526</v>
      </c>
      <c r="AE285" s="44">
        <f t="shared" si="80"/>
        <v>1.3741436327668721</v>
      </c>
    </row>
    <row r="286" spans="1:31" x14ac:dyDescent="0.2">
      <c r="A286" s="50"/>
      <c r="B286" s="22" t="s">
        <v>72</v>
      </c>
      <c r="C286" s="14">
        <f>+SAM!AA31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50"/>
      <c r="B287" s="22" t="s">
        <v>73</v>
      </c>
      <c r="C287" s="14">
        <f>+SAM!AA32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50"/>
      <c r="B288" s="22" t="s">
        <v>74</v>
      </c>
      <c r="C288" s="14">
        <f>+SAM!AA33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50"/>
      <c r="B289" s="22" t="s">
        <v>75</v>
      </c>
      <c r="C289" s="14">
        <f>+SAM!AA34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50"/>
      <c r="B290" s="22" t="s">
        <v>76</v>
      </c>
      <c r="C290" s="14">
        <f>+SAM!AA35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50"/>
      <c r="B291" s="22" t="s">
        <v>77</v>
      </c>
      <c r="C291" s="14">
        <f>+SAM!AA36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50"/>
      <c r="B292" s="22" t="s">
        <v>78</v>
      </c>
      <c r="C292" s="23">
        <f>+SAM!AA37</f>
        <v>5.0999999999999997E-2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5.9720070051393756E-3</v>
      </c>
      <c r="H292" s="44">
        <f t="shared" si="81"/>
        <v>1.2713433426303921E-2</v>
      </c>
      <c r="I292" s="44">
        <f t="shared" si="81"/>
        <v>2.0279362603675119E-2</v>
      </c>
      <c r="J292" s="44">
        <f t="shared" si="81"/>
        <v>2.8736172881554483E-2</v>
      </c>
      <c r="K292" s="44">
        <f t="shared" si="81"/>
        <v>3.8136503195981435E-2</v>
      </c>
      <c r="L292" s="44">
        <f t="shared" si="81"/>
        <v>4.8540302316525577E-2</v>
      </c>
      <c r="M292" s="44">
        <f t="shared" si="81"/>
        <v>6.0009491859758818E-2</v>
      </c>
      <c r="N292" s="44">
        <f t="shared" si="82"/>
        <v>7.2607977120057829E-2</v>
      </c>
      <c r="O292" s="44">
        <f t="shared" si="82"/>
        <v>8.6401638176877668E-2</v>
      </c>
      <c r="P292" s="44">
        <f t="shared" si="82"/>
        <v>0.10145828150281345</v>
      </c>
      <c r="Q292" s="44">
        <f t="shared" si="82"/>
        <v>0.10424155864105011</v>
      </c>
      <c r="R292" s="44">
        <f t="shared" si="82"/>
        <v>0.10706910203764636</v>
      </c>
      <c r="S292" s="44">
        <f t="shared" si="82"/>
        <v>0.10994053733702581</v>
      </c>
      <c r="T292" s="44">
        <f t="shared" si="82"/>
        <v>0.11285547892619116</v>
      </c>
      <c r="U292" s="44">
        <f t="shared" si="82"/>
        <v>0.1158135041602754</v>
      </c>
      <c r="V292" s="44">
        <f t="shared" si="82"/>
        <v>0.11884620627879725</v>
      </c>
      <c r="W292" s="44">
        <f t="shared" si="82"/>
        <v>0.121955845509734</v>
      </c>
      <c r="X292" s="44">
        <f t="shared" si="83"/>
        <v>0.12514476145364006</v>
      </c>
      <c r="Y292" s="44">
        <f t="shared" si="83"/>
        <v>0.12841544657422954</v>
      </c>
      <c r="Z292" s="44">
        <f t="shared" si="83"/>
        <v>0.13177050048020286</v>
      </c>
      <c r="AA292" s="44">
        <f t="shared" si="83"/>
        <v>0.13521262813230694</v>
      </c>
      <c r="AB292" s="44">
        <f t="shared" si="83"/>
        <v>0.13874444621242141</v>
      </c>
      <c r="AC292" s="44">
        <f t="shared" si="83"/>
        <v>0.14236876710805715</v>
      </c>
      <c r="AD292" s="44">
        <f t="shared" si="83"/>
        <v>0.14608849521902756</v>
      </c>
      <c r="AE292" s="44">
        <f t="shared" si="83"/>
        <v>0.14990657812002239</v>
      </c>
    </row>
    <row r="293" spans="1:31" x14ac:dyDescent="0.2">
      <c r="A293" s="50"/>
      <c r="B293" s="22" t="s">
        <v>79</v>
      </c>
      <c r="C293" s="14">
        <f>+SAM!AA38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50"/>
      <c r="B294" s="22" t="s">
        <v>80</v>
      </c>
      <c r="C294" s="14">
        <f>+SAM!AA39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50"/>
      <c r="B295" s="22" t="s">
        <v>81</v>
      </c>
      <c r="C295" s="14">
        <f>+SAM!AA40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51"/>
      <c r="B296" s="32" t="s">
        <v>82</v>
      </c>
      <c r="C296" s="34">
        <f>+SAM!AA41</f>
        <v>6.8000000000000005E-2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7.9626760068525013E-3</v>
      </c>
      <c r="H296" s="45">
        <f t="shared" si="81"/>
        <v>1.695124456840523E-2</v>
      </c>
      <c r="I296" s="45">
        <f t="shared" si="81"/>
        <v>2.7039150138233495E-2</v>
      </c>
      <c r="J296" s="45">
        <f t="shared" si="81"/>
        <v>3.8314897175405982E-2</v>
      </c>
      <c r="K296" s="45">
        <f t="shared" si="81"/>
        <v>5.0848670927975258E-2</v>
      </c>
      <c r="L296" s="45">
        <f t="shared" si="81"/>
        <v>6.4720403088700779E-2</v>
      </c>
      <c r="M296" s="45">
        <f t="shared" si="81"/>
        <v>8.0012655813011771E-2</v>
      </c>
      <c r="N296" s="45">
        <f t="shared" si="82"/>
        <v>9.6810636160077124E-2</v>
      </c>
      <c r="O296" s="45">
        <f t="shared" si="82"/>
        <v>0.1152021842358369</v>
      </c>
      <c r="P296" s="45">
        <f t="shared" si="82"/>
        <v>0.13527770867041797</v>
      </c>
      <c r="Q296" s="45">
        <f t="shared" si="82"/>
        <v>0.1389887448547335</v>
      </c>
      <c r="R296" s="45">
        <f t="shared" si="82"/>
        <v>0.14275880271686181</v>
      </c>
      <c r="S296" s="45">
        <f t="shared" si="82"/>
        <v>0.14658738311603445</v>
      </c>
      <c r="T296" s="45">
        <f t="shared" si="82"/>
        <v>0.15047397190158823</v>
      </c>
      <c r="U296" s="45">
        <f t="shared" si="82"/>
        <v>0.15441800554703389</v>
      </c>
      <c r="V296" s="45">
        <f t="shared" si="82"/>
        <v>0.15846160837172968</v>
      </c>
      <c r="W296" s="45">
        <f t="shared" si="82"/>
        <v>0.16260779401297867</v>
      </c>
      <c r="X296" s="45">
        <f t="shared" si="83"/>
        <v>0.16685968193818676</v>
      </c>
      <c r="Y296" s="45">
        <f t="shared" si="83"/>
        <v>0.17122059543230606</v>
      </c>
      <c r="Z296" s="45">
        <f t="shared" si="83"/>
        <v>0.17569400064027052</v>
      </c>
      <c r="AA296" s="45">
        <f t="shared" si="83"/>
        <v>0.18028350417640929</v>
      </c>
      <c r="AB296" s="45">
        <f t="shared" si="83"/>
        <v>0.18499259494989523</v>
      </c>
      <c r="AC296" s="45">
        <f t="shared" si="83"/>
        <v>0.1898250228107429</v>
      </c>
      <c r="AD296" s="45">
        <f t="shared" si="83"/>
        <v>0.19478466029203675</v>
      </c>
      <c r="AE296" s="45">
        <f t="shared" si="83"/>
        <v>0.19987543749336323</v>
      </c>
    </row>
    <row r="297" spans="1:31" ht="16" customHeight="1" thickTop="1" x14ac:dyDescent="0.2">
      <c r="A297" s="54" t="s">
        <v>37</v>
      </c>
      <c r="B297" s="22" t="s">
        <v>43</v>
      </c>
      <c r="C297" s="14">
        <f>+SAM!AE2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50"/>
      <c r="B298" s="22" t="s">
        <v>44</v>
      </c>
      <c r="C298" s="14">
        <f>+SAM!AE3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50"/>
      <c r="B299" s="22" t="s">
        <v>45</v>
      </c>
      <c r="C299" s="14">
        <f>+SAM!AE4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50"/>
      <c r="B300" s="22" t="s">
        <v>46</v>
      </c>
      <c r="C300" s="14">
        <f>+SAM!AE5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50"/>
      <c r="B301" s="22" t="s">
        <v>47</v>
      </c>
      <c r="C301" s="14">
        <f>+SAM!AE6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50"/>
      <c r="B302" s="22" t="s">
        <v>48</v>
      </c>
      <c r="C302" s="14">
        <f>+SAM!AE7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50"/>
      <c r="B303" s="22" t="s">
        <v>49</v>
      </c>
      <c r="C303" s="14">
        <f>+SAM!AE8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50"/>
      <c r="B304" s="22" t="s">
        <v>50</v>
      </c>
      <c r="C304" s="14">
        <f>+SAM!AE9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50"/>
      <c r="B305" s="22" t="s">
        <v>51</v>
      </c>
      <c r="C305" s="14">
        <f>+SAM!AE10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50"/>
      <c r="B306" s="22" t="s">
        <v>52</v>
      </c>
      <c r="C306" s="23">
        <f>+SAM!AE11</f>
        <v>3.4000000000000002E-2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50"/>
      <c r="B307" s="22" t="s">
        <v>53</v>
      </c>
      <c r="C307" s="14">
        <f>+SAM!AE12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50"/>
      <c r="B308" s="22" t="s">
        <v>54</v>
      </c>
      <c r="C308" s="14">
        <f>+SAM!AE13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50"/>
      <c r="B309" s="22" t="s">
        <v>55</v>
      </c>
      <c r="C309" s="14">
        <f>+SAM!AE14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50"/>
      <c r="B310" s="22" t="s">
        <v>56</v>
      </c>
      <c r="C310" s="14">
        <f>+SAM!AE15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50"/>
      <c r="B311" s="22" t="s">
        <v>57</v>
      </c>
      <c r="C311" s="14">
        <f>+SAM!AE16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50"/>
      <c r="B312" s="22" t="s">
        <v>58</v>
      </c>
      <c r="C312" s="23">
        <f>+SAM!AE17</f>
        <v>0.1275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50"/>
      <c r="B313" s="22" t="s">
        <v>59</v>
      </c>
      <c r="C313" s="14">
        <f>+SAM!AE18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50"/>
      <c r="B314" s="22" t="s">
        <v>60</v>
      </c>
      <c r="C314" s="14">
        <f>+SAM!AE19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50"/>
      <c r="B315" s="22" t="s">
        <v>61</v>
      </c>
      <c r="C315" s="14">
        <f>+SAM!AE20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50"/>
      <c r="B316" s="22" t="s">
        <v>62</v>
      </c>
      <c r="C316" s="14">
        <f>+SAM!AE21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50"/>
      <c r="B317" s="22" t="s">
        <v>63</v>
      </c>
      <c r="C317" s="14">
        <f>+SAM!AE22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50"/>
      <c r="B318" s="22" t="s">
        <v>64</v>
      </c>
      <c r="C318" s="14">
        <f>+SAM!AE23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50"/>
      <c r="B319" s="22" t="s">
        <v>65</v>
      </c>
      <c r="C319" s="14">
        <f>+SAM!AE24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50"/>
      <c r="B320" s="22" t="s">
        <v>66</v>
      </c>
      <c r="C320" s="14">
        <f>+SAM!AE25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50"/>
      <c r="B321" s="22" t="s">
        <v>67</v>
      </c>
      <c r="C321" s="14">
        <f>+SAM!AE26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50"/>
      <c r="B322" s="22" t="s">
        <v>68</v>
      </c>
      <c r="C322" s="14">
        <f>+SAM!AE27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50"/>
      <c r="B323" s="22" t="s">
        <v>69</v>
      </c>
      <c r="C323" s="14">
        <f>+SAM!AE28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50"/>
      <c r="B324" s="22" t="s">
        <v>70</v>
      </c>
      <c r="C324" s="23">
        <f>+SAM!AE29</f>
        <v>0.10199999999999999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50"/>
      <c r="B325" s="22" t="s">
        <v>71</v>
      </c>
      <c r="C325" s="23">
        <f>+SAM!AE30</f>
        <v>0.46750000000000003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50"/>
      <c r="B326" s="22" t="s">
        <v>72</v>
      </c>
      <c r="C326" s="14">
        <f>+SAM!AE31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50"/>
      <c r="B327" s="22" t="s">
        <v>73</v>
      </c>
      <c r="C327" s="14">
        <f>+SAM!AE32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50"/>
      <c r="B328" s="22" t="s">
        <v>74</v>
      </c>
      <c r="C328" s="14">
        <f>+SAM!AE33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50"/>
      <c r="B329" s="22" t="s">
        <v>75</v>
      </c>
      <c r="C329" s="14">
        <f>+SAM!AE34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50"/>
      <c r="B330" s="22" t="s">
        <v>76</v>
      </c>
      <c r="C330" s="14">
        <f>+SAM!AE35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50"/>
      <c r="B331" s="22" t="s">
        <v>77</v>
      </c>
      <c r="C331" s="14">
        <f>+SAM!AE36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50"/>
      <c r="B332" s="22" t="s">
        <v>78</v>
      </c>
      <c r="C332" s="23">
        <f>+SAM!AE37</f>
        <v>5.0999999999999997E-2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50"/>
      <c r="B333" s="22" t="s">
        <v>79</v>
      </c>
      <c r="C333" s="14">
        <f>+SAM!AE38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50"/>
      <c r="B334" s="22" t="s">
        <v>80</v>
      </c>
      <c r="C334" s="14">
        <f>+SAM!AE39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50"/>
      <c r="B335" s="22" t="s">
        <v>81</v>
      </c>
      <c r="C335" s="14">
        <f>+SAM!AE40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51"/>
      <c r="B336" s="32" t="s">
        <v>82</v>
      </c>
      <c r="C336" s="34">
        <f>+SAM!AE41</f>
        <v>6.8000000000000005E-2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54" t="s">
        <v>38</v>
      </c>
      <c r="B337" s="22" t="s">
        <v>43</v>
      </c>
      <c r="C337" s="14">
        <f>+SAM!AI2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50"/>
      <c r="B338" s="22" t="s">
        <v>44</v>
      </c>
      <c r="C338" s="14">
        <f>+SAM!AI3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50"/>
      <c r="B339" s="22" t="s">
        <v>45</v>
      </c>
      <c r="C339" s="14">
        <f>+SAM!AI4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50"/>
      <c r="B340" s="22" t="s">
        <v>46</v>
      </c>
      <c r="C340" s="14">
        <f>+SAM!AI5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50"/>
      <c r="B341" s="22" t="s">
        <v>47</v>
      </c>
      <c r="C341" s="14">
        <f>+SAM!AI6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50"/>
      <c r="B342" s="22" t="s">
        <v>48</v>
      </c>
      <c r="C342" s="14">
        <f>+SAM!AI7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50"/>
      <c r="B343" s="22" t="s">
        <v>49</v>
      </c>
      <c r="C343" s="14">
        <f>+SAM!AI8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50"/>
      <c r="B344" s="22" t="s">
        <v>50</v>
      </c>
      <c r="C344" s="14">
        <f>+SAM!AI9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50"/>
      <c r="B345" s="22" t="s">
        <v>51</v>
      </c>
      <c r="C345" s="14">
        <f>+SAM!AI10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50"/>
      <c r="B346" s="22" t="s">
        <v>52</v>
      </c>
      <c r="C346" s="14">
        <f>+SAM!AI11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50"/>
      <c r="B347" s="22" t="s">
        <v>53</v>
      </c>
      <c r="C347" s="14">
        <f>+SAM!AI12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50"/>
      <c r="B348" s="22" t="s">
        <v>54</v>
      </c>
      <c r="C348" s="14">
        <f>+SAM!AI13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50"/>
      <c r="B349" s="22" t="s">
        <v>55</v>
      </c>
      <c r="C349" s="14">
        <f>+SAM!AI14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50"/>
      <c r="B350" s="22" t="s">
        <v>56</v>
      </c>
      <c r="C350" s="14">
        <f>+SAM!AI15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50"/>
      <c r="B351" s="22" t="s">
        <v>57</v>
      </c>
      <c r="C351" s="14">
        <f>+SAM!AI16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50"/>
      <c r="B352" s="22" t="s">
        <v>58</v>
      </c>
      <c r="C352" s="14">
        <f>+SAM!AI17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50"/>
      <c r="B353" s="22" t="s">
        <v>59</v>
      </c>
      <c r="C353" s="14">
        <f>+SAM!AI18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50"/>
      <c r="B354" s="22" t="s">
        <v>60</v>
      </c>
      <c r="C354" s="14">
        <f>+SAM!AI19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50"/>
      <c r="B355" s="22" t="s">
        <v>61</v>
      </c>
      <c r="C355" s="14">
        <f>+SAM!AI20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50"/>
      <c r="B356" s="22" t="s">
        <v>62</v>
      </c>
      <c r="C356" s="14">
        <f>+SAM!AI21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50"/>
      <c r="B357" s="22" t="s">
        <v>63</v>
      </c>
      <c r="C357" s="14">
        <f>+SAM!AI22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50"/>
      <c r="B358" s="22" t="s">
        <v>64</v>
      </c>
      <c r="C358" s="14">
        <f>+SAM!AI23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50"/>
      <c r="B359" s="22" t="s">
        <v>65</v>
      </c>
      <c r="C359" s="14">
        <f>+SAM!AI24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50"/>
      <c r="B360" s="22" t="s">
        <v>66</v>
      </c>
      <c r="C360" s="14">
        <f>+SAM!AI25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50"/>
      <c r="B361" s="22" t="s">
        <v>67</v>
      </c>
      <c r="C361" s="14">
        <f>+SAM!AI26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50"/>
      <c r="B362" s="22" t="s">
        <v>68</v>
      </c>
      <c r="C362" s="14">
        <f>+SAM!AI27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50"/>
      <c r="B363" s="22" t="s">
        <v>69</v>
      </c>
      <c r="C363" s="14">
        <f>+SAM!AI28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50"/>
      <c r="B364" s="22" t="s">
        <v>70</v>
      </c>
      <c r="C364" s="14">
        <f>+SAM!AI29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50"/>
      <c r="B365" s="22" t="s">
        <v>71</v>
      </c>
      <c r="C365" s="23">
        <f>+SAM!AI30</f>
        <v>0.5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50"/>
      <c r="B366" s="22" t="s">
        <v>72</v>
      </c>
      <c r="C366" s="14">
        <f>+SAM!AI31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50"/>
      <c r="B367" s="22" t="s">
        <v>73</v>
      </c>
      <c r="C367" s="14">
        <f>+SAM!AI32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50"/>
      <c r="B368" s="22" t="s">
        <v>74</v>
      </c>
      <c r="C368" s="14">
        <f>+SAM!AI33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50"/>
      <c r="B369" s="22" t="s">
        <v>75</v>
      </c>
      <c r="C369" s="14">
        <f>+SAM!AI34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50"/>
      <c r="B370" s="22" t="s">
        <v>76</v>
      </c>
      <c r="C370" s="14">
        <f>+SAM!AI35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50"/>
      <c r="B371" s="22" t="s">
        <v>77</v>
      </c>
      <c r="C371" s="14">
        <f>+SAM!AI36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50"/>
      <c r="B372" s="22" t="s">
        <v>78</v>
      </c>
      <c r="C372" s="14">
        <f>+SAM!AI37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50"/>
      <c r="B373" s="22" t="s">
        <v>79</v>
      </c>
      <c r="C373" s="14">
        <f>+SAM!AI38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50"/>
      <c r="B374" s="22" t="s">
        <v>80</v>
      </c>
      <c r="C374" s="14">
        <f>+SAM!AI39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50"/>
      <c r="B375" s="22" t="s">
        <v>81</v>
      </c>
      <c r="C375" s="14">
        <f>+SAM!AI40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51"/>
      <c r="B376" s="32" t="s">
        <v>82</v>
      </c>
      <c r="C376" s="36">
        <f>+SAM!AI41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54" t="s">
        <v>39</v>
      </c>
      <c r="B377" s="22" t="s">
        <v>43</v>
      </c>
      <c r="C377" s="23">
        <f>+SAM!AM2</f>
        <v>0.1275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0.1256530229941307</v>
      </c>
      <c r="G377" s="46">
        <f t="shared" si="108"/>
        <v>0.15524794906579834</v>
      </c>
      <c r="H377" s="46">
        <f t="shared" si="108"/>
        <v>0.18168453002881668</v>
      </c>
      <c r="I377" s="46">
        <f t="shared" si="108"/>
        <v>0.20450879330440139</v>
      </c>
      <c r="J377" s="46">
        <f t="shared" si="108"/>
        <v>0.22426658267689439</v>
      </c>
      <c r="K377" s="46">
        <f t="shared" si="108"/>
        <v>0.24098045782767977</v>
      </c>
      <c r="L377" s="46">
        <f t="shared" si="108"/>
        <v>0.25612376257482694</v>
      </c>
      <c r="M377" s="46">
        <f t="shared" si="108"/>
        <v>0.27014809340177143</v>
      </c>
      <c r="N377" s="46">
        <f t="shared" ref="N377:W386" si="109">+$C377*N$12</f>
        <v>0.28331182567929036</v>
      </c>
      <c r="O377" s="46">
        <f t="shared" si="109"/>
        <v>0.29588451053236198</v>
      </c>
      <c r="P377" s="46">
        <f t="shared" si="109"/>
        <v>0.30810642856294607</v>
      </c>
      <c r="Q377" s="46">
        <f t="shared" si="109"/>
        <v>0.32012944815229122</v>
      </c>
      <c r="R377" s="46">
        <f t="shared" si="109"/>
        <v>0.33198594941228748</v>
      </c>
      <c r="S377" s="46">
        <f t="shared" si="109"/>
        <v>0.34353688506884811</v>
      </c>
      <c r="T377" s="46">
        <f t="shared" si="109"/>
        <v>0.35463927700443076</v>
      </c>
      <c r="U377" s="46">
        <f t="shared" si="109"/>
        <v>0.36509823300444572</v>
      </c>
      <c r="V377" s="46">
        <f t="shared" si="109"/>
        <v>0.37467232758580366</v>
      </c>
      <c r="W377" s="46">
        <f t="shared" si="109"/>
        <v>0.38336558583268859</v>
      </c>
      <c r="X377" s="46">
        <f t="shared" ref="X377:AE386" si="110">+$C377*X$12</f>
        <v>0.39068525795471926</v>
      </c>
      <c r="Y377" s="46">
        <f t="shared" si="110"/>
        <v>0.39579439024439445</v>
      </c>
      <c r="Z377" s="46">
        <f t="shared" si="110"/>
        <v>0.39968645093864558</v>
      </c>
      <c r="AA377" s="46">
        <f t="shared" si="110"/>
        <v>0.40234110123590411</v>
      </c>
      <c r="AB377" s="46">
        <f t="shared" si="110"/>
        <v>0.40363594026614052</v>
      </c>
      <c r="AC377" s="46">
        <f t="shared" si="110"/>
        <v>0.4034325468223745</v>
      </c>
      <c r="AD377" s="46">
        <f t="shared" si="110"/>
        <v>0.39922978442101514</v>
      </c>
      <c r="AE377" s="46">
        <f t="shared" si="110"/>
        <v>0.41787353084641959</v>
      </c>
    </row>
    <row r="378" spans="1:31" x14ac:dyDescent="0.2">
      <c r="A378" s="50"/>
      <c r="B378" s="22" t="s">
        <v>44</v>
      </c>
      <c r="C378" s="23">
        <f>+SAM!AM3</f>
        <v>0.29749999999999999</v>
      </c>
      <c r="D378" s="44">
        <f t="shared" si="108"/>
        <v>0</v>
      </c>
      <c r="E378" s="44">
        <f t="shared" si="108"/>
        <v>0</v>
      </c>
      <c r="F378" s="44">
        <f t="shared" si="108"/>
        <v>0.29319038698630495</v>
      </c>
      <c r="G378" s="44">
        <f t="shared" si="108"/>
        <v>0.36224521448686275</v>
      </c>
      <c r="H378" s="44">
        <f t="shared" si="108"/>
        <v>0.42393057006723889</v>
      </c>
      <c r="I378" s="44">
        <f t="shared" si="108"/>
        <v>0.47718718437693652</v>
      </c>
      <c r="J378" s="44">
        <f t="shared" si="108"/>
        <v>0.52328869291275359</v>
      </c>
      <c r="K378" s="44">
        <f t="shared" si="108"/>
        <v>0.56228773493125273</v>
      </c>
      <c r="L378" s="44">
        <f t="shared" si="108"/>
        <v>0.5976221126745962</v>
      </c>
      <c r="M378" s="44">
        <f t="shared" si="108"/>
        <v>0.63034555127079994</v>
      </c>
      <c r="N378" s="44">
        <f t="shared" si="109"/>
        <v>0.6610609265850107</v>
      </c>
      <c r="O378" s="44">
        <f t="shared" si="109"/>
        <v>0.69039719124217791</v>
      </c>
      <c r="P378" s="44">
        <f t="shared" si="109"/>
        <v>0.71891499998020747</v>
      </c>
      <c r="Q378" s="44">
        <f t="shared" si="109"/>
        <v>0.74696871235534612</v>
      </c>
      <c r="R378" s="44">
        <f t="shared" si="109"/>
        <v>0.77463388196200411</v>
      </c>
      <c r="S378" s="44">
        <f t="shared" si="109"/>
        <v>0.80158606516064557</v>
      </c>
      <c r="T378" s="44">
        <f t="shared" si="109"/>
        <v>0.82749164634367167</v>
      </c>
      <c r="U378" s="44">
        <f t="shared" si="109"/>
        <v>0.85189587701037339</v>
      </c>
      <c r="V378" s="44">
        <f t="shared" si="109"/>
        <v>0.87423543103354173</v>
      </c>
      <c r="W378" s="44">
        <f t="shared" si="109"/>
        <v>0.89451970027627326</v>
      </c>
      <c r="X378" s="44">
        <f t="shared" si="110"/>
        <v>0.91159893522767821</v>
      </c>
      <c r="Y378" s="44">
        <f t="shared" si="110"/>
        <v>0.92352024390358689</v>
      </c>
      <c r="Z378" s="44">
        <f t="shared" si="110"/>
        <v>0.93260171885683962</v>
      </c>
      <c r="AA378" s="44">
        <f t="shared" si="110"/>
        <v>0.93879590288377623</v>
      </c>
      <c r="AB378" s="44">
        <f t="shared" si="110"/>
        <v>0.94181719395432784</v>
      </c>
      <c r="AC378" s="44">
        <f t="shared" si="110"/>
        <v>0.94134260925220714</v>
      </c>
      <c r="AD378" s="44">
        <f t="shared" si="110"/>
        <v>0.93153616364903524</v>
      </c>
      <c r="AE378" s="44">
        <f t="shared" si="110"/>
        <v>0.97503823864164563</v>
      </c>
    </row>
    <row r="379" spans="1:31" x14ac:dyDescent="0.2">
      <c r="A379" s="50"/>
      <c r="B379" s="22" t="s">
        <v>45</v>
      </c>
      <c r="C379" s="14">
        <f>+SAM!AM4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50"/>
      <c r="B380" s="22" t="s">
        <v>46</v>
      </c>
      <c r="C380" s="14">
        <f>+SAM!AM5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50"/>
      <c r="B381" s="22" t="s">
        <v>47</v>
      </c>
      <c r="C381" s="14">
        <f>+SAM!AM6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50"/>
      <c r="B382" s="22" t="s">
        <v>48</v>
      </c>
      <c r="C382" s="14">
        <f>+SAM!AM7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50"/>
      <c r="B383" s="22" t="s">
        <v>49</v>
      </c>
      <c r="C383" s="14">
        <f>+SAM!AM8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50"/>
      <c r="B384" s="22" t="s">
        <v>50</v>
      </c>
      <c r="C384" s="14">
        <f>+SAM!AM9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50"/>
      <c r="B385" s="22" t="s">
        <v>51</v>
      </c>
      <c r="C385" s="14">
        <f>+SAM!AM10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50"/>
      <c r="B386" s="22" t="s">
        <v>52</v>
      </c>
      <c r="C386" s="14">
        <f>+SAM!AM11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50"/>
      <c r="B387" s="22" t="s">
        <v>53</v>
      </c>
      <c r="C387" s="14">
        <f>+SAM!AM12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50"/>
      <c r="B388" s="22" t="s">
        <v>54</v>
      </c>
      <c r="C388" s="14">
        <f>+SAM!AM13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50"/>
      <c r="B389" s="22" t="s">
        <v>55</v>
      </c>
      <c r="C389" s="14">
        <f>+SAM!AM14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50"/>
      <c r="B390" s="22" t="s">
        <v>56</v>
      </c>
      <c r="C390" s="14">
        <f>+SAM!AM15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50"/>
      <c r="B391" s="22" t="s">
        <v>57</v>
      </c>
      <c r="C391" s="14">
        <f>+SAM!AM16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50"/>
      <c r="B392" s="22" t="s">
        <v>58</v>
      </c>
      <c r="C392" s="14">
        <f>+SAM!AM17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50"/>
      <c r="B393" s="22" t="s">
        <v>59</v>
      </c>
      <c r="C393" s="14">
        <f>+SAM!AM18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50"/>
      <c r="B394" s="22" t="s">
        <v>60</v>
      </c>
      <c r="C394" s="14">
        <f>+SAM!AM19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50"/>
      <c r="B395" s="22" t="s">
        <v>61</v>
      </c>
      <c r="C395" s="14">
        <f>+SAM!AM20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50"/>
      <c r="B396" s="22" t="s">
        <v>62</v>
      </c>
      <c r="C396" s="14">
        <f>+SAM!AM21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50"/>
      <c r="B397" s="22" t="s">
        <v>63</v>
      </c>
      <c r="C397" s="14">
        <f>+SAM!AM22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50"/>
      <c r="B398" s="22" t="s">
        <v>64</v>
      </c>
      <c r="C398" s="14">
        <f>+SAM!AM23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50"/>
      <c r="B399" s="22" t="s">
        <v>65</v>
      </c>
      <c r="C399" s="14">
        <f>+SAM!AM24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50"/>
      <c r="B400" s="22" t="s">
        <v>66</v>
      </c>
      <c r="C400" s="14">
        <f>+SAM!AM25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50"/>
      <c r="B401" s="22" t="s">
        <v>67</v>
      </c>
      <c r="C401" s="14">
        <f>+SAM!AM26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50"/>
      <c r="B402" s="22" t="s">
        <v>68</v>
      </c>
      <c r="C402" s="14">
        <f>+SAM!AM27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50"/>
      <c r="B403" s="22" t="s">
        <v>69</v>
      </c>
      <c r="C403" s="14">
        <f>+SAM!AM28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50"/>
      <c r="B404" s="22" t="s">
        <v>70</v>
      </c>
      <c r="C404" s="14">
        <f>+SAM!AM29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50"/>
      <c r="B405" s="22" t="s">
        <v>71</v>
      </c>
      <c r="C405" s="23">
        <f>+SAM!AM30</f>
        <v>6.8000000000000005E-2</v>
      </c>
      <c r="D405" s="44">
        <f t="shared" si="114"/>
        <v>0</v>
      </c>
      <c r="E405" s="44">
        <f t="shared" si="114"/>
        <v>0</v>
      </c>
      <c r="F405" s="44">
        <f t="shared" si="114"/>
        <v>6.7014945596869713E-2</v>
      </c>
      <c r="G405" s="44">
        <f t="shared" si="114"/>
        <v>8.2798906168425779E-2</v>
      </c>
      <c r="H405" s="44">
        <f t="shared" si="114"/>
        <v>9.6898416015368902E-2</v>
      </c>
      <c r="I405" s="44">
        <f t="shared" si="114"/>
        <v>0.10907135642901407</v>
      </c>
      <c r="J405" s="44">
        <f t="shared" si="114"/>
        <v>0.11960884409434368</v>
      </c>
      <c r="K405" s="44">
        <f t="shared" si="114"/>
        <v>0.12852291084142922</v>
      </c>
      <c r="L405" s="44">
        <f t="shared" si="114"/>
        <v>0.13659934003990773</v>
      </c>
      <c r="M405" s="44">
        <f t="shared" si="114"/>
        <v>0.14407898314761144</v>
      </c>
      <c r="N405" s="44">
        <f t="shared" si="115"/>
        <v>0.15109964036228818</v>
      </c>
      <c r="O405" s="44">
        <f t="shared" si="115"/>
        <v>0.1578050722839264</v>
      </c>
      <c r="P405" s="44">
        <f t="shared" si="115"/>
        <v>0.1643234285669046</v>
      </c>
      <c r="Q405" s="44">
        <f t="shared" si="115"/>
        <v>0.17073570568122198</v>
      </c>
      <c r="R405" s="44">
        <f t="shared" si="115"/>
        <v>0.17705917301988669</v>
      </c>
      <c r="S405" s="44">
        <f t="shared" si="115"/>
        <v>0.18321967203671902</v>
      </c>
      <c r="T405" s="44">
        <f t="shared" si="115"/>
        <v>0.1891409477356964</v>
      </c>
      <c r="U405" s="44">
        <f t="shared" si="115"/>
        <v>0.19471905760237107</v>
      </c>
      <c r="V405" s="44">
        <f t="shared" si="115"/>
        <v>0.1998252413790953</v>
      </c>
      <c r="W405" s="44">
        <f t="shared" si="115"/>
        <v>0.20446164577743392</v>
      </c>
      <c r="X405" s="44">
        <f t="shared" si="116"/>
        <v>0.20836547090918361</v>
      </c>
      <c r="Y405" s="44">
        <f t="shared" si="116"/>
        <v>0.21109034146367703</v>
      </c>
      <c r="Z405" s="44">
        <f t="shared" si="116"/>
        <v>0.21316610716727766</v>
      </c>
      <c r="AA405" s="44">
        <f t="shared" si="116"/>
        <v>0.21458192065914888</v>
      </c>
      <c r="AB405" s="44">
        <f t="shared" si="116"/>
        <v>0.21527250147527496</v>
      </c>
      <c r="AC405" s="44">
        <f t="shared" si="116"/>
        <v>0.21516402497193307</v>
      </c>
      <c r="AD405" s="44">
        <f t="shared" si="116"/>
        <v>0.21292255169120808</v>
      </c>
      <c r="AE405" s="44">
        <f t="shared" si="116"/>
        <v>0.22286588311809047</v>
      </c>
    </row>
    <row r="406" spans="1:31" x14ac:dyDescent="0.2">
      <c r="A406" s="50"/>
      <c r="B406" s="22" t="s">
        <v>72</v>
      </c>
      <c r="C406" s="14">
        <f>+SAM!AM31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50"/>
      <c r="B407" s="22" t="s">
        <v>73</v>
      </c>
      <c r="C407" s="23">
        <f>+SAM!AM32</f>
        <v>5.9500000000000004E-2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5.8638077397260992E-2</v>
      </c>
      <c r="G407" s="44">
        <f t="shared" si="117"/>
        <v>7.2449042897372556E-2</v>
      </c>
      <c r="H407" s="44">
        <f t="shared" si="117"/>
        <v>8.478611401344778E-2</v>
      </c>
      <c r="I407" s="44">
        <f t="shared" si="117"/>
        <v>9.5437436875387319E-2</v>
      </c>
      <c r="J407" s="44">
        <f t="shared" si="117"/>
        <v>0.10465773858255072</v>
      </c>
      <c r="K407" s="44">
        <f t="shared" si="117"/>
        <v>0.11245754698625056</v>
      </c>
      <c r="L407" s="44">
        <f t="shared" si="117"/>
        <v>0.11952442253491925</v>
      </c>
      <c r="M407" s="44">
        <f t="shared" si="117"/>
        <v>0.12606911025416001</v>
      </c>
      <c r="N407" s="44">
        <f t="shared" ref="N407:W416" si="118">+$C407*N$12</f>
        <v>0.13221218531700216</v>
      </c>
      <c r="O407" s="44">
        <f t="shared" si="118"/>
        <v>0.1380794382484356</v>
      </c>
      <c r="P407" s="44">
        <f t="shared" si="118"/>
        <v>0.14378299999604152</v>
      </c>
      <c r="Q407" s="44">
        <f t="shared" si="118"/>
        <v>0.14939374247106924</v>
      </c>
      <c r="R407" s="44">
        <f t="shared" si="118"/>
        <v>0.15492677639240085</v>
      </c>
      <c r="S407" s="44">
        <f t="shared" si="118"/>
        <v>0.16031721303212912</v>
      </c>
      <c r="T407" s="44">
        <f t="shared" si="118"/>
        <v>0.16549832926873437</v>
      </c>
      <c r="U407" s="44">
        <f t="shared" si="118"/>
        <v>0.1703791754020747</v>
      </c>
      <c r="V407" s="44">
        <f t="shared" si="118"/>
        <v>0.17484708620670839</v>
      </c>
      <c r="W407" s="44">
        <f t="shared" si="118"/>
        <v>0.17890394005525467</v>
      </c>
      <c r="X407" s="44">
        <f t="shared" ref="X407:AE416" si="119">+$C407*X$12</f>
        <v>0.18231978704553564</v>
      </c>
      <c r="Y407" s="44">
        <f t="shared" si="119"/>
        <v>0.18470404878071742</v>
      </c>
      <c r="Z407" s="44">
        <f t="shared" si="119"/>
        <v>0.18652034377136795</v>
      </c>
      <c r="AA407" s="44">
        <f t="shared" si="119"/>
        <v>0.18775918057675528</v>
      </c>
      <c r="AB407" s="44">
        <f t="shared" si="119"/>
        <v>0.18836343879086559</v>
      </c>
      <c r="AC407" s="44">
        <f t="shared" si="119"/>
        <v>0.18826852185044143</v>
      </c>
      <c r="AD407" s="44">
        <f t="shared" si="119"/>
        <v>0.18630723272980707</v>
      </c>
      <c r="AE407" s="44">
        <f t="shared" si="119"/>
        <v>0.19500764772832915</v>
      </c>
    </row>
    <row r="408" spans="1:31" x14ac:dyDescent="0.2">
      <c r="A408" s="50"/>
      <c r="B408" s="22" t="s">
        <v>74</v>
      </c>
      <c r="C408" s="14">
        <f>+SAM!AM33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50"/>
      <c r="B409" s="22" t="s">
        <v>75</v>
      </c>
      <c r="C409" s="14">
        <f>+SAM!AM34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50"/>
      <c r="B410" s="22" t="s">
        <v>76</v>
      </c>
      <c r="C410" s="14">
        <f>+SAM!AM35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50"/>
      <c r="B411" s="22" t="s">
        <v>77</v>
      </c>
      <c r="C411" s="14">
        <f>+SAM!AM36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50"/>
      <c r="B412" s="22" t="s">
        <v>78</v>
      </c>
      <c r="C412" s="23">
        <f>+SAM!AM37</f>
        <v>0.1275</v>
      </c>
      <c r="D412" s="44">
        <f t="shared" si="117"/>
        <v>0</v>
      </c>
      <c r="E412" s="44">
        <f t="shared" si="117"/>
        <v>0</v>
      </c>
      <c r="F412" s="44">
        <f t="shared" si="117"/>
        <v>0.1256530229941307</v>
      </c>
      <c r="G412" s="44">
        <f t="shared" si="117"/>
        <v>0.15524794906579834</v>
      </c>
      <c r="H412" s="44">
        <f t="shared" si="117"/>
        <v>0.18168453002881668</v>
      </c>
      <c r="I412" s="44">
        <f t="shared" si="117"/>
        <v>0.20450879330440139</v>
      </c>
      <c r="J412" s="44">
        <f t="shared" si="117"/>
        <v>0.22426658267689439</v>
      </c>
      <c r="K412" s="44">
        <f t="shared" si="117"/>
        <v>0.24098045782767977</v>
      </c>
      <c r="L412" s="44">
        <f t="shared" si="117"/>
        <v>0.25612376257482694</v>
      </c>
      <c r="M412" s="44">
        <f t="shared" si="117"/>
        <v>0.27014809340177143</v>
      </c>
      <c r="N412" s="44">
        <f t="shared" si="118"/>
        <v>0.28331182567929036</v>
      </c>
      <c r="O412" s="44">
        <f t="shared" si="118"/>
        <v>0.29588451053236198</v>
      </c>
      <c r="P412" s="44">
        <f t="shared" si="118"/>
        <v>0.30810642856294607</v>
      </c>
      <c r="Q412" s="44">
        <f t="shared" si="118"/>
        <v>0.32012944815229122</v>
      </c>
      <c r="R412" s="44">
        <f t="shared" si="118"/>
        <v>0.33198594941228748</v>
      </c>
      <c r="S412" s="44">
        <f t="shared" si="118"/>
        <v>0.34353688506884811</v>
      </c>
      <c r="T412" s="44">
        <f t="shared" si="118"/>
        <v>0.35463927700443076</v>
      </c>
      <c r="U412" s="44">
        <f t="shared" si="118"/>
        <v>0.36509823300444572</v>
      </c>
      <c r="V412" s="44">
        <f t="shared" si="118"/>
        <v>0.37467232758580366</v>
      </c>
      <c r="W412" s="44">
        <f t="shared" si="118"/>
        <v>0.38336558583268859</v>
      </c>
      <c r="X412" s="44">
        <f t="shared" si="119"/>
        <v>0.39068525795471926</v>
      </c>
      <c r="Y412" s="44">
        <f t="shared" si="119"/>
        <v>0.39579439024439445</v>
      </c>
      <c r="Z412" s="44">
        <f t="shared" si="119"/>
        <v>0.39968645093864558</v>
      </c>
      <c r="AA412" s="44">
        <f t="shared" si="119"/>
        <v>0.40234110123590411</v>
      </c>
      <c r="AB412" s="44">
        <f t="shared" si="119"/>
        <v>0.40363594026614052</v>
      </c>
      <c r="AC412" s="44">
        <f t="shared" si="119"/>
        <v>0.4034325468223745</v>
      </c>
      <c r="AD412" s="44">
        <f t="shared" si="119"/>
        <v>0.39922978442101514</v>
      </c>
      <c r="AE412" s="44">
        <f t="shared" si="119"/>
        <v>0.41787353084641959</v>
      </c>
    </row>
    <row r="413" spans="1:31" x14ac:dyDescent="0.2">
      <c r="A413" s="50"/>
      <c r="B413" s="22" t="s">
        <v>79</v>
      </c>
      <c r="C413" s="23">
        <f>+SAM!AM38</f>
        <v>8.5000000000000006E-2</v>
      </c>
      <c r="D413" s="44">
        <f t="shared" si="117"/>
        <v>0</v>
      </c>
      <c r="E413" s="44">
        <f t="shared" si="117"/>
        <v>0</v>
      </c>
      <c r="F413" s="44">
        <f t="shared" si="117"/>
        <v>8.3768681996087127E-2</v>
      </c>
      <c r="G413" s="44">
        <f t="shared" si="117"/>
        <v>0.10349863271053222</v>
      </c>
      <c r="H413" s="44">
        <f t="shared" si="117"/>
        <v>0.12112302001921112</v>
      </c>
      <c r="I413" s="44">
        <f t="shared" si="117"/>
        <v>0.13633919553626758</v>
      </c>
      <c r="J413" s="44">
        <f t="shared" si="117"/>
        <v>0.14951105511792961</v>
      </c>
      <c r="K413" s="44">
        <f t="shared" si="117"/>
        <v>0.16065363855178652</v>
      </c>
      <c r="L413" s="44">
        <f t="shared" si="117"/>
        <v>0.17074917504988465</v>
      </c>
      <c r="M413" s="44">
        <f t="shared" si="117"/>
        <v>0.18009872893451428</v>
      </c>
      <c r="N413" s="44">
        <f t="shared" si="118"/>
        <v>0.18887455045286022</v>
      </c>
      <c r="O413" s="44">
        <f t="shared" si="118"/>
        <v>0.19725634035490799</v>
      </c>
      <c r="P413" s="44">
        <f t="shared" si="118"/>
        <v>0.20540428570863073</v>
      </c>
      <c r="Q413" s="44">
        <f t="shared" si="118"/>
        <v>0.21341963210152748</v>
      </c>
      <c r="R413" s="44">
        <f t="shared" si="118"/>
        <v>0.22132396627485834</v>
      </c>
      <c r="S413" s="44">
        <f t="shared" si="118"/>
        <v>0.22902459004589876</v>
      </c>
      <c r="T413" s="44">
        <f t="shared" si="118"/>
        <v>0.23642618466962051</v>
      </c>
      <c r="U413" s="44">
        <f t="shared" si="118"/>
        <v>0.24339882200296384</v>
      </c>
      <c r="V413" s="44">
        <f t="shared" si="118"/>
        <v>0.24978155172386912</v>
      </c>
      <c r="W413" s="44">
        <f t="shared" si="118"/>
        <v>0.25557705722179241</v>
      </c>
      <c r="X413" s="44">
        <f t="shared" si="119"/>
        <v>0.2604568386364795</v>
      </c>
      <c r="Y413" s="44">
        <f t="shared" si="119"/>
        <v>0.26386292682959628</v>
      </c>
      <c r="Z413" s="44">
        <f t="shared" si="119"/>
        <v>0.26645763395909705</v>
      </c>
      <c r="AA413" s="44">
        <f t="shared" si="119"/>
        <v>0.26822740082393609</v>
      </c>
      <c r="AB413" s="44">
        <f t="shared" si="119"/>
        <v>0.26909062684409368</v>
      </c>
      <c r="AC413" s="44">
        <f t="shared" si="119"/>
        <v>0.26895503121491632</v>
      </c>
      <c r="AD413" s="44">
        <f t="shared" si="119"/>
        <v>0.26615318961401013</v>
      </c>
      <c r="AE413" s="44">
        <f t="shared" si="119"/>
        <v>0.2785823538976131</v>
      </c>
    </row>
    <row r="414" spans="1:31" x14ac:dyDescent="0.2">
      <c r="A414" s="50"/>
      <c r="B414" s="22" t="s">
        <v>80</v>
      </c>
      <c r="C414" s="14">
        <f>+SAM!AM39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50"/>
      <c r="B415" s="22" t="s">
        <v>81</v>
      </c>
      <c r="C415" s="23">
        <f>+SAM!AM40</f>
        <v>8.5000000000000006E-2</v>
      </c>
      <c r="D415" s="44">
        <f t="shared" si="117"/>
        <v>0</v>
      </c>
      <c r="E415" s="44">
        <f t="shared" si="117"/>
        <v>0</v>
      </c>
      <c r="F415" s="44">
        <f t="shared" si="117"/>
        <v>8.3768681996087127E-2</v>
      </c>
      <c r="G415" s="44">
        <f t="shared" si="117"/>
        <v>0.10349863271053222</v>
      </c>
      <c r="H415" s="44">
        <f t="shared" si="117"/>
        <v>0.12112302001921112</v>
      </c>
      <c r="I415" s="44">
        <f t="shared" si="117"/>
        <v>0.13633919553626758</v>
      </c>
      <c r="J415" s="44">
        <f t="shared" si="117"/>
        <v>0.14951105511792961</v>
      </c>
      <c r="K415" s="44">
        <f t="shared" si="117"/>
        <v>0.16065363855178652</v>
      </c>
      <c r="L415" s="44">
        <f t="shared" si="117"/>
        <v>0.17074917504988465</v>
      </c>
      <c r="M415" s="44">
        <f t="shared" si="117"/>
        <v>0.18009872893451428</v>
      </c>
      <c r="N415" s="44">
        <f t="shared" si="118"/>
        <v>0.18887455045286022</v>
      </c>
      <c r="O415" s="44">
        <f t="shared" si="118"/>
        <v>0.19725634035490799</v>
      </c>
      <c r="P415" s="44">
        <f t="shared" si="118"/>
        <v>0.20540428570863073</v>
      </c>
      <c r="Q415" s="44">
        <f t="shared" si="118"/>
        <v>0.21341963210152748</v>
      </c>
      <c r="R415" s="44">
        <f t="shared" si="118"/>
        <v>0.22132396627485834</v>
      </c>
      <c r="S415" s="44">
        <f t="shared" si="118"/>
        <v>0.22902459004589876</v>
      </c>
      <c r="T415" s="44">
        <f t="shared" si="118"/>
        <v>0.23642618466962051</v>
      </c>
      <c r="U415" s="44">
        <f t="shared" si="118"/>
        <v>0.24339882200296384</v>
      </c>
      <c r="V415" s="44">
        <f t="shared" si="118"/>
        <v>0.24978155172386912</v>
      </c>
      <c r="W415" s="44">
        <f t="shared" si="118"/>
        <v>0.25557705722179241</v>
      </c>
      <c r="X415" s="44">
        <f t="shared" si="119"/>
        <v>0.2604568386364795</v>
      </c>
      <c r="Y415" s="44">
        <f t="shared" si="119"/>
        <v>0.26386292682959628</v>
      </c>
      <c r="Z415" s="44">
        <f t="shared" si="119"/>
        <v>0.26645763395909705</v>
      </c>
      <c r="AA415" s="44">
        <f t="shared" si="119"/>
        <v>0.26822740082393609</v>
      </c>
      <c r="AB415" s="44">
        <f t="shared" si="119"/>
        <v>0.26909062684409368</v>
      </c>
      <c r="AC415" s="44">
        <f t="shared" si="119"/>
        <v>0.26895503121491632</v>
      </c>
      <c r="AD415" s="44">
        <f t="shared" si="119"/>
        <v>0.26615318961401013</v>
      </c>
      <c r="AE415" s="44">
        <f t="shared" si="119"/>
        <v>0.2785823538976131</v>
      </c>
    </row>
    <row r="416" spans="1:31" ht="16" customHeight="1" thickBot="1" x14ac:dyDescent="0.25">
      <c r="A416" s="51"/>
      <c r="B416" s="32" t="s">
        <v>82</v>
      </c>
      <c r="C416" s="36">
        <f>+SAM!AM41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7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53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41</v>
      </c>
      <c r="C16" s="18" t="s">
        <v>133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55" t="s">
        <v>30</v>
      </c>
      <c r="B17" s="39" t="s">
        <v>43</v>
      </c>
      <c r="C17" s="40">
        <f>+SAM!D2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50"/>
      <c r="B18" s="22" t="s">
        <v>44</v>
      </c>
      <c r="C18" s="41">
        <f>+SAM!D3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50"/>
      <c r="B19" s="22" t="s">
        <v>45</v>
      </c>
      <c r="C19" s="41">
        <f>+SAM!D4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50"/>
      <c r="B20" s="22" t="s">
        <v>46</v>
      </c>
      <c r="C20" s="41">
        <f>+SAM!D5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50"/>
      <c r="B21" s="22" t="s">
        <v>47</v>
      </c>
      <c r="C21" s="41">
        <f>+SAM!D6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50"/>
      <c r="B22" s="22" t="s">
        <v>48</v>
      </c>
      <c r="C22" s="41">
        <f>+SAM!D7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50"/>
      <c r="B23" s="22" t="s">
        <v>49</v>
      </c>
      <c r="C23" s="41">
        <f>+SAM!D8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50"/>
      <c r="B24" s="22" t="s">
        <v>50</v>
      </c>
      <c r="C24" s="41">
        <f>+SAM!D9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50"/>
      <c r="B25" s="22" t="s">
        <v>51</v>
      </c>
      <c r="C25" s="41">
        <f>+SAM!D10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50"/>
      <c r="B26" s="22" t="s">
        <v>52</v>
      </c>
      <c r="C26" s="41">
        <f>+SAM!D11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50"/>
      <c r="B27" s="22" t="s">
        <v>53</v>
      </c>
      <c r="C27" s="41">
        <f>+SAM!D12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50"/>
      <c r="B28" s="22" t="s">
        <v>54</v>
      </c>
      <c r="C28" s="41">
        <f>+SAM!D13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50"/>
      <c r="B29" s="22" t="s">
        <v>55</v>
      </c>
      <c r="C29" s="42">
        <f>+SAM!D14</f>
        <v>4.1299999999999996E-2</v>
      </c>
      <c r="D29" s="44">
        <f t="shared" si="3"/>
        <v>0</v>
      </c>
      <c r="E29" s="44">
        <f t="shared" si="3"/>
        <v>0</v>
      </c>
      <c r="F29" s="44">
        <f t="shared" si="3"/>
        <v>6.7755028182812427E-2</v>
      </c>
      <c r="G29" s="44">
        <f t="shared" si="3"/>
        <v>1.4300135015721922E-2</v>
      </c>
      <c r="H29" s="44">
        <f t="shared" si="3"/>
        <v>7.9191642611824806E-2</v>
      </c>
      <c r="I29" s="44">
        <f t="shared" si="3"/>
        <v>0.10733688759664353</v>
      </c>
      <c r="J29" s="44">
        <f t="shared" si="3"/>
        <v>0.30650978271468121</v>
      </c>
      <c r="K29" s="44">
        <f t="shared" si="3"/>
        <v>0.51052166425751788</v>
      </c>
      <c r="L29" s="44">
        <f t="shared" si="3"/>
        <v>0.43497232406500275</v>
      </c>
      <c r="M29" s="44">
        <f t="shared" si="3"/>
        <v>0.10419148842621517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7.0367838206975876E-3</v>
      </c>
      <c r="R29" s="44">
        <f t="shared" si="4"/>
        <v>7.1910281876000348E-2</v>
      </c>
      <c r="S29" s="44">
        <f t="shared" si="4"/>
        <v>6.712793537361024E-2</v>
      </c>
      <c r="T29" s="44">
        <f t="shared" si="4"/>
        <v>5.7156244245669494E-2</v>
      </c>
      <c r="U29" s="44">
        <f t="shared" si="4"/>
        <v>1.5128163119375865E-2</v>
      </c>
      <c r="V29" s="44">
        <f t="shared" si="4"/>
        <v>5.1822634748044744E-2</v>
      </c>
      <c r="W29" s="44">
        <f t="shared" si="4"/>
        <v>4.8561135115268585E-2</v>
      </c>
      <c r="X29" s="44">
        <f t="shared" si="5"/>
        <v>4.6624026865755057E-2</v>
      </c>
      <c r="Y29" s="44">
        <f t="shared" si="5"/>
        <v>0</v>
      </c>
      <c r="Z29" s="44">
        <f t="shared" si="5"/>
        <v>8.2145228987686503E-2</v>
      </c>
      <c r="AA29" s="44">
        <f t="shared" si="5"/>
        <v>4.5877163027488038E-2</v>
      </c>
      <c r="AB29" s="44">
        <f t="shared" si="5"/>
        <v>8.0494544604665194E-2</v>
      </c>
      <c r="AC29" s="44">
        <f t="shared" si="5"/>
        <v>7.3871553169007537E-2</v>
      </c>
      <c r="AD29" s="44">
        <f t="shared" si="5"/>
        <v>0.13850518946047119</v>
      </c>
      <c r="AE29" s="44">
        <f t="shared" si="5"/>
        <v>0.29412114516304899</v>
      </c>
    </row>
    <row r="30" spans="1:31" x14ac:dyDescent="0.2">
      <c r="A30" s="50"/>
      <c r="B30" s="22" t="s">
        <v>56</v>
      </c>
      <c r="C30" s="42">
        <f>+SAM!D15</f>
        <v>7.77E-3</v>
      </c>
      <c r="D30" s="44">
        <f t="shared" si="3"/>
        <v>0</v>
      </c>
      <c r="E30" s="44">
        <f t="shared" si="3"/>
        <v>0</v>
      </c>
      <c r="F30" s="44">
        <f t="shared" si="3"/>
        <v>1.2747132420834202E-2</v>
      </c>
      <c r="G30" s="44">
        <f t="shared" si="3"/>
        <v>2.6903643843137854E-3</v>
      </c>
      <c r="H30" s="44">
        <f t="shared" si="3"/>
        <v>1.4898766660868736E-2</v>
      </c>
      <c r="I30" s="44">
        <f t="shared" si="3"/>
        <v>2.0193889022419378E-2</v>
      </c>
      <c r="J30" s="44">
        <f t="shared" si="3"/>
        <v>5.7665399798863759E-2</v>
      </c>
      <c r="K30" s="44">
        <f t="shared" si="3"/>
        <v>9.6047296156922868E-2</v>
      </c>
      <c r="L30" s="44">
        <f t="shared" si="3"/>
        <v>8.1833776222398819E-2</v>
      </c>
      <c r="M30" s="44">
        <f t="shared" si="3"/>
        <v>1.9602127483576079E-2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1.3238694984702242E-3</v>
      </c>
      <c r="R30" s="44">
        <f t="shared" si="4"/>
        <v>1.3528883539383118E-2</v>
      </c>
      <c r="S30" s="44">
        <f t="shared" si="4"/>
        <v>1.262915394317074E-2</v>
      </c>
      <c r="T30" s="44">
        <f t="shared" si="4"/>
        <v>1.0753123917405617E-2</v>
      </c>
      <c r="U30" s="44">
        <f t="shared" si="4"/>
        <v>2.8461459427978324E-3</v>
      </c>
      <c r="V30" s="44">
        <f t="shared" si="4"/>
        <v>9.7496821305643518E-3</v>
      </c>
      <c r="W30" s="44">
        <f t="shared" si="4"/>
        <v>9.1360779623640906E-3</v>
      </c>
      <c r="X30" s="44">
        <f t="shared" si="5"/>
        <v>8.7716389527098503E-3</v>
      </c>
      <c r="Y30" s="44">
        <f t="shared" si="5"/>
        <v>0</v>
      </c>
      <c r="Z30" s="44">
        <f t="shared" si="5"/>
        <v>1.5454441385818987E-2</v>
      </c>
      <c r="AA30" s="44">
        <f t="shared" si="5"/>
        <v>8.6311272814426666E-3</v>
      </c>
      <c r="AB30" s="44">
        <f t="shared" si="5"/>
        <v>1.5143888900199725E-2</v>
      </c>
      <c r="AC30" s="44">
        <f t="shared" si="5"/>
        <v>1.3897868477559047E-2</v>
      </c>
      <c r="AD30" s="44">
        <f t="shared" si="5"/>
        <v>2.6057755983241192E-2</v>
      </c>
      <c r="AE30" s="44">
        <f t="shared" si="5"/>
        <v>5.5334656123895661E-2</v>
      </c>
    </row>
    <row r="31" spans="1:31" x14ac:dyDescent="0.2">
      <c r="A31" s="50"/>
      <c r="B31" s="22" t="s">
        <v>57</v>
      </c>
      <c r="C31" s="42">
        <f>+SAM!D16</f>
        <v>6.1039999999999997E-2</v>
      </c>
      <c r="D31" s="44">
        <f t="shared" si="3"/>
        <v>0</v>
      </c>
      <c r="E31" s="44">
        <f t="shared" si="3"/>
        <v>0</v>
      </c>
      <c r="F31" s="44">
        <f t="shared" si="3"/>
        <v>0.10013963487358039</v>
      </c>
      <c r="G31" s="44">
        <f t="shared" si="3"/>
        <v>2.1135114802897485E-2</v>
      </c>
      <c r="H31" s="44">
        <f t="shared" si="3"/>
        <v>0.11704256331781565</v>
      </c>
      <c r="I31" s="44">
        <f t="shared" si="3"/>
        <v>0.15864028132927654</v>
      </c>
      <c r="J31" s="44">
        <f t="shared" si="3"/>
        <v>0.45301106869017294</v>
      </c>
      <c r="K31" s="44">
        <f t="shared" si="3"/>
        <v>0.75453371395348412</v>
      </c>
      <c r="L31" s="44">
        <f t="shared" si="3"/>
        <v>0.64287435014352945</v>
      </c>
      <c r="M31" s="44">
        <f t="shared" si="3"/>
        <v>0.15399148797908413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1.0400127951946265E-2</v>
      </c>
      <c r="R31" s="44">
        <f t="shared" si="4"/>
        <v>0.10628095897605476</v>
      </c>
      <c r="S31" s="44">
        <f t="shared" si="4"/>
        <v>9.921281295896292E-2</v>
      </c>
      <c r="T31" s="44">
        <f t="shared" si="4"/>
        <v>8.4474991495294569E-2</v>
      </c>
      <c r="U31" s="44">
        <f t="shared" si="4"/>
        <v>2.2358912271348737E-2</v>
      </c>
      <c r="V31" s="44">
        <f t="shared" si="4"/>
        <v>7.6592097458127145E-2</v>
      </c>
      <c r="W31" s="44">
        <f t="shared" si="4"/>
        <v>7.1771711560193574E-2</v>
      </c>
      <c r="X31" s="44">
        <f t="shared" si="5"/>
        <v>6.8908731232099008E-2</v>
      </c>
      <c r="Y31" s="44">
        <f t="shared" si="5"/>
        <v>0</v>
      </c>
      <c r="Z31" s="44">
        <f t="shared" si="5"/>
        <v>0.12140786385976716</v>
      </c>
      <c r="AA31" s="44">
        <f t="shared" si="5"/>
        <v>6.7804891796558603E-2</v>
      </c>
      <c r="AB31" s="44">
        <f t="shared" si="5"/>
        <v>0.11896820829706449</v>
      </c>
      <c r="AC31" s="44">
        <f t="shared" si="5"/>
        <v>0.10917965146334674</v>
      </c>
      <c r="AD31" s="44">
        <f t="shared" si="5"/>
        <v>0.20470597493140827</v>
      </c>
      <c r="AE31" s="44">
        <f t="shared" si="5"/>
        <v>0.43470108234267579</v>
      </c>
    </row>
    <row r="32" spans="1:31" x14ac:dyDescent="0.2">
      <c r="A32" s="50"/>
      <c r="B32" s="22" t="s">
        <v>58</v>
      </c>
      <c r="C32" s="42">
        <f>+SAM!D17</f>
        <v>5.4039999999999998E-2</v>
      </c>
      <c r="D32" s="44">
        <f t="shared" si="3"/>
        <v>0</v>
      </c>
      <c r="E32" s="44">
        <f t="shared" si="3"/>
        <v>0</v>
      </c>
      <c r="F32" s="44">
        <f t="shared" si="3"/>
        <v>8.865573179174778E-2</v>
      </c>
      <c r="G32" s="44">
        <f t="shared" si="3"/>
        <v>1.8711363105317499E-2</v>
      </c>
      <c r="H32" s="44">
        <f t="shared" si="3"/>
        <v>0.10362025101072669</v>
      </c>
      <c r="I32" s="44">
        <f t="shared" si="3"/>
        <v>0.14044758851628611</v>
      </c>
      <c r="J32" s="44">
        <f t="shared" si="3"/>
        <v>0.40106025806056594</v>
      </c>
      <c r="K32" s="44">
        <f t="shared" si="3"/>
        <v>0.66800461831661662</v>
      </c>
      <c r="L32" s="44">
        <f t="shared" si="3"/>
        <v>0.56915022742064769</v>
      </c>
      <c r="M32" s="44">
        <f t="shared" si="3"/>
        <v>0.13633191366955613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9.207452728099216E-3</v>
      </c>
      <c r="R32" s="44">
        <f t="shared" si="4"/>
        <v>9.4092775607241136E-2</v>
      </c>
      <c r="S32" s="44">
        <f t="shared" si="4"/>
        <v>8.7835196793944248E-2</v>
      </c>
      <c r="T32" s="44">
        <f t="shared" si="4"/>
        <v>7.478749247060483E-2</v>
      </c>
      <c r="U32" s="44">
        <f t="shared" si="4"/>
        <v>1.9794816827386725E-2</v>
      </c>
      <c r="V32" s="44">
        <f t="shared" si="4"/>
        <v>6.7808600043204312E-2</v>
      </c>
      <c r="W32" s="44">
        <f t="shared" si="4"/>
        <v>6.3541010693198896E-2</v>
      </c>
      <c r="X32" s="44">
        <f t="shared" si="5"/>
        <v>6.1006353797225271E-2</v>
      </c>
      <c r="Y32" s="44">
        <f t="shared" si="5"/>
        <v>0</v>
      </c>
      <c r="Z32" s="44">
        <f t="shared" si="5"/>
        <v>0.10748494369236268</v>
      </c>
      <c r="AA32" s="44">
        <f t="shared" si="5"/>
        <v>6.0029101452916553E-2</v>
      </c>
      <c r="AB32" s="44">
        <f t="shared" si="5"/>
        <v>0.10532506514373141</v>
      </c>
      <c r="AC32" s="44">
        <f t="shared" si="5"/>
        <v>9.6659049231311564E-2</v>
      </c>
      <c r="AD32" s="44">
        <f t="shared" si="5"/>
        <v>0.18123051909065044</v>
      </c>
      <c r="AE32" s="44">
        <f t="shared" si="5"/>
        <v>0.38485004078961665</v>
      </c>
    </row>
    <row r="33" spans="1:31" x14ac:dyDescent="0.2">
      <c r="A33" s="50"/>
      <c r="B33" s="22" t="s">
        <v>59</v>
      </c>
      <c r="C33" s="42">
        <f>+SAM!D18</f>
        <v>1.9739999999999997E-2</v>
      </c>
      <c r="D33" s="44">
        <f t="shared" si="3"/>
        <v>0</v>
      </c>
      <c r="E33" s="44">
        <f t="shared" si="3"/>
        <v>0</v>
      </c>
      <c r="F33" s="44">
        <f t="shared" si="3"/>
        <v>3.2384606690767967E-2</v>
      </c>
      <c r="G33" s="44">
        <f t="shared" si="3"/>
        <v>6.8349797871755623E-3</v>
      </c>
      <c r="H33" s="44">
        <f t="shared" si="3"/>
        <v>3.7850920705990838E-2</v>
      </c>
      <c r="I33" s="44">
        <f t="shared" si="3"/>
        <v>5.1303393732633006E-2</v>
      </c>
      <c r="J33" s="44">
        <f t="shared" si="3"/>
        <v>0.1465012859754917</v>
      </c>
      <c r="K33" s="44">
        <f t="shared" si="3"/>
        <v>0.24401204969596615</v>
      </c>
      <c r="L33" s="44">
        <f t="shared" si="3"/>
        <v>0.2079020260785267</v>
      </c>
      <c r="M33" s="44">
        <f t="shared" si="3"/>
        <v>4.9799999552868943E-2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3.3633441312486772E-3</v>
      </c>
      <c r="R33" s="44">
        <f t="shared" si="4"/>
        <v>3.4370677100054405E-2</v>
      </c>
      <c r="S33" s="44">
        <f t="shared" si="4"/>
        <v>3.2084877585352688E-2</v>
      </c>
      <c r="T33" s="44">
        <f t="shared" si="4"/>
        <v>2.7318747249625078E-2</v>
      </c>
      <c r="U33" s="44">
        <f t="shared" si="4"/>
        <v>7.2307491519728708E-3</v>
      </c>
      <c r="V33" s="44">
        <f t="shared" si="4"/>
        <v>2.4769462710082402E-2</v>
      </c>
      <c r="W33" s="44">
        <f t="shared" si="4"/>
        <v>2.3210576444924982E-2</v>
      </c>
      <c r="X33" s="44">
        <f t="shared" si="5"/>
        <v>2.2284704366343944E-2</v>
      </c>
      <c r="Y33" s="44">
        <f t="shared" si="5"/>
        <v>0</v>
      </c>
      <c r="Z33" s="44">
        <f t="shared" si="5"/>
        <v>3.9262634872080662E-2</v>
      </c>
      <c r="AA33" s="44">
        <f t="shared" si="5"/>
        <v>2.1927728769070554E-2</v>
      </c>
      <c r="AB33" s="44">
        <f t="shared" si="5"/>
        <v>3.8473663692399296E-2</v>
      </c>
      <c r="AC33" s="44">
        <f t="shared" si="5"/>
        <v>3.5308098294339195E-2</v>
      </c>
      <c r="AD33" s="44">
        <f t="shared" si="5"/>
        <v>6.6200785470937065E-2</v>
      </c>
      <c r="AE33" s="44">
        <f t="shared" si="5"/>
        <v>0.14057993717962677</v>
      </c>
    </row>
    <row r="34" spans="1:31" x14ac:dyDescent="0.2">
      <c r="A34" s="50"/>
      <c r="B34" s="22" t="s">
        <v>60</v>
      </c>
      <c r="C34" s="41">
        <f>+SAM!D19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50"/>
      <c r="B35" s="22" t="s">
        <v>61</v>
      </c>
      <c r="C35" s="41">
        <f>+SAM!D20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50"/>
      <c r="B36" s="22" t="s">
        <v>62</v>
      </c>
      <c r="C36" s="41">
        <f>+SAM!D21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50"/>
      <c r="B37" s="22" t="s">
        <v>63</v>
      </c>
      <c r="C37" s="41">
        <f>+SAM!D22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50"/>
      <c r="B38" s="22" t="s">
        <v>64</v>
      </c>
      <c r="C38" s="41">
        <f>+SAM!D23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50"/>
      <c r="B39" s="22" t="s">
        <v>65</v>
      </c>
      <c r="C39" s="41">
        <f>+SAM!D24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50"/>
      <c r="B40" s="22" t="s">
        <v>66</v>
      </c>
      <c r="C40" s="41">
        <f>+SAM!D25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50"/>
      <c r="B41" s="22" t="s">
        <v>67</v>
      </c>
      <c r="C41" s="41">
        <f>+SAM!D26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50"/>
      <c r="B42" s="22" t="s">
        <v>68</v>
      </c>
      <c r="C42" s="41">
        <f>+SAM!D27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50"/>
      <c r="B43" s="22" t="s">
        <v>69</v>
      </c>
      <c r="C43" s="41">
        <f>+SAM!D28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50"/>
      <c r="B44" s="22" t="s">
        <v>70</v>
      </c>
      <c r="C44" s="41">
        <f>+SAM!D29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50"/>
      <c r="B45" s="22" t="s">
        <v>71</v>
      </c>
      <c r="C45" s="42">
        <f>+SAM!D30</f>
        <v>0.15764</v>
      </c>
      <c r="D45" s="44">
        <f t="shared" si="6"/>
        <v>0</v>
      </c>
      <c r="E45" s="44">
        <f t="shared" si="6"/>
        <v>0</v>
      </c>
      <c r="F45" s="44">
        <f t="shared" si="6"/>
        <v>0.25861749740287049</v>
      </c>
      <c r="G45" s="44">
        <f t="shared" si="6"/>
        <v>5.458288822950131E-2</v>
      </c>
      <c r="H45" s="44">
        <f t="shared" si="6"/>
        <v>0.30227047315564315</v>
      </c>
      <c r="I45" s="44">
        <f t="shared" si="6"/>
        <v>0.40969944214854448</v>
      </c>
      <c r="J45" s="44">
        <f t="shared" si="6"/>
        <v>1.1699322553787495</v>
      </c>
      <c r="K45" s="44">
        <f t="shared" si="6"/>
        <v>1.948635233742255</v>
      </c>
      <c r="L45" s="44">
        <f t="shared" si="6"/>
        <v>1.6602672437192987</v>
      </c>
      <c r="M45" s="44">
        <f t="shared" si="6"/>
        <v>0.39769361345057053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2.6859046041035541E-2</v>
      </c>
      <c r="R45" s="44">
        <f t="shared" si="7"/>
        <v>0.27447788946568275</v>
      </c>
      <c r="S45" s="44">
        <f t="shared" si="7"/>
        <v>0.2562239160362208</v>
      </c>
      <c r="T45" s="44">
        <f t="shared" si="7"/>
        <v>0.21816247803601307</v>
      </c>
      <c r="U45" s="44">
        <f t="shared" si="7"/>
        <v>5.7743429398024494E-2</v>
      </c>
      <c r="V45" s="44">
        <f t="shared" si="7"/>
        <v>0.19780436178406233</v>
      </c>
      <c r="W45" s="44">
        <f t="shared" si="7"/>
        <v>0.18535538352472011</v>
      </c>
      <c r="X45" s="44">
        <f t="shared" si="8"/>
        <v>0.17796153983335661</v>
      </c>
      <c r="Y45" s="44">
        <f t="shared" si="8"/>
        <v>0</v>
      </c>
      <c r="Z45" s="44">
        <f t="shared" si="8"/>
        <v>0.31354416216994918</v>
      </c>
      <c r="AA45" s="44">
        <f t="shared" si="8"/>
        <v>0.17511079853881878</v>
      </c>
      <c r="AB45" s="44">
        <f t="shared" si="8"/>
        <v>0.30724358381306111</v>
      </c>
      <c r="AC45" s="44">
        <f t="shared" si="8"/>
        <v>0.28196396226543219</v>
      </c>
      <c r="AD45" s="44">
        <f t="shared" si="8"/>
        <v>0.52866726553386634</v>
      </c>
      <c r="AE45" s="44">
        <f t="shared" si="8"/>
        <v>1.1226454557748922</v>
      </c>
    </row>
    <row r="46" spans="1:31" x14ac:dyDescent="0.2">
      <c r="A46" s="50"/>
      <c r="B46" s="22" t="s">
        <v>72</v>
      </c>
      <c r="C46" s="41">
        <f>+SAM!D31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50"/>
      <c r="B47" s="22" t="s">
        <v>73</v>
      </c>
      <c r="C47" s="41">
        <f>+SAM!D32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50"/>
      <c r="B48" s="22" t="s">
        <v>74</v>
      </c>
      <c r="C48" s="41">
        <f>+SAM!D33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50"/>
      <c r="B49" s="22" t="s">
        <v>75</v>
      </c>
      <c r="C49" s="41">
        <f>+SAM!D34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50"/>
      <c r="B50" s="22" t="s">
        <v>76</v>
      </c>
      <c r="C50" s="41">
        <f>+SAM!D35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50"/>
      <c r="B51" s="22" t="s">
        <v>77</v>
      </c>
      <c r="C51" s="41">
        <f>+SAM!D36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50"/>
      <c r="B52" s="22" t="s">
        <v>78</v>
      </c>
      <c r="C52" s="42">
        <f>+SAM!D37</f>
        <v>3.7239999999999995E-2</v>
      </c>
      <c r="D52" s="44">
        <f t="shared" si="9"/>
        <v>0</v>
      </c>
      <c r="E52" s="44">
        <f t="shared" si="9"/>
        <v>0</v>
      </c>
      <c r="F52" s="44">
        <f t="shared" si="9"/>
        <v>6.1094364395349501E-2</v>
      </c>
      <c r="G52" s="44">
        <f t="shared" si="9"/>
        <v>1.289435903112553E-2</v>
      </c>
      <c r="H52" s="44">
        <f t="shared" si="9"/>
        <v>7.1406701473713211E-2</v>
      </c>
      <c r="I52" s="44">
        <f t="shared" si="9"/>
        <v>9.6785125765109073E-2</v>
      </c>
      <c r="J52" s="44">
        <f t="shared" si="9"/>
        <v>0.27637831254950918</v>
      </c>
      <c r="K52" s="44">
        <f t="shared" si="9"/>
        <v>0.46033478878813477</v>
      </c>
      <c r="L52" s="44">
        <f t="shared" si="9"/>
        <v>0.39221233288573126</v>
      </c>
      <c r="M52" s="44">
        <f t="shared" si="9"/>
        <v>9.3948935326688937E-2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6.3450321908662989E-3</v>
      </c>
      <c r="R52" s="44">
        <f t="shared" si="10"/>
        <v>6.484113552208845E-2</v>
      </c>
      <c r="S52" s="44">
        <f t="shared" si="10"/>
        <v>6.0528917997899397E-2</v>
      </c>
      <c r="T52" s="44">
        <f t="shared" si="10"/>
        <v>5.1537494811349435E-2</v>
      </c>
      <c r="U52" s="44">
        <f t="shared" si="10"/>
        <v>1.3640987761877898E-2</v>
      </c>
      <c r="V52" s="44">
        <f t="shared" si="10"/>
        <v>4.6728206247389499E-2</v>
      </c>
      <c r="W52" s="44">
        <f t="shared" si="10"/>
        <v>4.378732861241167E-2</v>
      </c>
      <c r="X52" s="44">
        <f t="shared" si="11"/>
        <v>4.2040647953528291E-2</v>
      </c>
      <c r="Y52" s="44">
        <f t="shared" si="11"/>
        <v>0</v>
      </c>
      <c r="Z52" s="44">
        <f t="shared" si="11"/>
        <v>7.4069935290591887E-2</v>
      </c>
      <c r="AA52" s="44">
        <f t="shared" si="11"/>
        <v>4.1367204628175655E-2</v>
      </c>
      <c r="AB52" s="44">
        <f t="shared" si="11"/>
        <v>7.2581521575732E-2</v>
      </c>
      <c r="AC52" s="44">
        <f t="shared" si="11"/>
        <v>6.6609603874427131E-2</v>
      </c>
      <c r="AD52" s="44">
        <f t="shared" si="11"/>
        <v>0.12488942507283164</v>
      </c>
      <c r="AE52" s="44">
        <f t="shared" si="11"/>
        <v>0.26520754106227468</v>
      </c>
    </row>
    <row r="53" spans="1:31" x14ac:dyDescent="0.2">
      <c r="A53" s="50"/>
      <c r="B53" s="22" t="s">
        <v>79</v>
      </c>
      <c r="C53" s="41">
        <f>+SAM!D38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50"/>
      <c r="B54" s="22" t="s">
        <v>80</v>
      </c>
      <c r="C54" s="41">
        <f>+SAM!D39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50"/>
      <c r="B55" s="22" t="s">
        <v>81</v>
      </c>
      <c r="C55" s="41">
        <f>+SAM!D40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56"/>
      <c r="B56" s="32" t="s">
        <v>82</v>
      </c>
      <c r="C56" s="34">
        <f>+SAM!D41</f>
        <v>0.32122999999999996</v>
      </c>
      <c r="D56" s="45">
        <f t="shared" si="9"/>
        <v>0</v>
      </c>
      <c r="E56" s="45">
        <f t="shared" si="9"/>
        <v>0</v>
      </c>
      <c r="F56" s="45">
        <f t="shared" si="9"/>
        <v>0.52699631242529865</v>
      </c>
      <c r="G56" s="45">
        <f t="shared" si="9"/>
        <v>0.1112259654019456</v>
      </c>
      <c r="H56" s="45">
        <f t="shared" si="9"/>
        <v>0.61594991177231184</v>
      </c>
      <c r="I56" s="45">
        <f t="shared" si="9"/>
        <v>0.83486267318813079</v>
      </c>
      <c r="J56" s="45">
        <f t="shared" si="9"/>
        <v>2.3840226997926646</v>
      </c>
      <c r="K56" s="45">
        <f t="shared" si="9"/>
        <v>3.9708201987758467</v>
      </c>
      <c r="L56" s="45">
        <f t="shared" si="9"/>
        <v>3.3831999917530466</v>
      </c>
      <c r="M56" s="45">
        <f t="shared" si="9"/>
        <v>0.81039786506423972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5.4731866022341064E-2</v>
      </c>
      <c r="R56" s="45">
        <f t="shared" si="10"/>
        <v>0.55931573479485697</v>
      </c>
      <c r="S56" s="45">
        <f t="shared" si="10"/>
        <v>0.52211880581270742</v>
      </c>
      <c r="T56" s="45">
        <f t="shared" si="10"/>
        <v>0.44455933024301236</v>
      </c>
      <c r="U56" s="45">
        <f t="shared" si="10"/>
        <v>0.11766633992341669</v>
      </c>
      <c r="V56" s="45">
        <f t="shared" si="10"/>
        <v>0.403074696370809</v>
      </c>
      <c r="W56" s="45">
        <f t="shared" si="10"/>
        <v>0.3777068627863856</v>
      </c>
      <c r="X56" s="45">
        <f t="shared" si="11"/>
        <v>0.36264010048635587</v>
      </c>
      <c r="Y56" s="45">
        <f t="shared" si="11"/>
        <v>0</v>
      </c>
      <c r="Z56" s="45">
        <f t="shared" si="11"/>
        <v>0.63892280648219213</v>
      </c>
      <c r="AA56" s="45">
        <f t="shared" si="11"/>
        <v>0.35683101886973323</v>
      </c>
      <c r="AB56" s="45">
        <f t="shared" si="11"/>
        <v>0.62608383930645517</v>
      </c>
      <c r="AC56" s="45">
        <f t="shared" si="11"/>
        <v>0.57457043642809413</v>
      </c>
      <c r="AD56" s="45">
        <f t="shared" si="11"/>
        <v>1.0772886685323766</v>
      </c>
      <c r="AE56" s="45">
        <f t="shared" si="11"/>
        <v>2.2876642968698842</v>
      </c>
    </row>
    <row r="57" spans="1:31" ht="16" customHeight="1" thickTop="1" x14ac:dyDescent="0.2">
      <c r="A57" s="54" t="s">
        <v>31</v>
      </c>
      <c r="B57" s="22" t="s">
        <v>43</v>
      </c>
      <c r="C57" s="14">
        <f>+SAM!H2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50"/>
      <c r="B58" s="22" t="s">
        <v>44</v>
      </c>
      <c r="C58" s="14">
        <f>+SAM!H3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50"/>
      <c r="B59" s="22" t="s">
        <v>45</v>
      </c>
      <c r="C59" s="14">
        <f>+SAM!H4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50"/>
      <c r="B60" s="22" t="s">
        <v>46</v>
      </c>
      <c r="C60" s="14">
        <f>+SAM!H5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50"/>
      <c r="B61" s="22" t="s">
        <v>47</v>
      </c>
      <c r="C61" s="14">
        <f>+SAM!H6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50"/>
      <c r="B62" s="22" t="s">
        <v>48</v>
      </c>
      <c r="C62" s="14">
        <f>+SAM!H7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50"/>
      <c r="B63" s="22" t="s">
        <v>49</v>
      </c>
      <c r="C63" s="14">
        <f>+SAM!H8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50"/>
      <c r="B64" s="22" t="s">
        <v>50</v>
      </c>
      <c r="C64" s="23">
        <f>+SAM!H9</f>
        <v>8.9999999999999993E-3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1.1153294010823327E-4</v>
      </c>
      <c r="H64" s="44">
        <f t="shared" si="12"/>
        <v>2.1565273535337806E-4</v>
      </c>
      <c r="I64" s="44">
        <f t="shared" si="12"/>
        <v>3.1245193687632819E-4</v>
      </c>
      <c r="J64" s="44">
        <f t="shared" si="12"/>
        <v>4.0209228169737506E-4</v>
      </c>
      <c r="K64" s="44">
        <f t="shared" si="12"/>
        <v>5.8344561512347986E-4</v>
      </c>
      <c r="L64" s="44">
        <f t="shared" si="12"/>
        <v>7.8457308813567627E-4</v>
      </c>
      <c r="M64" s="44">
        <f t="shared" si="12"/>
        <v>1.0411844757682266E-3</v>
      </c>
      <c r="N64" s="44">
        <f t="shared" si="13"/>
        <v>1.4333516420651107E-3</v>
      </c>
      <c r="O64" s="44">
        <f t="shared" si="13"/>
        <v>2.1219531915828995E-3</v>
      </c>
      <c r="P64" s="44">
        <f t="shared" si="13"/>
        <v>3.3506530752816376E-3</v>
      </c>
      <c r="Q64" s="44">
        <f t="shared" si="13"/>
        <v>5.2577828951004772E-3</v>
      </c>
      <c r="R64" s="44">
        <f t="shared" si="13"/>
        <v>7.5024194612267085E-3</v>
      </c>
      <c r="S64" s="44">
        <f t="shared" si="13"/>
        <v>9.4042090874178249E-3</v>
      </c>
      <c r="T64" s="44">
        <f t="shared" si="13"/>
        <v>1.0648112119791506E-2</v>
      </c>
      <c r="U64" s="44">
        <f t="shared" si="13"/>
        <v>1.1376461056824997E-2</v>
      </c>
      <c r="V64" s="44">
        <f t="shared" si="13"/>
        <v>1.1823793781278328E-2</v>
      </c>
      <c r="W64" s="44">
        <f t="shared" si="13"/>
        <v>1.2141843252582914E-2</v>
      </c>
      <c r="X64" s="44">
        <f t="shared" si="14"/>
        <v>1.2406500370940652E-2</v>
      </c>
      <c r="Y64" s="44">
        <f t="shared" si="14"/>
        <v>1.2652097351641415E-2</v>
      </c>
      <c r="Z64" s="44">
        <f t="shared" si="14"/>
        <v>1.2820860200866356E-2</v>
      </c>
      <c r="AA64" s="44">
        <f t="shared" si="14"/>
        <v>1.2979234104579485E-2</v>
      </c>
      <c r="AB64" s="44">
        <f t="shared" si="14"/>
        <v>1.3145266345644413E-2</v>
      </c>
      <c r="AC64" s="44">
        <f t="shared" si="14"/>
        <v>1.3319295085083248E-2</v>
      </c>
      <c r="AD64" s="44">
        <f t="shared" si="14"/>
        <v>1.3501668122546497E-2</v>
      </c>
      <c r="AE64" s="44">
        <f t="shared" si="14"/>
        <v>1.3692740676906229E-2</v>
      </c>
    </row>
    <row r="65" spans="1:31" x14ac:dyDescent="0.2">
      <c r="A65" s="50"/>
      <c r="B65" s="22" t="s">
        <v>51</v>
      </c>
      <c r="C65" s="14">
        <f>+SAM!H10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50"/>
      <c r="B66" s="22" t="s">
        <v>52</v>
      </c>
      <c r="C66" s="14">
        <f>+SAM!H11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50"/>
      <c r="B67" s="22" t="s">
        <v>53</v>
      </c>
      <c r="C67" s="14">
        <f>+SAM!H12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50"/>
      <c r="B68" s="22" t="s">
        <v>54</v>
      </c>
      <c r="C68" s="14">
        <f>+SAM!H13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50"/>
      <c r="B69" s="22" t="s">
        <v>55</v>
      </c>
      <c r="C69" s="14">
        <f>+SAM!H14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50"/>
      <c r="B70" s="22" t="s">
        <v>56</v>
      </c>
      <c r="C70" s="14">
        <f>+SAM!H15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50"/>
      <c r="B71" s="22" t="s">
        <v>57</v>
      </c>
      <c r="C71" s="23">
        <f>+SAM!H16</f>
        <v>4.4999999999999998E-2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5.5766470054116645E-4</v>
      </c>
      <c r="H71" s="44">
        <f t="shared" si="15"/>
        <v>1.0782636767668902E-3</v>
      </c>
      <c r="I71" s="44">
        <f t="shared" si="15"/>
        <v>1.5622596843816409E-3</v>
      </c>
      <c r="J71" s="44">
        <f t="shared" si="15"/>
        <v>2.0104614084868752E-3</v>
      </c>
      <c r="K71" s="44">
        <f t="shared" si="15"/>
        <v>2.9172280756173991E-3</v>
      </c>
      <c r="L71" s="44">
        <f t="shared" si="15"/>
        <v>3.9228654406783811E-3</v>
      </c>
      <c r="M71" s="44">
        <f t="shared" si="15"/>
        <v>5.2059223788411329E-3</v>
      </c>
      <c r="N71" s="44">
        <f t="shared" si="16"/>
        <v>7.1667582103255535E-3</v>
      </c>
      <c r="O71" s="44">
        <f t="shared" si="16"/>
        <v>1.0609765957914498E-2</v>
      </c>
      <c r="P71" s="44">
        <f t="shared" si="16"/>
        <v>1.6753265376408189E-2</v>
      </c>
      <c r="Q71" s="44">
        <f t="shared" si="16"/>
        <v>2.6288914475502387E-2</v>
      </c>
      <c r="R71" s="44">
        <f t="shared" si="16"/>
        <v>3.7512097306133543E-2</v>
      </c>
      <c r="S71" s="44">
        <f t="shared" si="16"/>
        <v>4.7021045437089133E-2</v>
      </c>
      <c r="T71" s="44">
        <f t="shared" si="16"/>
        <v>5.3240560598957529E-2</v>
      </c>
      <c r="U71" s="44">
        <f t="shared" si="16"/>
        <v>5.6882305284124988E-2</v>
      </c>
      <c r="V71" s="44">
        <f t="shared" si="16"/>
        <v>5.9118968906391643E-2</v>
      </c>
      <c r="W71" s="44">
        <f t="shared" si="16"/>
        <v>6.0709216262914568E-2</v>
      </c>
      <c r="X71" s="44">
        <f t="shared" si="17"/>
        <v>6.2032501854703263E-2</v>
      </c>
      <c r="Y71" s="44">
        <f t="shared" si="17"/>
        <v>6.3260486758207085E-2</v>
      </c>
      <c r="Z71" s="44">
        <f t="shared" si="17"/>
        <v>6.4104301004331787E-2</v>
      </c>
      <c r="AA71" s="44">
        <f t="shared" si="17"/>
        <v>6.4896170522897423E-2</v>
      </c>
      <c r="AB71" s="44">
        <f t="shared" si="17"/>
        <v>6.5726331728222065E-2</v>
      </c>
      <c r="AC71" s="44">
        <f t="shared" si="17"/>
        <v>6.6596475425416246E-2</v>
      </c>
      <c r="AD71" s="44">
        <f t="shared" si="17"/>
        <v>6.750834061273249E-2</v>
      </c>
      <c r="AE71" s="44">
        <f t="shared" si="17"/>
        <v>6.8463703384531158E-2</v>
      </c>
    </row>
    <row r="72" spans="1:31" x14ac:dyDescent="0.2">
      <c r="A72" s="50"/>
      <c r="B72" s="22" t="s">
        <v>58</v>
      </c>
      <c r="C72" s="23">
        <f>+SAM!H17</f>
        <v>1.4999999999999999E-2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1.8588823351372213E-4</v>
      </c>
      <c r="H72" s="44">
        <f t="shared" si="15"/>
        <v>3.5942122558896343E-4</v>
      </c>
      <c r="I72" s="44">
        <f t="shared" si="15"/>
        <v>5.2075322812721362E-4</v>
      </c>
      <c r="J72" s="44">
        <f t="shared" si="15"/>
        <v>6.7015380282895842E-4</v>
      </c>
      <c r="K72" s="44">
        <f t="shared" si="15"/>
        <v>9.724093585391331E-4</v>
      </c>
      <c r="L72" s="44">
        <f t="shared" si="15"/>
        <v>1.3076218135594604E-3</v>
      </c>
      <c r="M72" s="44">
        <f t="shared" si="15"/>
        <v>1.735307459613711E-3</v>
      </c>
      <c r="N72" s="44">
        <f t="shared" si="16"/>
        <v>2.3889194034418513E-3</v>
      </c>
      <c r="O72" s="44">
        <f t="shared" si="16"/>
        <v>3.536588652638166E-3</v>
      </c>
      <c r="P72" s="44">
        <f t="shared" si="16"/>
        <v>5.5844217921360625E-3</v>
      </c>
      <c r="Q72" s="44">
        <f t="shared" si="16"/>
        <v>8.7629714918341286E-3</v>
      </c>
      <c r="R72" s="44">
        <f t="shared" si="16"/>
        <v>1.2504032435377848E-2</v>
      </c>
      <c r="S72" s="44">
        <f t="shared" si="16"/>
        <v>1.5673681812363043E-2</v>
      </c>
      <c r="T72" s="44">
        <f t="shared" si="16"/>
        <v>1.7746853532985843E-2</v>
      </c>
      <c r="U72" s="44">
        <f t="shared" si="16"/>
        <v>1.8960768428041664E-2</v>
      </c>
      <c r="V72" s="44">
        <f t="shared" si="16"/>
        <v>1.9706322968797214E-2</v>
      </c>
      <c r="W72" s="44">
        <f t="shared" si="16"/>
        <v>2.0236405420971524E-2</v>
      </c>
      <c r="X72" s="44">
        <f t="shared" si="17"/>
        <v>2.067750061823442E-2</v>
      </c>
      <c r="Y72" s="44">
        <f t="shared" si="17"/>
        <v>2.1086828919402358E-2</v>
      </c>
      <c r="Z72" s="44">
        <f t="shared" si="17"/>
        <v>2.1368100334777259E-2</v>
      </c>
      <c r="AA72" s="44">
        <f t="shared" si="17"/>
        <v>2.1632056840965808E-2</v>
      </c>
      <c r="AB72" s="44">
        <f t="shared" si="17"/>
        <v>2.1908777242740689E-2</v>
      </c>
      <c r="AC72" s="44">
        <f t="shared" si="17"/>
        <v>2.2198825141805417E-2</v>
      </c>
      <c r="AD72" s="44">
        <f t="shared" si="17"/>
        <v>2.2502780204244163E-2</v>
      </c>
      <c r="AE72" s="44">
        <f t="shared" si="17"/>
        <v>2.2821234461510385E-2</v>
      </c>
    </row>
    <row r="73" spans="1:31" x14ac:dyDescent="0.2">
      <c r="A73" s="50"/>
      <c r="B73" s="22" t="s">
        <v>59</v>
      </c>
      <c r="C73" s="14">
        <f>+SAM!H18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50"/>
      <c r="B74" s="22" t="s">
        <v>60</v>
      </c>
      <c r="C74" s="14">
        <f>+SAM!H19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50"/>
      <c r="B75" s="22" t="s">
        <v>61</v>
      </c>
      <c r="C75" s="14">
        <f>+SAM!H20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50"/>
      <c r="B76" s="22" t="s">
        <v>62</v>
      </c>
      <c r="C76" s="14">
        <f>+SAM!H21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50"/>
      <c r="B77" s="22" t="s">
        <v>63</v>
      </c>
      <c r="C77" s="14">
        <f>+SAM!H22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50"/>
      <c r="B78" s="22" t="s">
        <v>64</v>
      </c>
      <c r="C78" s="14">
        <f>+SAM!H23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50"/>
      <c r="B79" s="22" t="s">
        <v>65</v>
      </c>
      <c r="C79" s="14">
        <f>+SAM!H24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50"/>
      <c r="B80" s="22" t="s">
        <v>66</v>
      </c>
      <c r="C80" s="14">
        <f>+SAM!H25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50"/>
      <c r="B81" s="22" t="s">
        <v>67</v>
      </c>
      <c r="C81" s="14">
        <f>+SAM!H26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50"/>
      <c r="B82" s="22" t="s">
        <v>68</v>
      </c>
      <c r="C82" s="14">
        <f>+SAM!H27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50"/>
      <c r="B83" s="22" t="s">
        <v>69</v>
      </c>
      <c r="C83" s="14">
        <f>+SAM!H28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50"/>
      <c r="B84" s="22" t="s">
        <v>70</v>
      </c>
      <c r="C84" s="14">
        <f>+SAM!H29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50"/>
      <c r="B85" s="22" t="s">
        <v>71</v>
      </c>
      <c r="C85" s="23">
        <f>+SAM!H30</f>
        <v>7.4999999999999997E-2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9.2944116756861071E-4</v>
      </c>
      <c r="H85" s="44">
        <f t="shared" si="18"/>
        <v>1.7971061279448172E-3</v>
      </c>
      <c r="I85" s="44">
        <f t="shared" si="18"/>
        <v>2.6037661406360683E-3</v>
      </c>
      <c r="J85" s="44">
        <f t="shared" si="18"/>
        <v>3.3507690141447921E-3</v>
      </c>
      <c r="K85" s="44">
        <f t="shared" si="18"/>
        <v>4.8620467926956653E-3</v>
      </c>
      <c r="L85" s="44">
        <f t="shared" si="18"/>
        <v>6.5381090677973019E-3</v>
      </c>
      <c r="M85" s="44">
        <f t="shared" si="18"/>
        <v>8.676537298068554E-3</v>
      </c>
      <c r="N85" s="44">
        <f t="shared" si="19"/>
        <v>1.1944597017209256E-2</v>
      </c>
      <c r="O85" s="44">
        <f t="shared" si="19"/>
        <v>1.768294326319083E-2</v>
      </c>
      <c r="P85" s="44">
        <f t="shared" si="19"/>
        <v>2.7922108960680314E-2</v>
      </c>
      <c r="Q85" s="44">
        <f t="shared" si="19"/>
        <v>4.3814857459170645E-2</v>
      </c>
      <c r="R85" s="44">
        <f t="shared" si="19"/>
        <v>6.2520162176889243E-2</v>
      </c>
      <c r="S85" s="44">
        <f t="shared" si="19"/>
        <v>7.836840906181522E-2</v>
      </c>
      <c r="T85" s="44">
        <f t="shared" si="19"/>
        <v>8.8734267664929214E-2</v>
      </c>
      <c r="U85" s="44">
        <f t="shared" si="19"/>
        <v>9.4803842140208316E-2</v>
      </c>
      <c r="V85" s="44">
        <f t="shared" si="19"/>
        <v>9.8531614843986065E-2</v>
      </c>
      <c r="W85" s="44">
        <f t="shared" si="19"/>
        <v>0.10118202710485762</v>
      </c>
      <c r="X85" s="44">
        <f t="shared" si="20"/>
        <v>0.1033875030911721</v>
      </c>
      <c r="Y85" s="44">
        <f t="shared" si="20"/>
        <v>0.10543414459701179</v>
      </c>
      <c r="Z85" s="44">
        <f t="shared" si="20"/>
        <v>0.1068405016738863</v>
      </c>
      <c r="AA85" s="44">
        <f t="shared" si="20"/>
        <v>0.10816028420482905</v>
      </c>
      <c r="AB85" s="44">
        <f t="shared" si="20"/>
        <v>0.10954388621370345</v>
      </c>
      <c r="AC85" s="44">
        <f t="shared" si="20"/>
        <v>0.11099412570902707</v>
      </c>
      <c r="AD85" s="44">
        <f t="shared" si="20"/>
        <v>0.11251390102122082</v>
      </c>
      <c r="AE85" s="44">
        <f t="shared" si="20"/>
        <v>0.11410617230755192</v>
      </c>
    </row>
    <row r="86" spans="1:31" x14ac:dyDescent="0.2">
      <c r="A86" s="50"/>
      <c r="B86" s="22" t="s">
        <v>72</v>
      </c>
      <c r="C86" s="14">
        <f>+SAM!H31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50"/>
      <c r="B87" s="22" t="s">
        <v>73</v>
      </c>
      <c r="C87" s="14">
        <f>+SAM!H32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50"/>
      <c r="B88" s="22" t="s">
        <v>74</v>
      </c>
      <c r="C88" s="14">
        <f>+SAM!H33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50"/>
      <c r="B89" s="22" t="s">
        <v>75</v>
      </c>
      <c r="C89" s="14">
        <f>+SAM!H34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50"/>
      <c r="B90" s="22" t="s">
        <v>76</v>
      </c>
      <c r="C90" s="14">
        <f>+SAM!H35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50"/>
      <c r="B91" s="22" t="s">
        <v>77</v>
      </c>
      <c r="C91" s="14">
        <f>+SAM!H36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50"/>
      <c r="B92" s="22" t="s">
        <v>78</v>
      </c>
      <c r="C92" s="23">
        <f>+SAM!H37</f>
        <v>2.1000000000000001E-2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2.6024352691921102E-4</v>
      </c>
      <c r="H92" s="44">
        <f t="shared" si="21"/>
        <v>5.0318971582454886E-4</v>
      </c>
      <c r="I92" s="44">
        <f t="shared" si="21"/>
        <v>7.2905451937809915E-4</v>
      </c>
      <c r="J92" s="44">
        <f t="shared" si="21"/>
        <v>9.3821532396054193E-4</v>
      </c>
      <c r="K92" s="44">
        <f t="shared" si="21"/>
        <v>1.3613731019547863E-3</v>
      </c>
      <c r="L92" s="44">
        <f t="shared" si="21"/>
        <v>1.8306705389832447E-3</v>
      </c>
      <c r="M92" s="44">
        <f t="shared" si="21"/>
        <v>2.4294304434591954E-3</v>
      </c>
      <c r="N92" s="44">
        <f t="shared" si="22"/>
        <v>3.3444871648185921E-3</v>
      </c>
      <c r="O92" s="44">
        <f t="shared" si="22"/>
        <v>4.9512241136934329E-3</v>
      </c>
      <c r="P92" s="44">
        <f t="shared" si="22"/>
        <v>7.8181905089904878E-3</v>
      </c>
      <c r="Q92" s="44">
        <f t="shared" si="22"/>
        <v>1.2268160088567782E-2</v>
      </c>
      <c r="R92" s="44">
        <f t="shared" si="22"/>
        <v>1.7505645409528991E-2</v>
      </c>
      <c r="S92" s="44">
        <f t="shared" si="22"/>
        <v>2.1943154537308263E-2</v>
      </c>
      <c r="T92" s="44">
        <f t="shared" si="22"/>
        <v>2.4845594946180181E-2</v>
      </c>
      <c r="U92" s="44">
        <f t="shared" si="22"/>
        <v>2.6545075799258331E-2</v>
      </c>
      <c r="V92" s="44">
        <f t="shared" si="22"/>
        <v>2.7588852156316103E-2</v>
      </c>
      <c r="W92" s="44">
        <f t="shared" si="22"/>
        <v>2.8330967589360136E-2</v>
      </c>
      <c r="X92" s="44">
        <f t="shared" si="23"/>
        <v>2.8948500865528193E-2</v>
      </c>
      <c r="Y92" s="44">
        <f t="shared" si="23"/>
        <v>2.9521560487163305E-2</v>
      </c>
      <c r="Z92" s="44">
        <f t="shared" si="23"/>
        <v>2.9915340468688167E-2</v>
      </c>
      <c r="AA92" s="44">
        <f t="shared" si="23"/>
        <v>3.0284879577352136E-2</v>
      </c>
      <c r="AB92" s="44">
        <f t="shared" si="23"/>
        <v>3.0672288139836967E-2</v>
      </c>
      <c r="AC92" s="44">
        <f t="shared" si="23"/>
        <v>3.1078355198527585E-2</v>
      </c>
      <c r="AD92" s="44">
        <f t="shared" si="23"/>
        <v>3.1503892285941831E-2</v>
      </c>
      <c r="AE92" s="44">
        <f t="shared" si="23"/>
        <v>3.1949728246114542E-2</v>
      </c>
    </row>
    <row r="93" spans="1:31" x14ac:dyDescent="0.2">
      <c r="A93" s="50"/>
      <c r="B93" s="22" t="s">
        <v>79</v>
      </c>
      <c r="C93" s="14">
        <f>+SAM!H38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50"/>
      <c r="B94" s="22" t="s">
        <v>80</v>
      </c>
      <c r="C94" s="14">
        <f>+SAM!H39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50"/>
      <c r="B95" s="22" t="s">
        <v>81</v>
      </c>
      <c r="C95" s="14">
        <f>+SAM!H40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51"/>
      <c r="B96" s="32" t="s">
        <v>82</v>
      </c>
      <c r="C96" s="34">
        <f>+SAM!H41</f>
        <v>0.13500000000000001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1.6729941016234995E-3</v>
      </c>
      <c r="H96" s="45">
        <f t="shared" si="21"/>
        <v>3.2347910303006711E-3</v>
      </c>
      <c r="I96" s="45">
        <f t="shared" si="21"/>
        <v>4.6867790531449236E-3</v>
      </c>
      <c r="J96" s="45">
        <f t="shared" si="21"/>
        <v>6.0313842254606266E-3</v>
      </c>
      <c r="K96" s="45">
        <f t="shared" si="21"/>
        <v>8.7516842268521976E-3</v>
      </c>
      <c r="L96" s="45">
        <f t="shared" si="21"/>
        <v>1.1768596322035144E-2</v>
      </c>
      <c r="M96" s="45">
        <f t="shared" si="21"/>
        <v>1.56177671365234E-2</v>
      </c>
      <c r="N96" s="45">
        <f t="shared" si="22"/>
        <v>2.1500274630976663E-2</v>
      </c>
      <c r="O96" s="45">
        <f t="shared" si="22"/>
        <v>3.1829297873743494E-2</v>
      </c>
      <c r="P96" s="45">
        <f t="shared" si="22"/>
        <v>5.0259796129224571E-2</v>
      </c>
      <c r="Q96" s="45">
        <f t="shared" si="22"/>
        <v>7.8866743426507166E-2</v>
      </c>
      <c r="R96" s="45">
        <f t="shared" si="22"/>
        <v>0.11253629191840064</v>
      </c>
      <c r="S96" s="45">
        <f t="shared" si="22"/>
        <v>0.14106313631126741</v>
      </c>
      <c r="T96" s="45">
        <f t="shared" si="22"/>
        <v>0.1597216817968726</v>
      </c>
      <c r="U96" s="45">
        <f t="shared" si="22"/>
        <v>0.17064691585237499</v>
      </c>
      <c r="V96" s="45">
        <f t="shared" si="22"/>
        <v>0.17735690671917495</v>
      </c>
      <c r="W96" s="45">
        <f t="shared" si="22"/>
        <v>0.18212764878874374</v>
      </c>
      <c r="X96" s="45">
        <f t="shared" si="23"/>
        <v>0.18609750556410981</v>
      </c>
      <c r="Y96" s="45">
        <f t="shared" si="23"/>
        <v>0.18978146027462126</v>
      </c>
      <c r="Z96" s="45">
        <f t="shared" si="23"/>
        <v>0.19231290301299536</v>
      </c>
      <c r="AA96" s="45">
        <f t="shared" si="23"/>
        <v>0.1946885115686923</v>
      </c>
      <c r="AB96" s="45">
        <f t="shared" si="23"/>
        <v>0.19717899518466622</v>
      </c>
      <c r="AC96" s="45">
        <f t="shared" si="23"/>
        <v>0.19978942627624877</v>
      </c>
      <c r="AD96" s="45">
        <f t="shared" si="23"/>
        <v>0.20252502183819748</v>
      </c>
      <c r="AE96" s="45">
        <f t="shared" si="23"/>
        <v>0.20539111015359349</v>
      </c>
    </row>
    <row r="97" spans="1:31" ht="16" customHeight="1" thickTop="1" x14ac:dyDescent="0.2">
      <c r="A97" s="54" t="s">
        <v>32</v>
      </c>
      <c r="B97" s="22" t="s">
        <v>43</v>
      </c>
      <c r="C97" s="14">
        <f>+SAM!L2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50"/>
      <c r="B98" s="22" t="s">
        <v>44</v>
      </c>
      <c r="C98" s="14">
        <f>+SAM!L3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50"/>
      <c r="B99" s="22" t="s">
        <v>45</v>
      </c>
      <c r="C99" s="14">
        <f>+SAM!L4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50"/>
      <c r="B100" s="22" t="s">
        <v>46</v>
      </c>
      <c r="C100" s="14">
        <f>+SAM!L5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50"/>
      <c r="B101" s="22" t="s">
        <v>47</v>
      </c>
      <c r="C101" s="14">
        <f>+SAM!L6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50"/>
      <c r="B102" s="22" t="s">
        <v>48</v>
      </c>
      <c r="C102" s="14">
        <f>+SAM!L7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50"/>
      <c r="B103" s="22" t="s">
        <v>49</v>
      </c>
      <c r="C103" s="14">
        <f>+SAM!L8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50"/>
      <c r="B104" s="22" t="s">
        <v>50</v>
      </c>
      <c r="C104" s="23">
        <f>+SAM!L9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50"/>
      <c r="B105" s="22" t="s">
        <v>51</v>
      </c>
      <c r="C105" s="14">
        <f>+SAM!L10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50"/>
      <c r="B106" s="22" t="s">
        <v>52</v>
      </c>
      <c r="C106" s="14">
        <f>+SAM!L11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50"/>
      <c r="B107" s="22" t="s">
        <v>53</v>
      </c>
      <c r="C107" s="14">
        <f>+SAM!L12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50"/>
      <c r="B108" s="22" t="s">
        <v>54</v>
      </c>
      <c r="C108" s="14">
        <f>+SAM!L13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50"/>
      <c r="B109" s="22" t="s">
        <v>55</v>
      </c>
      <c r="C109" s="14">
        <f>+SAM!L14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50"/>
      <c r="B110" s="22" t="s">
        <v>56</v>
      </c>
      <c r="C110" s="14">
        <f>+SAM!L15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50"/>
      <c r="B111" s="22" t="s">
        <v>57</v>
      </c>
      <c r="C111" s="23">
        <f>+SAM!L16</f>
        <v>3.2000000000000001E-2</v>
      </c>
      <c r="D111" s="44">
        <f t="shared" si="27"/>
        <v>0</v>
      </c>
      <c r="E111" s="44">
        <f t="shared" si="27"/>
        <v>0</v>
      </c>
      <c r="F111" s="44">
        <f t="shared" si="27"/>
        <v>2.2833529935260706E-5</v>
      </c>
      <c r="G111" s="44">
        <f t="shared" si="27"/>
        <v>1.1148435617004038E-4</v>
      </c>
      <c r="H111" s="44">
        <f t="shared" si="27"/>
        <v>2.0531004596098689E-4</v>
      </c>
      <c r="I111" s="44">
        <f t="shared" si="27"/>
        <v>3.0448793920848105E-4</v>
      </c>
      <c r="J111" s="44">
        <f t="shared" si="27"/>
        <v>4.0944258371809669E-4</v>
      </c>
      <c r="K111" s="44">
        <f t="shared" si="27"/>
        <v>5.2010449573074375E-4</v>
      </c>
      <c r="L111" s="44">
        <f t="shared" si="27"/>
        <v>6.3656856505614012E-4</v>
      </c>
      <c r="M111" s="44">
        <f t="shared" si="27"/>
        <v>7.5891778143730528E-4</v>
      </c>
      <c r="N111" s="44">
        <f t="shared" si="28"/>
        <v>3.3928986775382847E-3</v>
      </c>
      <c r="O111" s="44">
        <f t="shared" si="28"/>
        <v>5.7399777679233085E-3</v>
      </c>
      <c r="P111" s="44">
        <f t="shared" si="28"/>
        <v>7.8313827371565611E-3</v>
      </c>
      <c r="Q111" s="44">
        <f t="shared" si="28"/>
        <v>9.6956448203288238E-3</v>
      </c>
      <c r="R111" s="44">
        <f t="shared" si="28"/>
        <v>1.1358762870830803E-2</v>
      </c>
      <c r="S111" s="44">
        <f t="shared" si="28"/>
        <v>1.2844366037411289E-2</v>
      </c>
      <c r="T111" s="44">
        <f t="shared" si="28"/>
        <v>1.417385903188711E-2</v>
      </c>
      <c r="U111" s="44">
        <f t="shared" si="28"/>
        <v>1.536656871242662E-2</v>
      </c>
      <c r="V111" s="44">
        <f t="shared" si="28"/>
        <v>1.6447939676310808E-2</v>
      </c>
      <c r="W111" s="44">
        <f t="shared" si="28"/>
        <v>1.7434955811156606E-2</v>
      </c>
      <c r="X111" s="44">
        <f t="shared" si="29"/>
        <v>1.834265732328472E-2</v>
      </c>
      <c r="Y111" s="44">
        <f t="shared" si="29"/>
        <v>1.918430768333464E-2</v>
      </c>
      <c r="Z111" s="44">
        <f t="shared" si="29"/>
        <v>1.9971564928944998E-2</v>
      </c>
      <c r="AA111" s="44">
        <f t="shared" si="29"/>
        <v>2.0714629276561553E-2</v>
      </c>
      <c r="AB111" s="44">
        <f t="shared" si="29"/>
        <v>2.1422414286277981E-2</v>
      </c>
      <c r="AC111" s="44">
        <f t="shared" si="29"/>
        <v>2.2102610015220799E-2</v>
      </c>
      <c r="AD111" s="44">
        <f t="shared" si="29"/>
        <v>2.2761809780855662E-2</v>
      </c>
      <c r="AE111" s="44">
        <f t="shared" si="29"/>
        <v>2.3405615614060637E-2</v>
      </c>
    </row>
    <row r="112" spans="1:31" x14ac:dyDescent="0.2">
      <c r="A112" s="50"/>
      <c r="B112" s="22" t="s">
        <v>58</v>
      </c>
      <c r="C112" s="23">
        <f>+SAM!L17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50"/>
      <c r="B113" s="22" t="s">
        <v>59</v>
      </c>
      <c r="C113" s="14">
        <f>+SAM!L18</f>
        <v>0.06</v>
      </c>
      <c r="D113" s="44">
        <f t="shared" si="27"/>
        <v>0</v>
      </c>
      <c r="E113" s="44">
        <f t="shared" si="27"/>
        <v>0</v>
      </c>
      <c r="F113" s="44">
        <f t="shared" si="27"/>
        <v>4.2812868628613817E-5</v>
      </c>
      <c r="G113" s="44">
        <f t="shared" si="27"/>
        <v>2.0903316781882569E-4</v>
      </c>
      <c r="H113" s="44">
        <f t="shared" si="27"/>
        <v>3.8495633617685035E-4</v>
      </c>
      <c r="I113" s="44">
        <f t="shared" si="27"/>
        <v>5.7091488601590198E-4</v>
      </c>
      <c r="J113" s="44">
        <f t="shared" si="27"/>
        <v>7.6770484447143117E-4</v>
      </c>
      <c r="K113" s="44">
        <f t="shared" si="27"/>
        <v>9.7519592949514436E-4</v>
      </c>
      <c r="L113" s="44">
        <f t="shared" si="27"/>
        <v>1.1935660594802626E-3</v>
      </c>
      <c r="M113" s="44">
        <f t="shared" si="27"/>
        <v>1.4229708401949472E-3</v>
      </c>
      <c r="N113" s="44">
        <f t="shared" si="28"/>
        <v>6.3616850203842834E-3</v>
      </c>
      <c r="O113" s="44">
        <f t="shared" si="28"/>
        <v>1.0762458314856203E-2</v>
      </c>
      <c r="P113" s="44">
        <f t="shared" si="28"/>
        <v>1.4683842632168549E-2</v>
      </c>
      <c r="Q113" s="44">
        <f t="shared" si="28"/>
        <v>1.8179334038116543E-2</v>
      </c>
      <c r="R113" s="44">
        <f t="shared" si="28"/>
        <v>2.1297680382807757E-2</v>
      </c>
      <c r="S113" s="44">
        <f t="shared" si="28"/>
        <v>2.4083186320146166E-2</v>
      </c>
      <c r="T113" s="44">
        <f t="shared" si="28"/>
        <v>2.657598568478833E-2</v>
      </c>
      <c r="U113" s="44">
        <f t="shared" si="28"/>
        <v>2.881231633579991E-2</v>
      </c>
      <c r="V113" s="44">
        <f t="shared" si="28"/>
        <v>3.0839886893082761E-2</v>
      </c>
      <c r="W113" s="44">
        <f t="shared" si="28"/>
        <v>3.2690542145918634E-2</v>
      </c>
      <c r="X113" s="44">
        <f t="shared" si="29"/>
        <v>3.4392482481158844E-2</v>
      </c>
      <c r="Y113" s="44">
        <f t="shared" si="29"/>
        <v>3.5970576906252452E-2</v>
      </c>
      <c r="Z113" s="44">
        <f t="shared" si="29"/>
        <v>3.7446684241771867E-2</v>
      </c>
      <c r="AA113" s="44">
        <f t="shared" si="29"/>
        <v>3.8839929893552907E-2</v>
      </c>
      <c r="AB113" s="44">
        <f t="shared" si="29"/>
        <v>4.0167026786771212E-2</v>
      </c>
      <c r="AC113" s="44">
        <f t="shared" si="29"/>
        <v>4.1442393778538991E-2</v>
      </c>
      <c r="AD113" s="44">
        <f t="shared" si="29"/>
        <v>4.2678393339104365E-2</v>
      </c>
      <c r="AE113" s="44">
        <f t="shared" si="29"/>
        <v>4.3885529276363688E-2</v>
      </c>
    </row>
    <row r="114" spans="1:31" x14ac:dyDescent="0.2">
      <c r="A114" s="50"/>
      <c r="B114" s="22" t="s">
        <v>60</v>
      </c>
      <c r="C114" s="14">
        <f>+SAM!L19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50"/>
      <c r="B115" s="22" t="s">
        <v>61</v>
      </c>
      <c r="C115" s="14">
        <f>+SAM!L20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50"/>
      <c r="B116" s="22" t="s">
        <v>62</v>
      </c>
      <c r="C116" s="14">
        <f>+SAM!L21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50"/>
      <c r="B117" s="22" t="s">
        <v>63</v>
      </c>
      <c r="C117" s="14">
        <f>+SAM!L22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50"/>
      <c r="B118" s="22" t="s">
        <v>64</v>
      </c>
      <c r="C118" s="14">
        <f>+SAM!L23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50"/>
      <c r="B119" s="22" t="s">
        <v>65</v>
      </c>
      <c r="C119" s="14">
        <f>+SAM!L24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50"/>
      <c r="B120" s="22" t="s">
        <v>66</v>
      </c>
      <c r="C120" s="14">
        <f>+SAM!L25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50"/>
      <c r="B121" s="22" t="s">
        <v>67</v>
      </c>
      <c r="C121" s="14">
        <f>+SAM!L26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50"/>
      <c r="B122" s="22" t="s">
        <v>68</v>
      </c>
      <c r="C122" s="14">
        <f>+SAM!L27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50"/>
      <c r="B123" s="22" t="s">
        <v>69</v>
      </c>
      <c r="C123" s="14">
        <f>+SAM!L28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50"/>
      <c r="B124" s="22" t="s">
        <v>70</v>
      </c>
      <c r="C124" s="14">
        <f>+SAM!L29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50"/>
      <c r="B125" s="22" t="s">
        <v>71</v>
      </c>
      <c r="C125" s="23">
        <f>+SAM!L30</f>
        <v>2.8000000000000004E-2</v>
      </c>
      <c r="D125" s="44">
        <f t="shared" si="30"/>
        <v>0</v>
      </c>
      <c r="E125" s="44">
        <f t="shared" si="30"/>
        <v>0</v>
      </c>
      <c r="F125" s="44">
        <f t="shared" si="30"/>
        <v>1.9979338693353118E-5</v>
      </c>
      <c r="G125" s="44">
        <f t="shared" si="30"/>
        <v>9.754881164878534E-5</v>
      </c>
      <c r="H125" s="44">
        <f t="shared" si="30"/>
        <v>1.7964629021586354E-4</v>
      </c>
      <c r="I125" s="44">
        <f t="shared" si="30"/>
        <v>2.6642694680742099E-4</v>
      </c>
      <c r="J125" s="44">
        <f t="shared" si="30"/>
        <v>3.5826226075333465E-4</v>
      </c>
      <c r="K125" s="44">
        <f t="shared" si="30"/>
        <v>4.5509143376440078E-4</v>
      </c>
      <c r="L125" s="44">
        <f t="shared" si="30"/>
        <v>5.5699749442412268E-4</v>
      </c>
      <c r="M125" s="44">
        <f t="shared" si="30"/>
        <v>6.6405305875764215E-4</v>
      </c>
      <c r="N125" s="44">
        <f t="shared" si="31"/>
        <v>2.9687863428459996E-3</v>
      </c>
      <c r="O125" s="44">
        <f t="shared" si="31"/>
        <v>5.0224805469328958E-3</v>
      </c>
      <c r="P125" s="44">
        <f t="shared" si="31"/>
        <v>6.8524598950119916E-3</v>
      </c>
      <c r="Q125" s="44">
        <f t="shared" si="31"/>
        <v>8.483689217787721E-3</v>
      </c>
      <c r="R125" s="44">
        <f t="shared" si="31"/>
        <v>9.9389175119769541E-3</v>
      </c>
      <c r="S125" s="44">
        <f t="shared" si="31"/>
        <v>1.1238820282734879E-2</v>
      </c>
      <c r="T125" s="44">
        <f t="shared" si="31"/>
        <v>1.2402126652901224E-2</v>
      </c>
      <c r="U125" s="44">
        <f t="shared" si="31"/>
        <v>1.3445747623373295E-2</v>
      </c>
      <c r="V125" s="44">
        <f t="shared" si="31"/>
        <v>1.4391947216771958E-2</v>
      </c>
      <c r="W125" s="44">
        <f t="shared" si="31"/>
        <v>1.5255586334762032E-2</v>
      </c>
      <c r="X125" s="44">
        <f t="shared" si="32"/>
        <v>1.6049825157874131E-2</v>
      </c>
      <c r="Y125" s="44">
        <f t="shared" si="32"/>
        <v>1.6786269222917812E-2</v>
      </c>
      <c r="Z125" s="44">
        <f t="shared" si="32"/>
        <v>1.7475119312826873E-2</v>
      </c>
      <c r="AA125" s="44">
        <f t="shared" si="32"/>
        <v>1.8125300616991361E-2</v>
      </c>
      <c r="AB125" s="44">
        <f t="shared" si="32"/>
        <v>1.8744612500493234E-2</v>
      </c>
      <c r="AC125" s="44">
        <f t="shared" si="32"/>
        <v>1.93397837633182E-2</v>
      </c>
      <c r="AD125" s="44">
        <f t="shared" si="32"/>
        <v>1.9916583558248706E-2</v>
      </c>
      <c r="AE125" s="44">
        <f t="shared" si="32"/>
        <v>2.0479913662303059E-2</v>
      </c>
    </row>
    <row r="126" spans="1:31" x14ac:dyDescent="0.2">
      <c r="A126" s="50"/>
      <c r="B126" s="22" t="s">
        <v>72</v>
      </c>
      <c r="C126" s="14">
        <f>+SAM!L31</f>
        <v>4.0000000000000008E-2</v>
      </c>
      <c r="D126" s="44">
        <f t="shared" si="30"/>
        <v>0</v>
      </c>
      <c r="E126" s="44">
        <f t="shared" si="30"/>
        <v>0</v>
      </c>
      <c r="F126" s="44">
        <f t="shared" si="30"/>
        <v>2.8541912419075885E-5</v>
      </c>
      <c r="G126" s="44">
        <f t="shared" si="30"/>
        <v>1.393554452125505E-4</v>
      </c>
      <c r="H126" s="44">
        <f t="shared" si="30"/>
        <v>2.5663755745123365E-4</v>
      </c>
      <c r="I126" s="44">
        <f t="shared" si="30"/>
        <v>3.8060992401060139E-4</v>
      </c>
      <c r="J126" s="44">
        <f t="shared" si="30"/>
        <v>5.1180322964762093E-4</v>
      </c>
      <c r="K126" s="44">
        <f t="shared" si="30"/>
        <v>6.5013061966342968E-4</v>
      </c>
      <c r="L126" s="44">
        <f t="shared" si="30"/>
        <v>7.9571070632017534E-4</v>
      </c>
      <c r="M126" s="44">
        <f t="shared" si="30"/>
        <v>9.4864722679663177E-4</v>
      </c>
      <c r="N126" s="44">
        <f t="shared" si="31"/>
        <v>4.2411233469228571E-3</v>
      </c>
      <c r="O126" s="44">
        <f t="shared" si="31"/>
        <v>7.1749722099041374E-3</v>
      </c>
      <c r="P126" s="44">
        <f t="shared" si="31"/>
        <v>9.7892284214457018E-3</v>
      </c>
      <c r="Q126" s="44">
        <f t="shared" si="31"/>
        <v>1.2119556025411031E-2</v>
      </c>
      <c r="R126" s="44">
        <f t="shared" si="31"/>
        <v>1.4198453588538508E-2</v>
      </c>
      <c r="S126" s="44">
        <f t="shared" si="31"/>
        <v>1.6055457546764115E-2</v>
      </c>
      <c r="T126" s="44">
        <f t="shared" si="31"/>
        <v>1.771732378985889E-2</v>
      </c>
      <c r="U126" s="44">
        <f t="shared" si="31"/>
        <v>1.9208210890533279E-2</v>
      </c>
      <c r="V126" s="44">
        <f t="shared" si="31"/>
        <v>2.0559924595388513E-2</v>
      </c>
      <c r="W126" s="44">
        <f t="shared" si="31"/>
        <v>2.179369476394576E-2</v>
      </c>
      <c r="X126" s="44">
        <f t="shared" si="32"/>
        <v>2.2928321654105903E-2</v>
      </c>
      <c r="Y126" s="44">
        <f t="shared" si="32"/>
        <v>2.3980384604168306E-2</v>
      </c>
      <c r="Z126" s="44">
        <f t="shared" si="32"/>
        <v>2.4964456161181252E-2</v>
      </c>
      <c r="AA126" s="44">
        <f t="shared" si="32"/>
        <v>2.5893286595701948E-2</v>
      </c>
      <c r="AB126" s="44">
        <f t="shared" si="32"/>
        <v>2.6778017857847482E-2</v>
      </c>
      <c r="AC126" s="44">
        <f t="shared" si="32"/>
        <v>2.7628262519026003E-2</v>
      </c>
      <c r="AD126" s="44">
        <f t="shared" si="32"/>
        <v>2.8452262226069582E-2</v>
      </c>
      <c r="AE126" s="44">
        <f t="shared" si="32"/>
        <v>2.92570195175758E-2</v>
      </c>
    </row>
    <row r="127" spans="1:31" x14ac:dyDescent="0.2">
      <c r="A127" s="50"/>
      <c r="B127" s="22" t="s">
        <v>73</v>
      </c>
      <c r="C127" s="14">
        <f>+SAM!L32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50"/>
      <c r="B128" s="22" t="s">
        <v>74</v>
      </c>
      <c r="C128" s="14">
        <f>+SAM!L33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50"/>
      <c r="B129" s="22" t="s">
        <v>75</v>
      </c>
      <c r="C129" s="14">
        <f>+SAM!L34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50"/>
      <c r="B130" s="22" t="s">
        <v>76</v>
      </c>
      <c r="C130" s="14">
        <f>+SAM!L35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50"/>
      <c r="B131" s="22" t="s">
        <v>77</v>
      </c>
      <c r="C131" s="14">
        <f>+SAM!L36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50"/>
      <c r="B132" s="22" t="s">
        <v>78</v>
      </c>
      <c r="C132" s="23">
        <f>+SAM!L37</f>
        <v>2.0000000000000004E-2</v>
      </c>
      <c r="D132" s="44">
        <f t="shared" si="33"/>
        <v>0</v>
      </c>
      <c r="E132" s="44">
        <f t="shared" si="33"/>
        <v>0</v>
      </c>
      <c r="F132" s="44">
        <f t="shared" si="33"/>
        <v>1.4270956209537942E-5</v>
      </c>
      <c r="G132" s="44">
        <f t="shared" si="33"/>
        <v>6.9677722606275249E-5</v>
      </c>
      <c r="H132" s="44">
        <f t="shared" si="33"/>
        <v>1.2831877872561683E-4</v>
      </c>
      <c r="I132" s="44">
        <f t="shared" si="33"/>
        <v>1.903049620053007E-4</v>
      </c>
      <c r="J132" s="44">
        <f t="shared" si="33"/>
        <v>2.5590161482381046E-4</v>
      </c>
      <c r="K132" s="44">
        <f t="shared" si="33"/>
        <v>3.2506530983171484E-4</v>
      </c>
      <c r="L132" s="44">
        <f t="shared" si="33"/>
        <v>3.9785535316008767E-4</v>
      </c>
      <c r="M132" s="44">
        <f t="shared" si="33"/>
        <v>4.7432361339831588E-4</v>
      </c>
      <c r="N132" s="44">
        <f t="shared" si="34"/>
        <v>2.1205616734614285E-3</v>
      </c>
      <c r="O132" s="44">
        <f t="shared" si="34"/>
        <v>3.5874861049520687E-3</v>
      </c>
      <c r="P132" s="44">
        <f t="shared" si="34"/>
        <v>4.8946142107228509E-3</v>
      </c>
      <c r="Q132" s="44">
        <f t="shared" si="34"/>
        <v>6.0597780127055155E-3</v>
      </c>
      <c r="R132" s="44">
        <f t="shared" si="34"/>
        <v>7.0992267942692538E-3</v>
      </c>
      <c r="S132" s="44">
        <f t="shared" si="34"/>
        <v>8.0277287733820576E-3</v>
      </c>
      <c r="T132" s="44">
        <f t="shared" si="34"/>
        <v>8.8586618949294451E-3</v>
      </c>
      <c r="U132" s="44">
        <f t="shared" si="34"/>
        <v>9.6041054452666395E-3</v>
      </c>
      <c r="V132" s="44">
        <f t="shared" si="34"/>
        <v>1.0279962297694257E-2</v>
      </c>
      <c r="W132" s="44">
        <f t="shared" si="34"/>
        <v>1.089684738197288E-2</v>
      </c>
      <c r="X132" s="44">
        <f t="shared" si="35"/>
        <v>1.1464160827052951E-2</v>
      </c>
      <c r="Y132" s="44">
        <f t="shared" si="35"/>
        <v>1.1990192302084153E-2</v>
      </c>
      <c r="Z132" s="44">
        <f t="shared" si="35"/>
        <v>1.2482228080590626E-2</v>
      </c>
      <c r="AA132" s="44">
        <f t="shared" si="35"/>
        <v>1.2946643297850974E-2</v>
      </c>
      <c r="AB132" s="44">
        <f t="shared" si="35"/>
        <v>1.3389008928923741E-2</v>
      </c>
      <c r="AC132" s="44">
        <f t="shared" si="35"/>
        <v>1.3814131259513002E-2</v>
      </c>
      <c r="AD132" s="44">
        <f t="shared" si="35"/>
        <v>1.4226131113034791E-2</v>
      </c>
      <c r="AE132" s="44">
        <f t="shared" si="35"/>
        <v>1.46285097587879E-2</v>
      </c>
    </row>
    <row r="133" spans="1:31" x14ac:dyDescent="0.2">
      <c r="A133" s="50"/>
      <c r="B133" s="22" t="s">
        <v>79</v>
      </c>
      <c r="C133" s="14">
        <f>+SAM!L38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50"/>
      <c r="B134" s="22" t="s">
        <v>80</v>
      </c>
      <c r="C134" s="14">
        <f>+SAM!L39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50"/>
      <c r="B135" s="22" t="s">
        <v>81</v>
      </c>
      <c r="C135" s="14">
        <f>+SAM!L40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51"/>
      <c r="B136" s="32" t="s">
        <v>82</v>
      </c>
      <c r="C136" s="34">
        <f>+SAM!L41</f>
        <v>0.22000000000000003</v>
      </c>
      <c r="D136" s="45">
        <f t="shared" si="33"/>
        <v>0</v>
      </c>
      <c r="E136" s="45">
        <f t="shared" si="33"/>
        <v>0</v>
      </c>
      <c r="F136" s="45">
        <f t="shared" si="33"/>
        <v>1.5698051830491735E-4</v>
      </c>
      <c r="G136" s="45">
        <f t="shared" si="33"/>
        <v>7.6645494866902774E-4</v>
      </c>
      <c r="H136" s="45">
        <f t="shared" si="33"/>
        <v>1.411506565981785E-3</v>
      </c>
      <c r="I136" s="45">
        <f t="shared" si="33"/>
        <v>2.0933545820583073E-3</v>
      </c>
      <c r="J136" s="45">
        <f t="shared" si="33"/>
        <v>2.814917763061915E-3</v>
      </c>
      <c r="K136" s="45">
        <f t="shared" si="33"/>
        <v>3.5757184081488635E-3</v>
      </c>
      <c r="L136" s="45">
        <f t="shared" si="33"/>
        <v>4.3764088847609642E-3</v>
      </c>
      <c r="M136" s="45">
        <f t="shared" si="33"/>
        <v>5.2175597473814745E-3</v>
      </c>
      <c r="N136" s="45">
        <f t="shared" si="34"/>
        <v>2.3326178408075712E-2</v>
      </c>
      <c r="O136" s="45">
        <f t="shared" si="34"/>
        <v>3.9462347154472749E-2</v>
      </c>
      <c r="P136" s="45">
        <f t="shared" si="34"/>
        <v>5.3840756317951356E-2</v>
      </c>
      <c r="Q136" s="45">
        <f t="shared" si="34"/>
        <v>6.6657558139760667E-2</v>
      </c>
      <c r="R136" s="45">
        <f t="shared" si="34"/>
        <v>7.8091494736961781E-2</v>
      </c>
      <c r="S136" s="45">
        <f t="shared" si="34"/>
        <v>8.8305016507202627E-2</v>
      </c>
      <c r="T136" s="45">
        <f t="shared" si="34"/>
        <v>9.7445280844223894E-2</v>
      </c>
      <c r="U136" s="45">
        <f t="shared" si="34"/>
        <v>0.10564515989793302</v>
      </c>
      <c r="V136" s="45">
        <f t="shared" si="34"/>
        <v>0.11307958527463681</v>
      </c>
      <c r="W136" s="45">
        <f t="shared" si="34"/>
        <v>0.11986532120170168</v>
      </c>
      <c r="X136" s="45">
        <f t="shared" si="35"/>
        <v>0.12610576909758245</v>
      </c>
      <c r="Y136" s="45">
        <f t="shared" si="35"/>
        <v>0.13189211532292566</v>
      </c>
      <c r="Z136" s="45">
        <f t="shared" si="35"/>
        <v>0.13730450888649687</v>
      </c>
      <c r="AA136" s="45">
        <f t="shared" si="35"/>
        <v>0.14241307627636068</v>
      </c>
      <c r="AB136" s="45">
        <f t="shared" si="35"/>
        <v>0.14727909821816113</v>
      </c>
      <c r="AC136" s="45">
        <f t="shared" si="35"/>
        <v>0.15195544385464299</v>
      </c>
      <c r="AD136" s="45">
        <f t="shared" si="35"/>
        <v>0.15648744224338268</v>
      </c>
      <c r="AE136" s="45">
        <f t="shared" si="35"/>
        <v>0.1609136073466669</v>
      </c>
    </row>
    <row r="137" spans="1:31" ht="16" customHeight="1" thickTop="1" x14ac:dyDescent="0.2">
      <c r="A137" s="54" t="s">
        <v>33</v>
      </c>
      <c r="B137" s="22" t="s">
        <v>43</v>
      </c>
      <c r="C137" s="14">
        <f>+SAM!P2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50"/>
      <c r="B138" s="22" t="s">
        <v>44</v>
      </c>
      <c r="C138" s="14">
        <f>+SAM!P3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50"/>
      <c r="B139" s="22" t="s">
        <v>45</v>
      </c>
      <c r="C139" s="14">
        <f>+SAM!P4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50"/>
      <c r="B140" s="22" t="s">
        <v>46</v>
      </c>
      <c r="C140" s="14">
        <f>+SAM!P5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50"/>
      <c r="B141" s="22" t="s">
        <v>47</v>
      </c>
      <c r="C141" s="14">
        <f>+SAM!P6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50"/>
      <c r="B142" s="22" t="s">
        <v>48</v>
      </c>
      <c r="C142" s="14">
        <f>+SAM!P7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50"/>
      <c r="B143" s="22" t="s">
        <v>49</v>
      </c>
      <c r="C143" s="14">
        <f>+SAM!P8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50"/>
      <c r="B144" s="22" t="s">
        <v>50</v>
      </c>
      <c r="C144" s="14">
        <f>+SAM!P9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50"/>
      <c r="B145" s="22" t="s">
        <v>51</v>
      </c>
      <c r="C145" s="14">
        <f>+SAM!P10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50"/>
      <c r="B146" s="22" t="s">
        <v>52</v>
      </c>
      <c r="C146" s="14">
        <f>+SAM!P11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50"/>
      <c r="B147" s="22" t="s">
        <v>53</v>
      </c>
      <c r="C147" s="14">
        <f>+SAM!P12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50"/>
      <c r="B148" s="22" t="s">
        <v>54</v>
      </c>
      <c r="C148" s="14">
        <f>+SAM!P13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50"/>
      <c r="B149" s="22" t="s">
        <v>55</v>
      </c>
      <c r="C149" s="23">
        <f>+SAM!P14</f>
        <v>0.11399999999999999</v>
      </c>
      <c r="D149" s="44">
        <f t="shared" si="39"/>
        <v>0</v>
      </c>
      <c r="E149" s="44">
        <f t="shared" si="39"/>
        <v>0</v>
      </c>
      <c r="F149" s="44">
        <f t="shared" si="39"/>
        <v>1.707538526552573E-3</v>
      </c>
      <c r="G149" s="44">
        <f t="shared" si="39"/>
        <v>4.4002971335038148E-3</v>
      </c>
      <c r="H149" s="44">
        <f t="shared" si="39"/>
        <v>7.0510099568417712E-3</v>
      </c>
      <c r="I149" s="44">
        <f t="shared" si="39"/>
        <v>1.0001093982996864E-2</v>
      </c>
      <c r="J149" s="44">
        <f t="shared" si="39"/>
        <v>1.2913632510110917E-2</v>
      </c>
      <c r="K149" s="44">
        <f t="shared" si="39"/>
        <v>1.5797172478311326E-2</v>
      </c>
      <c r="L149" s="44">
        <f t="shared" si="39"/>
        <v>1.8661562284843152E-2</v>
      </c>
      <c r="M149" s="44">
        <f t="shared" si="39"/>
        <v>2.1516247638527049E-2</v>
      </c>
      <c r="N149" s="44">
        <f t="shared" si="40"/>
        <v>2.4370422150490432E-2</v>
      </c>
      <c r="O149" s="44">
        <f t="shared" si="40"/>
        <v>2.7232093498149021E-2</v>
      </c>
      <c r="P149" s="44">
        <f t="shared" si="40"/>
        <v>3.0105489299773195E-2</v>
      </c>
      <c r="Q149" s="44">
        <f t="shared" si="40"/>
        <v>3.2988441492104552E-2</v>
      </c>
      <c r="R149" s="44">
        <f t="shared" si="40"/>
        <v>3.5873874867555958E-2</v>
      </c>
      <c r="S149" s="44">
        <f t="shared" si="40"/>
        <v>3.8755408676094664E-2</v>
      </c>
      <c r="T149" s="44">
        <f t="shared" si="40"/>
        <v>4.1630972225080359E-2</v>
      </c>
      <c r="U149" s="44">
        <f t="shared" si="40"/>
        <v>4.4501931189076582E-2</v>
      </c>
      <c r="V149" s="44">
        <f t="shared" si="40"/>
        <v>4.7378569199617956E-2</v>
      </c>
      <c r="W149" s="44">
        <f t="shared" si="40"/>
        <v>5.0264515236491593E-2</v>
      </c>
      <c r="X149" s="44">
        <f t="shared" si="41"/>
        <v>5.3162683696966966E-2</v>
      </c>
      <c r="Y149" s="44">
        <f t="shared" si="41"/>
        <v>5.607515273868191E-2</v>
      </c>
      <c r="Z149" s="44">
        <f t="shared" si="41"/>
        <v>5.9003385734850894E-2</v>
      </c>
      <c r="AA149" s="44">
        <f t="shared" si="41"/>
        <v>6.1948251007564216E-2</v>
      </c>
      <c r="AB149" s="44">
        <f t="shared" si="41"/>
        <v>6.4910098521423126E-2</v>
      </c>
      <c r="AC149" s="44">
        <f t="shared" si="41"/>
        <v>6.7888873011802672E-2</v>
      </c>
      <c r="AD149" s="44">
        <f t="shared" si="41"/>
        <v>7.0859483053983818E-2</v>
      </c>
      <c r="AE149" s="44">
        <f t="shared" si="41"/>
        <v>7.3842656644833443E-2</v>
      </c>
    </row>
    <row r="150" spans="1:31" x14ac:dyDescent="0.2">
      <c r="A150" s="50"/>
      <c r="B150" s="22" t="s">
        <v>56</v>
      </c>
      <c r="C150" s="14">
        <f>+SAM!P15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50"/>
      <c r="B151" s="22" t="s">
        <v>57</v>
      </c>
      <c r="C151" s="23">
        <f>+SAM!P16</f>
        <v>7.5999999999999998E-2</v>
      </c>
      <c r="D151" s="44">
        <f t="shared" si="39"/>
        <v>0</v>
      </c>
      <c r="E151" s="44">
        <f t="shared" si="39"/>
        <v>0</v>
      </c>
      <c r="F151" s="44">
        <f t="shared" si="39"/>
        <v>1.1383590177017153E-3</v>
      </c>
      <c r="G151" s="44">
        <f t="shared" si="39"/>
        <v>2.9335314223358768E-3</v>
      </c>
      <c r="H151" s="44">
        <f t="shared" si="39"/>
        <v>4.7006733045611808E-3</v>
      </c>
      <c r="I151" s="44">
        <f t="shared" si="39"/>
        <v>6.6673959886645769E-3</v>
      </c>
      <c r="J151" s="44">
        <f t="shared" si="39"/>
        <v>8.6090883400739455E-3</v>
      </c>
      <c r="K151" s="44">
        <f t="shared" si="39"/>
        <v>1.0531448318874218E-2</v>
      </c>
      <c r="L151" s="44">
        <f t="shared" si="39"/>
        <v>1.2441041523228769E-2</v>
      </c>
      <c r="M151" s="44">
        <f t="shared" si="39"/>
        <v>1.4344165092351367E-2</v>
      </c>
      <c r="N151" s="44">
        <f t="shared" si="40"/>
        <v>1.6246948100326956E-2</v>
      </c>
      <c r="O151" s="44">
        <f t="shared" si="40"/>
        <v>1.8154728998766016E-2</v>
      </c>
      <c r="P151" s="44">
        <f t="shared" si="40"/>
        <v>2.0070326199848797E-2</v>
      </c>
      <c r="Q151" s="44">
        <f t="shared" si="40"/>
        <v>2.1992294328069702E-2</v>
      </c>
      <c r="R151" s="44">
        <f t="shared" si="40"/>
        <v>2.3915916578370642E-2</v>
      </c>
      <c r="S151" s="44">
        <f t="shared" si="40"/>
        <v>2.5836939117396446E-2</v>
      </c>
      <c r="T151" s="44">
        <f t="shared" si="40"/>
        <v>2.7753981483386904E-2</v>
      </c>
      <c r="U151" s="44">
        <f t="shared" si="40"/>
        <v>2.9667954126051055E-2</v>
      </c>
      <c r="V151" s="44">
        <f t="shared" si="40"/>
        <v>3.1585712799745307E-2</v>
      </c>
      <c r="W151" s="44">
        <f t="shared" si="40"/>
        <v>3.3509676824327733E-2</v>
      </c>
      <c r="X151" s="44">
        <f t="shared" si="41"/>
        <v>3.544178913131131E-2</v>
      </c>
      <c r="Y151" s="44">
        <f t="shared" si="41"/>
        <v>3.7383435159121278E-2</v>
      </c>
      <c r="Z151" s="44">
        <f t="shared" si="41"/>
        <v>3.9335590489900596E-2</v>
      </c>
      <c r="AA151" s="44">
        <f t="shared" si="41"/>
        <v>4.1298834005042813E-2</v>
      </c>
      <c r="AB151" s="44">
        <f t="shared" si="41"/>
        <v>4.3273399014282087E-2</v>
      </c>
      <c r="AC151" s="44">
        <f t="shared" si="41"/>
        <v>4.5259248674535124E-2</v>
      </c>
      <c r="AD151" s="44">
        <f t="shared" si="41"/>
        <v>4.723965536932255E-2</v>
      </c>
      <c r="AE151" s="44">
        <f t="shared" si="41"/>
        <v>4.9228437763222305E-2</v>
      </c>
    </row>
    <row r="152" spans="1:31" x14ac:dyDescent="0.2">
      <c r="A152" s="50"/>
      <c r="B152" s="22" t="s">
        <v>58</v>
      </c>
      <c r="C152" s="23">
        <f>+SAM!P17</f>
        <v>0.23749999999999999</v>
      </c>
      <c r="D152" s="44">
        <f t="shared" si="39"/>
        <v>0</v>
      </c>
      <c r="E152" s="44">
        <f t="shared" si="39"/>
        <v>0</v>
      </c>
      <c r="F152" s="44">
        <f t="shared" si="39"/>
        <v>3.5573719303178602E-3</v>
      </c>
      <c r="G152" s="44">
        <f t="shared" si="39"/>
        <v>9.1672856947996144E-3</v>
      </c>
      <c r="H152" s="44">
        <f t="shared" si="39"/>
        <v>1.468960407675369E-2</v>
      </c>
      <c r="I152" s="44">
        <f t="shared" si="39"/>
        <v>2.0835612464576801E-2</v>
      </c>
      <c r="J152" s="44">
        <f t="shared" si="39"/>
        <v>2.6903401062731078E-2</v>
      </c>
      <c r="K152" s="44">
        <f t="shared" si="39"/>
        <v>3.2910775996481928E-2</v>
      </c>
      <c r="L152" s="44">
        <f t="shared" si="39"/>
        <v>3.8878254760089902E-2</v>
      </c>
      <c r="M152" s="44">
        <f t="shared" si="39"/>
        <v>4.482551591359802E-2</v>
      </c>
      <c r="N152" s="44">
        <f t="shared" si="40"/>
        <v>5.0771712813521733E-2</v>
      </c>
      <c r="O152" s="44">
        <f t="shared" si="40"/>
        <v>5.6733528121143795E-2</v>
      </c>
      <c r="P152" s="44">
        <f t="shared" si="40"/>
        <v>6.2719769374527487E-2</v>
      </c>
      <c r="Q152" s="44">
        <f t="shared" si="40"/>
        <v>6.8725919775217817E-2</v>
      </c>
      <c r="R152" s="44">
        <f t="shared" si="40"/>
        <v>7.4737239307408249E-2</v>
      </c>
      <c r="S152" s="44">
        <f t="shared" si="40"/>
        <v>8.074043474186389E-2</v>
      </c>
      <c r="T152" s="44">
        <f t="shared" si="40"/>
        <v>8.6731192135584084E-2</v>
      </c>
      <c r="U152" s="44">
        <f t="shared" si="40"/>
        <v>9.2712356643909546E-2</v>
      </c>
      <c r="V152" s="44">
        <f t="shared" si="40"/>
        <v>9.8705352499204077E-2</v>
      </c>
      <c r="W152" s="44">
        <f t="shared" si="40"/>
        <v>0.10471774007602415</v>
      </c>
      <c r="X152" s="44">
        <f t="shared" si="41"/>
        <v>0.11075559103534785</v>
      </c>
      <c r="Y152" s="44">
        <f t="shared" si="41"/>
        <v>0.11682323487225399</v>
      </c>
      <c r="Z152" s="44">
        <f t="shared" si="41"/>
        <v>0.12292372028093937</v>
      </c>
      <c r="AA152" s="44">
        <f t="shared" si="41"/>
        <v>0.1290588562657588</v>
      </c>
      <c r="AB152" s="44">
        <f t="shared" si="41"/>
        <v>0.1352293719196315</v>
      </c>
      <c r="AC152" s="44">
        <f t="shared" si="41"/>
        <v>0.14143515210792226</v>
      </c>
      <c r="AD152" s="44">
        <f t="shared" si="41"/>
        <v>0.14762392302913296</v>
      </c>
      <c r="AE152" s="44">
        <f t="shared" si="41"/>
        <v>0.15383886801006968</v>
      </c>
    </row>
    <row r="153" spans="1:31" x14ac:dyDescent="0.2">
      <c r="A153" s="50"/>
      <c r="B153" s="22" t="s">
        <v>59</v>
      </c>
      <c r="C153" s="14">
        <f>+SAM!P18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50"/>
      <c r="B154" s="22" t="s">
        <v>60</v>
      </c>
      <c r="C154" s="14">
        <f>+SAM!P19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50"/>
      <c r="B155" s="22" t="s">
        <v>61</v>
      </c>
      <c r="C155" s="14">
        <f>+SAM!P20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50"/>
      <c r="B156" s="22" t="s">
        <v>62</v>
      </c>
      <c r="C156" s="14">
        <f>+SAM!P21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50"/>
      <c r="B157" s="22" t="s">
        <v>63</v>
      </c>
      <c r="C157" s="14">
        <f>+SAM!P22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50"/>
      <c r="B158" s="22" t="s">
        <v>64</v>
      </c>
      <c r="C158" s="14">
        <f>+SAM!P23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50"/>
      <c r="B159" s="22" t="s">
        <v>65</v>
      </c>
      <c r="C159" s="14">
        <f>+SAM!P24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50"/>
      <c r="B160" s="22" t="s">
        <v>66</v>
      </c>
      <c r="C160" s="14">
        <f>+SAM!P25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50"/>
      <c r="B161" s="22" t="s">
        <v>67</v>
      </c>
      <c r="C161" s="14">
        <f>+SAM!P26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50"/>
      <c r="B162" s="22" t="s">
        <v>68</v>
      </c>
      <c r="C162" s="14">
        <f>+SAM!P27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50"/>
      <c r="B163" s="22" t="s">
        <v>69</v>
      </c>
      <c r="C163" s="14">
        <f>+SAM!P28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50"/>
      <c r="B164" s="22" t="s">
        <v>70</v>
      </c>
      <c r="C164" s="14">
        <f>+SAM!P29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50"/>
      <c r="B165" s="22" t="s">
        <v>71</v>
      </c>
      <c r="C165" s="23">
        <f>+SAM!P30</f>
        <v>9.5000000000000001E-2</v>
      </c>
      <c r="D165" s="44">
        <f t="shared" si="42"/>
        <v>0</v>
      </c>
      <c r="E165" s="44">
        <f t="shared" si="42"/>
        <v>0</v>
      </c>
      <c r="F165" s="44">
        <f t="shared" si="42"/>
        <v>1.4229487721271442E-3</v>
      </c>
      <c r="G165" s="44">
        <f t="shared" si="42"/>
        <v>3.6669142779198458E-3</v>
      </c>
      <c r="H165" s="44">
        <f t="shared" si="42"/>
        <v>5.8758416307014769E-3</v>
      </c>
      <c r="I165" s="44">
        <f t="shared" si="42"/>
        <v>8.3342449858307202E-3</v>
      </c>
      <c r="J165" s="44">
        <f t="shared" si="42"/>
        <v>1.0761360425092431E-2</v>
      </c>
      <c r="K165" s="44">
        <f t="shared" si="42"/>
        <v>1.3164310398592772E-2</v>
      </c>
      <c r="L165" s="44">
        <f t="shared" si="42"/>
        <v>1.5551301904035962E-2</v>
      </c>
      <c r="M165" s="44">
        <f t="shared" si="42"/>
        <v>1.7930206365439207E-2</v>
      </c>
      <c r="N165" s="44">
        <f t="shared" si="43"/>
        <v>2.0308685125408694E-2</v>
      </c>
      <c r="O165" s="44">
        <f t="shared" si="43"/>
        <v>2.2693411248457519E-2</v>
      </c>
      <c r="P165" s="44">
        <f t="shared" si="43"/>
        <v>2.5087907749810998E-2</v>
      </c>
      <c r="Q165" s="44">
        <f t="shared" si="43"/>
        <v>2.7490367910087129E-2</v>
      </c>
      <c r="R165" s="44">
        <f t="shared" si="43"/>
        <v>2.9894895722963302E-2</v>
      </c>
      <c r="S165" s="44">
        <f t="shared" si="43"/>
        <v>3.2296173896745557E-2</v>
      </c>
      <c r="T165" s="44">
        <f t="shared" si="43"/>
        <v>3.4692476854233635E-2</v>
      </c>
      <c r="U165" s="44">
        <f t="shared" si="43"/>
        <v>3.7084942657563819E-2</v>
      </c>
      <c r="V165" s="44">
        <f t="shared" si="43"/>
        <v>3.9482140999681635E-2</v>
      </c>
      <c r="W165" s="44">
        <f t="shared" si="43"/>
        <v>4.1887096030409667E-2</v>
      </c>
      <c r="X165" s="44">
        <f t="shared" si="44"/>
        <v>4.4302236414139141E-2</v>
      </c>
      <c r="Y165" s="44">
        <f t="shared" si="44"/>
        <v>4.6729293948901601E-2</v>
      </c>
      <c r="Z165" s="44">
        <f t="shared" si="44"/>
        <v>4.9169488112375752E-2</v>
      </c>
      <c r="AA165" s="44">
        <f t="shared" si="44"/>
        <v>5.1623542506303521E-2</v>
      </c>
      <c r="AB165" s="44">
        <f t="shared" si="44"/>
        <v>5.409174876785261E-2</v>
      </c>
      <c r="AC165" s="44">
        <f t="shared" si="44"/>
        <v>5.6574060843168905E-2</v>
      </c>
      <c r="AD165" s="44">
        <f t="shared" si="44"/>
        <v>5.9049569211653191E-2</v>
      </c>
      <c r="AE165" s="44">
        <f t="shared" si="44"/>
        <v>6.1535547204027881E-2</v>
      </c>
    </row>
    <row r="166" spans="1:31" x14ac:dyDescent="0.2">
      <c r="A166" s="50"/>
      <c r="B166" s="22" t="s">
        <v>72</v>
      </c>
      <c r="C166" s="14">
        <f>+SAM!P31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50"/>
      <c r="B167" s="22" t="s">
        <v>73</v>
      </c>
      <c r="C167" s="14">
        <f>+SAM!P32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50"/>
      <c r="B168" s="22" t="s">
        <v>74</v>
      </c>
      <c r="C168" s="14">
        <f>+SAM!P33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50"/>
      <c r="B169" s="22" t="s">
        <v>75</v>
      </c>
      <c r="C169" s="14">
        <f>+SAM!P34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50"/>
      <c r="B170" s="22" t="s">
        <v>76</v>
      </c>
      <c r="C170" s="14">
        <f>+SAM!P35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50"/>
      <c r="B171" s="22" t="s">
        <v>77</v>
      </c>
      <c r="C171" s="14">
        <f>+SAM!P36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50"/>
      <c r="B172" s="22" t="s">
        <v>78</v>
      </c>
      <c r="C172" s="23">
        <f>+SAM!P37</f>
        <v>4.7500000000000001E-2</v>
      </c>
      <c r="D172" s="44">
        <f t="shared" si="45"/>
        <v>0</v>
      </c>
      <c r="E172" s="44">
        <f t="shared" si="45"/>
        <v>0</v>
      </c>
      <c r="F172" s="44">
        <f t="shared" si="45"/>
        <v>7.1147438606357209E-4</v>
      </c>
      <c r="G172" s="44">
        <f t="shared" si="45"/>
        <v>1.8334571389599229E-3</v>
      </c>
      <c r="H172" s="44">
        <f t="shared" si="45"/>
        <v>2.9379208153507384E-3</v>
      </c>
      <c r="I172" s="44">
        <f t="shared" si="45"/>
        <v>4.1671224929153601E-3</v>
      </c>
      <c r="J172" s="44">
        <f t="shared" si="45"/>
        <v>5.3806802125462155E-3</v>
      </c>
      <c r="K172" s="44">
        <f t="shared" si="45"/>
        <v>6.5821551992963859E-3</v>
      </c>
      <c r="L172" s="44">
        <f t="shared" si="45"/>
        <v>7.7756509520179812E-3</v>
      </c>
      <c r="M172" s="44">
        <f t="shared" si="45"/>
        <v>8.9651031827196036E-3</v>
      </c>
      <c r="N172" s="44">
        <f t="shared" si="46"/>
        <v>1.0154342562704347E-2</v>
      </c>
      <c r="O172" s="44">
        <f t="shared" si="46"/>
        <v>1.1346705624228759E-2</v>
      </c>
      <c r="P172" s="44">
        <f t="shared" si="46"/>
        <v>1.2543953874905499E-2</v>
      </c>
      <c r="Q172" s="44">
        <f t="shared" si="46"/>
        <v>1.3745183955043564E-2</v>
      </c>
      <c r="R172" s="44">
        <f t="shared" si="46"/>
        <v>1.4947447861481651E-2</v>
      </c>
      <c r="S172" s="44">
        <f t="shared" si="46"/>
        <v>1.6148086948372779E-2</v>
      </c>
      <c r="T172" s="44">
        <f t="shared" si="46"/>
        <v>1.7346238427116818E-2</v>
      </c>
      <c r="U172" s="44">
        <f t="shared" si="46"/>
        <v>1.8542471328781909E-2</v>
      </c>
      <c r="V172" s="44">
        <f t="shared" si="46"/>
        <v>1.9741070499840817E-2</v>
      </c>
      <c r="W172" s="44">
        <f t="shared" si="46"/>
        <v>2.0943548015204833E-2</v>
      </c>
      <c r="X172" s="44">
        <f t="shared" si="47"/>
        <v>2.2151118207069571E-2</v>
      </c>
      <c r="Y172" s="44">
        <f t="shared" si="47"/>
        <v>2.3364646974450801E-2</v>
      </c>
      <c r="Z172" s="44">
        <f t="shared" si="47"/>
        <v>2.4584744056187876E-2</v>
      </c>
      <c r="AA172" s="44">
        <f t="shared" si="47"/>
        <v>2.5811771253151761E-2</v>
      </c>
      <c r="AB172" s="44">
        <f t="shared" si="47"/>
        <v>2.7045874383926305E-2</v>
      </c>
      <c r="AC172" s="44">
        <f t="shared" si="47"/>
        <v>2.8287030421584453E-2</v>
      </c>
      <c r="AD172" s="44">
        <f t="shared" si="47"/>
        <v>2.9524784605826596E-2</v>
      </c>
      <c r="AE172" s="44">
        <f t="shared" si="47"/>
        <v>3.076777360201394E-2</v>
      </c>
    </row>
    <row r="173" spans="1:31" x14ac:dyDescent="0.2">
      <c r="A173" s="50"/>
      <c r="B173" s="22" t="s">
        <v>79</v>
      </c>
      <c r="C173" s="14">
        <f>+SAM!P38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50"/>
      <c r="B174" s="22" t="s">
        <v>80</v>
      </c>
      <c r="C174" s="14">
        <f>+SAM!P39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50"/>
      <c r="B175" s="22" t="s">
        <v>81</v>
      </c>
      <c r="C175" s="14">
        <f>+SAM!P40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51"/>
      <c r="B176" s="32" t="s">
        <v>82</v>
      </c>
      <c r="C176" s="34">
        <f>+SAM!P41</f>
        <v>0.38</v>
      </c>
      <c r="D176" s="45">
        <f t="shared" si="45"/>
        <v>0</v>
      </c>
      <c r="E176" s="45">
        <f t="shared" si="45"/>
        <v>0</v>
      </c>
      <c r="F176" s="45">
        <f t="shared" si="45"/>
        <v>5.6917950885085767E-3</v>
      </c>
      <c r="G176" s="45">
        <f t="shared" si="45"/>
        <v>1.4667657111679383E-2</v>
      </c>
      <c r="H176" s="45">
        <f t="shared" si="45"/>
        <v>2.3503366522805907E-2</v>
      </c>
      <c r="I176" s="45">
        <f t="shared" si="45"/>
        <v>3.3336979943322881E-2</v>
      </c>
      <c r="J176" s="45">
        <f t="shared" si="45"/>
        <v>4.3045441700369724E-2</v>
      </c>
      <c r="K176" s="45">
        <f t="shared" si="45"/>
        <v>5.2657241594371088E-2</v>
      </c>
      <c r="L176" s="45">
        <f t="shared" si="45"/>
        <v>6.220520761614385E-2</v>
      </c>
      <c r="M176" s="45">
        <f t="shared" si="45"/>
        <v>7.1720825461756829E-2</v>
      </c>
      <c r="N176" s="45">
        <f t="shared" si="46"/>
        <v>8.1234740501634775E-2</v>
      </c>
      <c r="O176" s="45">
        <f t="shared" si="46"/>
        <v>9.0773644993830074E-2</v>
      </c>
      <c r="P176" s="45">
        <f t="shared" si="46"/>
        <v>0.10035163099924399</v>
      </c>
      <c r="Q176" s="45">
        <f t="shared" si="46"/>
        <v>0.10996147164034852</v>
      </c>
      <c r="R176" s="45">
        <f t="shared" si="46"/>
        <v>0.11957958289185321</v>
      </c>
      <c r="S176" s="45">
        <f t="shared" si="46"/>
        <v>0.12918469558698223</v>
      </c>
      <c r="T176" s="45">
        <f t="shared" si="46"/>
        <v>0.13876990741693454</v>
      </c>
      <c r="U176" s="45">
        <f t="shared" si="46"/>
        <v>0.14833977063025527</v>
      </c>
      <c r="V176" s="45">
        <f t="shared" si="46"/>
        <v>0.15792856399872654</v>
      </c>
      <c r="W176" s="45">
        <f t="shared" si="46"/>
        <v>0.16754838412163867</v>
      </c>
      <c r="X176" s="45">
        <f t="shared" si="47"/>
        <v>0.17720894565655657</v>
      </c>
      <c r="Y176" s="45">
        <f t="shared" si="47"/>
        <v>0.18691717579560641</v>
      </c>
      <c r="Z176" s="45">
        <f t="shared" si="47"/>
        <v>0.19667795244950301</v>
      </c>
      <c r="AA176" s="45">
        <f t="shared" si="47"/>
        <v>0.20649417002521409</v>
      </c>
      <c r="AB176" s="45">
        <f t="shared" si="47"/>
        <v>0.21636699507141044</v>
      </c>
      <c r="AC176" s="45">
        <f t="shared" si="47"/>
        <v>0.22629624337267562</v>
      </c>
      <c r="AD176" s="45">
        <f t="shared" si="47"/>
        <v>0.23619827684661276</v>
      </c>
      <c r="AE176" s="45">
        <f t="shared" si="47"/>
        <v>0.24614218881611152</v>
      </c>
    </row>
    <row r="177" spans="1:31" ht="16" customHeight="1" thickTop="1" x14ac:dyDescent="0.2">
      <c r="A177" s="54" t="s">
        <v>34</v>
      </c>
      <c r="B177" s="22" t="s">
        <v>43</v>
      </c>
      <c r="C177" s="14">
        <f>+SAM!T2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50"/>
      <c r="B178" s="22" t="s">
        <v>44</v>
      </c>
      <c r="C178" s="14">
        <f>+SAM!T3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50"/>
      <c r="B179" s="22" t="s">
        <v>45</v>
      </c>
      <c r="C179" s="14">
        <f>+SAM!T4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50"/>
      <c r="B180" s="22" t="s">
        <v>46</v>
      </c>
      <c r="C180" s="14">
        <f>+SAM!T5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50"/>
      <c r="B181" s="22" t="s">
        <v>47</v>
      </c>
      <c r="C181" s="14">
        <f>+SAM!T6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50"/>
      <c r="B182" s="22" t="s">
        <v>48</v>
      </c>
      <c r="C182" s="14">
        <f>+SAM!T7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50"/>
      <c r="B183" s="22" t="s">
        <v>49</v>
      </c>
      <c r="C183" s="14">
        <f>+SAM!T8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50"/>
      <c r="B184" s="22" t="s">
        <v>50</v>
      </c>
      <c r="C184" s="14">
        <f>+SAM!T9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50"/>
      <c r="B185" s="22" t="s">
        <v>51</v>
      </c>
      <c r="C185" s="14">
        <f>+SAM!T10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50"/>
      <c r="B186" s="22" t="s">
        <v>52</v>
      </c>
      <c r="C186" s="23">
        <f>+SAM!T11</f>
        <v>9.5000000000000001E-2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7.7322677606620399E-2</v>
      </c>
      <c r="H186" s="44">
        <f t="shared" si="48"/>
        <v>8.6288898826737348E-2</v>
      </c>
      <c r="I186" s="44">
        <f t="shared" si="48"/>
        <v>9.5459719710398586E-2</v>
      </c>
      <c r="J186" s="44">
        <f t="shared" si="48"/>
        <v>0.10485712591499603</v>
      </c>
      <c r="K186" s="44">
        <f t="shared" si="48"/>
        <v>0.11445629849946712</v>
      </c>
      <c r="L186" s="44">
        <f t="shared" si="48"/>
        <v>0.12425588944857836</v>
      </c>
      <c r="M186" s="44">
        <f t="shared" si="48"/>
        <v>0.13425435983035441</v>
      </c>
      <c r="N186" s="44">
        <f t="shared" si="49"/>
        <v>0.14444998540413789</v>
      </c>
      <c r="O186" s="44">
        <f t="shared" si="49"/>
        <v>0.15484085753028659</v>
      </c>
      <c r="P186" s="44">
        <f t="shared" si="49"/>
        <v>0.16542488284090009</v>
      </c>
      <c r="Q186" s="44">
        <f t="shared" si="49"/>
        <v>0.17619978246329468</v>
      </c>
      <c r="R186" s="44">
        <f t="shared" si="49"/>
        <v>0.18716309132697898</v>
      </c>
      <c r="S186" s="44">
        <f t="shared" si="49"/>
        <v>0.19831215752316575</v>
      </c>
      <c r="T186" s="44">
        <f t="shared" si="49"/>
        <v>0.20964414179583379</v>
      </c>
      <c r="U186" s="44">
        <f t="shared" si="49"/>
        <v>0.22115601719121508</v>
      </c>
      <c r="V186" s="44">
        <f t="shared" si="49"/>
        <v>0.23288309109612168</v>
      </c>
      <c r="W186" s="44">
        <f t="shared" si="49"/>
        <v>0.24482817024965436</v>
      </c>
      <c r="X186" s="44">
        <f t="shared" si="50"/>
        <v>0.25699408273706048</v>
      </c>
      <c r="Y186" s="44">
        <f t="shared" si="50"/>
        <v>0.2693836776382515</v>
      </c>
      <c r="Z186" s="44">
        <f t="shared" si="50"/>
        <v>0.28199982495563142</v>
      </c>
      <c r="AA186" s="44">
        <f t="shared" si="50"/>
        <v>0.29484541533072228</v>
      </c>
      <c r="AB186" s="44">
        <f t="shared" si="50"/>
        <v>0.30792336012496635</v>
      </c>
      <c r="AC186" s="44">
        <f t="shared" si="50"/>
        <v>0.32123659081163436</v>
      </c>
      <c r="AD186" s="44">
        <f t="shared" si="50"/>
        <v>0.33478805877749651</v>
      </c>
      <c r="AE186" s="44">
        <f t="shared" si="50"/>
        <v>0.3485807351951723</v>
      </c>
    </row>
    <row r="187" spans="1:31" x14ac:dyDescent="0.2">
      <c r="A187" s="50"/>
      <c r="B187" s="22" t="s">
        <v>53</v>
      </c>
      <c r="C187" s="14">
        <f>+SAM!T12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50"/>
      <c r="B188" s="22" t="s">
        <v>54</v>
      </c>
      <c r="C188" s="14">
        <f>+SAM!T13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50"/>
      <c r="B189" s="22" t="s">
        <v>55</v>
      </c>
      <c r="C189" s="23">
        <f>+SAM!T14</f>
        <v>0.14249999999999999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0.11598401640993058</v>
      </c>
      <c r="H189" s="44">
        <f t="shared" si="51"/>
        <v>0.12943334824010599</v>
      </c>
      <c r="I189" s="44">
        <f t="shared" si="51"/>
        <v>0.14318957956559786</v>
      </c>
      <c r="J189" s="44">
        <f t="shared" si="51"/>
        <v>0.15728568887249403</v>
      </c>
      <c r="K189" s="44">
        <f t="shared" si="51"/>
        <v>0.17168444774920066</v>
      </c>
      <c r="L189" s="44">
        <f t="shared" si="51"/>
        <v>0.18638383417286752</v>
      </c>
      <c r="M189" s="44">
        <f t="shared" si="51"/>
        <v>0.20138153974553158</v>
      </c>
      <c r="N189" s="44">
        <f t="shared" si="52"/>
        <v>0.21667497810620684</v>
      </c>
      <c r="O189" s="44">
        <f t="shared" si="52"/>
        <v>0.23226128629542989</v>
      </c>
      <c r="P189" s="44">
        <f t="shared" si="52"/>
        <v>0.24813732426135013</v>
      </c>
      <c r="Q189" s="44">
        <f t="shared" si="52"/>
        <v>0.26429967369494195</v>
      </c>
      <c r="R189" s="44">
        <f t="shared" si="52"/>
        <v>0.28074463699046842</v>
      </c>
      <c r="S189" s="44">
        <f t="shared" si="52"/>
        <v>0.29746823628474856</v>
      </c>
      <c r="T189" s="44">
        <f t="shared" si="52"/>
        <v>0.31446621269375064</v>
      </c>
      <c r="U189" s="44">
        <f t="shared" si="52"/>
        <v>0.3317340257868226</v>
      </c>
      <c r="V189" s="44">
        <f t="shared" si="52"/>
        <v>0.34932463664418251</v>
      </c>
      <c r="W189" s="44">
        <f t="shared" si="52"/>
        <v>0.36724225537448152</v>
      </c>
      <c r="X189" s="44">
        <f t="shared" si="53"/>
        <v>0.38549112410559067</v>
      </c>
      <c r="Y189" s="44">
        <f t="shared" si="53"/>
        <v>0.40407551645737722</v>
      </c>
      <c r="Z189" s="44">
        <f t="shared" si="53"/>
        <v>0.42299973743344704</v>
      </c>
      <c r="AA189" s="44">
        <f t="shared" si="53"/>
        <v>0.44226812299608337</v>
      </c>
      <c r="AB189" s="44">
        <f t="shared" si="53"/>
        <v>0.46188504018744952</v>
      </c>
      <c r="AC189" s="44">
        <f t="shared" si="53"/>
        <v>0.48185488621745154</v>
      </c>
      <c r="AD189" s="44">
        <f t="shared" si="53"/>
        <v>0.50218208816624466</v>
      </c>
      <c r="AE189" s="44">
        <f t="shared" si="53"/>
        <v>0.52287110279275839</v>
      </c>
    </row>
    <row r="190" spans="1:31" x14ac:dyDescent="0.2">
      <c r="A190" s="50"/>
      <c r="B190" s="22" t="s">
        <v>56</v>
      </c>
      <c r="C190" s="14">
        <f>+SAM!T15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50"/>
      <c r="B191" s="22" t="s">
        <v>57</v>
      </c>
      <c r="C191" s="14">
        <f>+SAM!T16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50"/>
      <c r="B192" s="22" t="s">
        <v>58</v>
      </c>
      <c r="C192" s="23">
        <f>+SAM!T17</f>
        <v>0.28499999999999998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0.23196803281986117</v>
      </c>
      <c r="H192" s="44">
        <f t="shared" si="51"/>
        <v>0.25886669648021199</v>
      </c>
      <c r="I192" s="44">
        <f t="shared" si="51"/>
        <v>0.28637915913119572</v>
      </c>
      <c r="J192" s="44">
        <f t="shared" si="51"/>
        <v>0.31457137774498806</v>
      </c>
      <c r="K192" s="44">
        <f t="shared" si="51"/>
        <v>0.34336889549840133</v>
      </c>
      <c r="L192" s="44">
        <f t="shared" si="51"/>
        <v>0.37276766834573505</v>
      </c>
      <c r="M192" s="44">
        <f t="shared" si="51"/>
        <v>0.40276307949106316</v>
      </c>
      <c r="N192" s="44">
        <f t="shared" si="52"/>
        <v>0.43334995621241368</v>
      </c>
      <c r="O192" s="44">
        <f t="shared" si="52"/>
        <v>0.46452257259085977</v>
      </c>
      <c r="P192" s="44">
        <f t="shared" si="52"/>
        <v>0.49627464852270026</v>
      </c>
      <c r="Q192" s="44">
        <f t="shared" si="52"/>
        <v>0.5285993473898839</v>
      </c>
      <c r="R192" s="44">
        <f t="shared" si="52"/>
        <v>0.56148927398093684</v>
      </c>
      <c r="S192" s="44">
        <f t="shared" si="52"/>
        <v>0.59493647256949711</v>
      </c>
      <c r="T192" s="44">
        <f t="shared" si="52"/>
        <v>0.62893242538750127</v>
      </c>
      <c r="U192" s="44">
        <f t="shared" si="52"/>
        <v>0.66346805157364519</v>
      </c>
      <c r="V192" s="44">
        <f t="shared" si="52"/>
        <v>0.69864927328836501</v>
      </c>
      <c r="W192" s="44">
        <f t="shared" si="52"/>
        <v>0.73448451074896304</v>
      </c>
      <c r="X192" s="44">
        <f t="shared" si="53"/>
        <v>0.77098224821118133</v>
      </c>
      <c r="Y192" s="44">
        <f t="shared" si="53"/>
        <v>0.80815103291475443</v>
      </c>
      <c r="Z192" s="44">
        <f t="shared" si="53"/>
        <v>0.84599947486689409</v>
      </c>
      <c r="AA192" s="44">
        <f t="shared" si="53"/>
        <v>0.88453624599216674</v>
      </c>
      <c r="AB192" s="44">
        <f t="shared" si="53"/>
        <v>0.92377008037489905</v>
      </c>
      <c r="AC192" s="44">
        <f t="shared" si="53"/>
        <v>0.96370977243490308</v>
      </c>
      <c r="AD192" s="44">
        <f t="shared" si="53"/>
        <v>1.0043641763324893</v>
      </c>
      <c r="AE192" s="44">
        <f t="shared" si="53"/>
        <v>1.0457422055855168</v>
      </c>
    </row>
    <row r="193" spans="1:31" x14ac:dyDescent="0.2">
      <c r="A193" s="50"/>
      <c r="B193" s="22" t="s">
        <v>59</v>
      </c>
      <c r="C193" s="14">
        <f>+SAM!T18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50"/>
      <c r="B194" s="22" t="s">
        <v>60</v>
      </c>
      <c r="C194" s="14">
        <f>+SAM!T19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50"/>
      <c r="B195" s="22" t="s">
        <v>61</v>
      </c>
      <c r="C195" s="14">
        <f>+SAM!T20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50"/>
      <c r="B196" s="22" t="s">
        <v>62</v>
      </c>
      <c r="C196" s="14">
        <f>+SAM!T21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50"/>
      <c r="B197" s="22" t="s">
        <v>63</v>
      </c>
      <c r="C197" s="14">
        <f>+SAM!T22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50"/>
      <c r="B198" s="22" t="s">
        <v>64</v>
      </c>
      <c r="C198" s="14">
        <f>+SAM!T23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50"/>
      <c r="B199" s="22" t="s">
        <v>65</v>
      </c>
      <c r="C199" s="14">
        <f>+SAM!T24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50"/>
      <c r="B200" s="22" t="s">
        <v>66</v>
      </c>
      <c r="C200" s="14">
        <f>+SAM!T25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50"/>
      <c r="B201" s="22" t="s">
        <v>67</v>
      </c>
      <c r="C201" s="14">
        <f>+SAM!T26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50"/>
      <c r="B202" s="22" t="s">
        <v>68</v>
      </c>
      <c r="C202" s="14">
        <f>+SAM!T27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50"/>
      <c r="B203" s="22" t="s">
        <v>69</v>
      </c>
      <c r="C203" s="14">
        <f>+SAM!T28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50"/>
      <c r="B204" s="22" t="s">
        <v>70</v>
      </c>
      <c r="C204" s="14">
        <f>+SAM!T29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50"/>
      <c r="B205" s="22" t="s">
        <v>71</v>
      </c>
      <c r="C205" s="23">
        <f>+SAM!T30</f>
        <v>0.19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0.1546453552132408</v>
      </c>
      <c r="H205" s="44">
        <f t="shared" si="54"/>
        <v>0.1725777976534747</v>
      </c>
      <c r="I205" s="44">
        <f t="shared" si="54"/>
        <v>0.19091943942079717</v>
      </c>
      <c r="J205" s="44">
        <f t="shared" si="54"/>
        <v>0.20971425182999207</v>
      </c>
      <c r="K205" s="44">
        <f t="shared" si="54"/>
        <v>0.22891259699893424</v>
      </c>
      <c r="L205" s="44">
        <f t="shared" si="54"/>
        <v>0.24851177889715673</v>
      </c>
      <c r="M205" s="44">
        <f t="shared" si="54"/>
        <v>0.26850871966070883</v>
      </c>
      <c r="N205" s="44">
        <f t="shared" si="55"/>
        <v>0.28889997080827579</v>
      </c>
      <c r="O205" s="44">
        <f t="shared" si="55"/>
        <v>0.30968171506057318</v>
      </c>
      <c r="P205" s="44">
        <f t="shared" si="55"/>
        <v>0.33084976568180019</v>
      </c>
      <c r="Q205" s="44">
        <f t="shared" si="55"/>
        <v>0.35239956492658936</v>
      </c>
      <c r="R205" s="44">
        <f t="shared" si="55"/>
        <v>0.37432618265395795</v>
      </c>
      <c r="S205" s="44">
        <f t="shared" si="55"/>
        <v>0.3966243150463315</v>
      </c>
      <c r="T205" s="44">
        <f t="shared" si="55"/>
        <v>0.41928828359166759</v>
      </c>
      <c r="U205" s="44">
        <f t="shared" si="55"/>
        <v>0.44231203438243016</v>
      </c>
      <c r="V205" s="44">
        <f t="shared" si="55"/>
        <v>0.46576618219224336</v>
      </c>
      <c r="W205" s="44">
        <f t="shared" si="55"/>
        <v>0.48965634049930873</v>
      </c>
      <c r="X205" s="44">
        <f t="shared" si="56"/>
        <v>0.51398816547412096</v>
      </c>
      <c r="Y205" s="44">
        <f t="shared" si="56"/>
        <v>0.53876735527650299</v>
      </c>
      <c r="Z205" s="44">
        <f t="shared" si="56"/>
        <v>0.56399964991126283</v>
      </c>
      <c r="AA205" s="44">
        <f t="shared" si="56"/>
        <v>0.58969083066144456</v>
      </c>
      <c r="AB205" s="44">
        <f t="shared" si="56"/>
        <v>0.6158467202499327</v>
      </c>
      <c r="AC205" s="44">
        <f t="shared" si="56"/>
        <v>0.64247318162326872</v>
      </c>
      <c r="AD205" s="44">
        <f t="shared" si="56"/>
        <v>0.66957611755499302</v>
      </c>
      <c r="AE205" s="44">
        <f t="shared" si="56"/>
        <v>0.6971614703903446</v>
      </c>
    </row>
    <row r="206" spans="1:31" x14ac:dyDescent="0.2">
      <c r="A206" s="50"/>
      <c r="B206" s="22" t="s">
        <v>72</v>
      </c>
      <c r="C206" s="14">
        <f>+SAM!T31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50"/>
      <c r="B207" s="22" t="s">
        <v>73</v>
      </c>
      <c r="C207" s="14">
        <f>+SAM!T32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50"/>
      <c r="B208" s="22" t="s">
        <v>74</v>
      </c>
      <c r="C208" s="14">
        <f>+SAM!T33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50"/>
      <c r="B209" s="22" t="s">
        <v>75</v>
      </c>
      <c r="C209" s="14">
        <f>+SAM!T34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50"/>
      <c r="B210" s="22" t="s">
        <v>76</v>
      </c>
      <c r="C210" s="14">
        <f>+SAM!T35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50"/>
      <c r="B211" s="22" t="s">
        <v>77</v>
      </c>
      <c r="C211" s="14">
        <f>+SAM!T36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50"/>
      <c r="B212" s="22" t="s">
        <v>78</v>
      </c>
      <c r="C212" s="23">
        <f>+SAM!T37</f>
        <v>9.5000000000000001E-2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7.7322677606620399E-2</v>
      </c>
      <c r="H212" s="44">
        <f t="shared" si="57"/>
        <v>8.6288898826737348E-2</v>
      </c>
      <c r="I212" s="44">
        <f t="shared" si="57"/>
        <v>9.5459719710398586E-2</v>
      </c>
      <c r="J212" s="44">
        <f t="shared" si="57"/>
        <v>0.10485712591499603</v>
      </c>
      <c r="K212" s="44">
        <f t="shared" si="57"/>
        <v>0.11445629849946712</v>
      </c>
      <c r="L212" s="44">
        <f t="shared" si="57"/>
        <v>0.12425588944857836</v>
      </c>
      <c r="M212" s="44">
        <f t="shared" si="57"/>
        <v>0.13425435983035441</v>
      </c>
      <c r="N212" s="44">
        <f t="shared" si="58"/>
        <v>0.14444998540413789</v>
      </c>
      <c r="O212" s="44">
        <f t="shared" si="58"/>
        <v>0.15484085753028659</v>
      </c>
      <c r="P212" s="44">
        <f t="shared" si="58"/>
        <v>0.16542488284090009</v>
      </c>
      <c r="Q212" s="44">
        <f t="shared" si="58"/>
        <v>0.17619978246329468</v>
      </c>
      <c r="R212" s="44">
        <f t="shared" si="58"/>
        <v>0.18716309132697898</v>
      </c>
      <c r="S212" s="44">
        <f t="shared" si="58"/>
        <v>0.19831215752316575</v>
      </c>
      <c r="T212" s="44">
        <f t="shared" si="58"/>
        <v>0.20964414179583379</v>
      </c>
      <c r="U212" s="44">
        <f t="shared" si="58"/>
        <v>0.22115601719121508</v>
      </c>
      <c r="V212" s="44">
        <f t="shared" si="58"/>
        <v>0.23288309109612168</v>
      </c>
      <c r="W212" s="44">
        <f t="shared" si="58"/>
        <v>0.24482817024965436</v>
      </c>
      <c r="X212" s="44">
        <f t="shared" si="59"/>
        <v>0.25699408273706048</v>
      </c>
      <c r="Y212" s="44">
        <f t="shared" si="59"/>
        <v>0.2693836776382515</v>
      </c>
      <c r="Z212" s="44">
        <f t="shared" si="59"/>
        <v>0.28199982495563142</v>
      </c>
      <c r="AA212" s="44">
        <f t="shared" si="59"/>
        <v>0.29484541533072228</v>
      </c>
      <c r="AB212" s="44">
        <f t="shared" si="59"/>
        <v>0.30792336012496635</v>
      </c>
      <c r="AC212" s="44">
        <f t="shared" si="59"/>
        <v>0.32123659081163436</v>
      </c>
      <c r="AD212" s="44">
        <f t="shared" si="59"/>
        <v>0.33478805877749651</v>
      </c>
      <c r="AE212" s="44">
        <f t="shared" si="59"/>
        <v>0.3485807351951723</v>
      </c>
    </row>
    <row r="213" spans="1:31" x14ac:dyDescent="0.2">
      <c r="A213" s="50"/>
      <c r="B213" s="22" t="s">
        <v>79</v>
      </c>
      <c r="C213" s="14">
        <f>+SAM!T38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50"/>
      <c r="B214" s="22" t="s">
        <v>80</v>
      </c>
      <c r="C214" s="14">
        <f>+SAM!T39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50"/>
      <c r="B215" s="22" t="s">
        <v>81</v>
      </c>
      <c r="C215" s="14">
        <f>+SAM!T40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51"/>
      <c r="B216" s="32" t="s">
        <v>82</v>
      </c>
      <c r="C216" s="34">
        <f>+SAM!T41</f>
        <v>0.14249999999999999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0.11598401640993058</v>
      </c>
      <c r="H216" s="45">
        <f t="shared" si="57"/>
        <v>0.12943334824010599</v>
      </c>
      <c r="I216" s="45">
        <f t="shared" si="57"/>
        <v>0.14318957956559786</v>
      </c>
      <c r="J216" s="45">
        <f t="shared" si="57"/>
        <v>0.15728568887249403</v>
      </c>
      <c r="K216" s="45">
        <f t="shared" si="57"/>
        <v>0.17168444774920066</v>
      </c>
      <c r="L216" s="45">
        <f t="shared" si="57"/>
        <v>0.18638383417286752</v>
      </c>
      <c r="M216" s="45">
        <f t="shared" si="57"/>
        <v>0.20138153974553158</v>
      </c>
      <c r="N216" s="45">
        <f t="shared" si="58"/>
        <v>0.21667497810620684</v>
      </c>
      <c r="O216" s="45">
        <f t="shared" si="58"/>
        <v>0.23226128629542989</v>
      </c>
      <c r="P216" s="45">
        <f t="shared" si="58"/>
        <v>0.24813732426135013</v>
      </c>
      <c r="Q216" s="45">
        <f t="shared" si="58"/>
        <v>0.26429967369494195</v>
      </c>
      <c r="R216" s="45">
        <f t="shared" si="58"/>
        <v>0.28074463699046842</v>
      </c>
      <c r="S216" s="45">
        <f t="shared" si="58"/>
        <v>0.29746823628474856</v>
      </c>
      <c r="T216" s="45">
        <f t="shared" si="58"/>
        <v>0.31446621269375064</v>
      </c>
      <c r="U216" s="45">
        <f t="shared" si="58"/>
        <v>0.3317340257868226</v>
      </c>
      <c r="V216" s="45">
        <f t="shared" si="58"/>
        <v>0.34932463664418251</v>
      </c>
      <c r="W216" s="45">
        <f t="shared" si="58"/>
        <v>0.36724225537448152</v>
      </c>
      <c r="X216" s="45">
        <f t="shared" si="59"/>
        <v>0.38549112410559067</v>
      </c>
      <c r="Y216" s="45">
        <f t="shared" si="59"/>
        <v>0.40407551645737722</v>
      </c>
      <c r="Z216" s="45">
        <f t="shared" si="59"/>
        <v>0.42299973743344704</v>
      </c>
      <c r="AA216" s="45">
        <f t="shared" si="59"/>
        <v>0.44226812299608337</v>
      </c>
      <c r="AB216" s="45">
        <f t="shared" si="59"/>
        <v>0.46188504018744952</v>
      </c>
      <c r="AC216" s="45">
        <f t="shared" si="59"/>
        <v>0.48185488621745154</v>
      </c>
      <c r="AD216" s="45">
        <f t="shared" si="59"/>
        <v>0.50218208816624466</v>
      </c>
      <c r="AE216" s="45">
        <f t="shared" si="59"/>
        <v>0.52287110279275839</v>
      </c>
    </row>
    <row r="217" spans="1:31" ht="16" customHeight="1" thickTop="1" x14ac:dyDescent="0.2">
      <c r="A217" s="54" t="s">
        <v>35</v>
      </c>
      <c r="B217" s="22" t="s">
        <v>43</v>
      </c>
      <c r="C217" s="14">
        <f>+SAM!X2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50"/>
      <c r="B218" s="22" t="s">
        <v>44</v>
      </c>
      <c r="C218" s="14">
        <f>+SAM!X3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50"/>
      <c r="B219" s="22" t="s">
        <v>45</v>
      </c>
      <c r="C219" s="14">
        <f>+SAM!X4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50"/>
      <c r="B220" s="22" t="s">
        <v>46</v>
      </c>
      <c r="C220" s="14">
        <f>+SAM!X5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50"/>
      <c r="B221" s="22" t="s">
        <v>47</v>
      </c>
      <c r="C221" s="14">
        <f>+SAM!X6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50"/>
      <c r="B222" s="22" t="s">
        <v>48</v>
      </c>
      <c r="C222" s="14">
        <f>+SAM!X7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50"/>
      <c r="B223" s="22" t="s">
        <v>49</v>
      </c>
      <c r="C223" s="14">
        <f>+SAM!X8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50"/>
      <c r="B224" s="22" t="s">
        <v>50</v>
      </c>
      <c r="C224" s="14">
        <f>+SAM!X9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50"/>
      <c r="B225" s="22" t="s">
        <v>51</v>
      </c>
      <c r="C225" s="14">
        <f>+SAM!X10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50"/>
      <c r="B226" s="22" t="s">
        <v>52</v>
      </c>
      <c r="C226" s="14">
        <f>+SAM!X11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50"/>
      <c r="B227" s="22" t="s">
        <v>53</v>
      </c>
      <c r="C227" s="14">
        <f>+SAM!X12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50"/>
      <c r="B228" s="22" t="s">
        <v>54</v>
      </c>
      <c r="C228" s="14">
        <f>+SAM!X13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50"/>
      <c r="B229" s="22" t="s">
        <v>55</v>
      </c>
      <c r="C229" s="14">
        <f>+SAM!X14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50"/>
      <c r="B230" s="22" t="s">
        <v>56</v>
      </c>
      <c r="C230" s="14">
        <f>+SAM!X15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50"/>
      <c r="B231" s="22" t="s">
        <v>57</v>
      </c>
      <c r="C231" s="14">
        <f>+SAM!X16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50"/>
      <c r="B232" s="22" t="s">
        <v>58</v>
      </c>
      <c r="C232" s="23">
        <f>+SAM!X17</f>
        <v>4.0000000000000008E-2</v>
      </c>
      <c r="D232" s="44">
        <f t="shared" si="63"/>
        <v>0</v>
      </c>
      <c r="E232" s="44">
        <f t="shared" si="63"/>
        <v>0</v>
      </c>
      <c r="F232" s="44">
        <f t="shared" si="63"/>
        <v>3.4820978459359714E-3</v>
      </c>
      <c r="G232" s="44">
        <f t="shared" si="63"/>
        <v>4.5432574839504528E-3</v>
      </c>
      <c r="H232" s="44">
        <f t="shared" si="63"/>
        <v>5.5970760250727133E-3</v>
      </c>
      <c r="I232" s="44">
        <f t="shared" si="63"/>
        <v>6.541909254089982E-3</v>
      </c>
      <c r="J232" s="44">
        <f t="shared" si="63"/>
        <v>7.3182558174520176E-3</v>
      </c>
      <c r="K232" s="44">
        <f t="shared" si="63"/>
        <v>7.9180467508232089E-3</v>
      </c>
      <c r="L232" s="44">
        <f t="shared" si="63"/>
        <v>8.3671906487012421E-3</v>
      </c>
      <c r="M232" s="44">
        <f t="shared" si="63"/>
        <v>8.7028879437152096E-3</v>
      </c>
      <c r="N232" s="44">
        <f t="shared" si="64"/>
        <v>8.9596158090998225E-3</v>
      </c>
      <c r="O232" s="44">
        <f t="shared" si="64"/>
        <v>9.1638980212724545E-3</v>
      </c>
      <c r="P232" s="44">
        <f t="shared" si="64"/>
        <v>9.3336361877282541E-3</v>
      </c>
      <c r="Q232" s="44">
        <f t="shared" si="64"/>
        <v>9.5260295243456052E-3</v>
      </c>
      <c r="R232" s="44">
        <f t="shared" si="64"/>
        <v>9.7034809063360102E-3</v>
      </c>
      <c r="S232" s="44">
        <f t="shared" si="64"/>
        <v>9.8690424172192103E-3</v>
      </c>
      <c r="T232" s="44">
        <f t="shared" si="64"/>
        <v>1.0025289658425163E-2</v>
      </c>
      <c r="U232" s="44">
        <f t="shared" si="64"/>
        <v>1.0174563269866529E-2</v>
      </c>
      <c r="V232" s="44">
        <f t="shared" si="64"/>
        <v>1.0318781909857782E-2</v>
      </c>
      <c r="W232" s="44">
        <f t="shared" si="64"/>
        <v>1.0459301556847473E-2</v>
      </c>
      <c r="X232" s="44">
        <f t="shared" si="65"/>
        <v>1.0399045257396721E-2</v>
      </c>
      <c r="Y232" s="44">
        <f t="shared" si="65"/>
        <v>1.0339323812985038E-2</v>
      </c>
      <c r="Z232" s="44">
        <f t="shared" si="65"/>
        <v>1.0280556791284165E-2</v>
      </c>
      <c r="AA232" s="44">
        <f t="shared" si="65"/>
        <v>1.0223116790135571E-2</v>
      </c>
      <c r="AB232" s="44">
        <f t="shared" si="65"/>
        <v>1.0167296726109817E-2</v>
      </c>
      <c r="AC232" s="44">
        <f t="shared" si="65"/>
        <v>1.0113413395618248E-2</v>
      </c>
      <c r="AD232" s="44">
        <f t="shared" si="65"/>
        <v>1.0052292060892209E-2</v>
      </c>
      <c r="AE232" s="44">
        <f t="shared" si="65"/>
        <v>9.9933306824272067E-3</v>
      </c>
    </row>
    <row r="233" spans="1:31" x14ac:dyDescent="0.2">
      <c r="A233" s="50"/>
      <c r="B233" s="22" t="s">
        <v>59</v>
      </c>
      <c r="C233" s="23">
        <f>+SAM!X18</f>
        <v>2.0000000000000004E-2</v>
      </c>
      <c r="D233" s="44">
        <f t="shared" si="63"/>
        <v>0</v>
      </c>
      <c r="E233" s="44">
        <f t="shared" si="63"/>
        <v>0</v>
      </c>
      <c r="F233" s="44">
        <f t="shared" si="63"/>
        <v>1.7410489229679857E-3</v>
      </c>
      <c r="G233" s="44">
        <f t="shared" si="63"/>
        <v>2.2716287419752264E-3</v>
      </c>
      <c r="H233" s="44">
        <f t="shared" si="63"/>
        <v>2.7985380125363567E-3</v>
      </c>
      <c r="I233" s="44">
        <f t="shared" si="63"/>
        <v>3.270954627044991E-3</v>
      </c>
      <c r="J233" s="44">
        <f t="shared" si="63"/>
        <v>3.6591279087260088E-3</v>
      </c>
      <c r="K233" s="44">
        <f t="shared" si="63"/>
        <v>3.9590233754116045E-3</v>
      </c>
      <c r="L233" s="44">
        <f t="shared" si="63"/>
        <v>4.183595324350621E-3</v>
      </c>
      <c r="M233" s="44">
        <f t="shared" si="63"/>
        <v>4.3514439718576048E-3</v>
      </c>
      <c r="N233" s="44">
        <f t="shared" si="64"/>
        <v>4.4798079045499112E-3</v>
      </c>
      <c r="O233" s="44">
        <f t="shared" si="64"/>
        <v>4.5819490106362272E-3</v>
      </c>
      <c r="P233" s="44">
        <f t="shared" si="64"/>
        <v>4.6668180938641271E-3</v>
      </c>
      <c r="Q233" s="44">
        <f t="shared" si="64"/>
        <v>4.7630147621728026E-3</v>
      </c>
      <c r="R233" s="44">
        <f t="shared" si="64"/>
        <v>4.8517404531680051E-3</v>
      </c>
      <c r="S233" s="44">
        <f t="shared" si="64"/>
        <v>4.9345212086096052E-3</v>
      </c>
      <c r="T233" s="44">
        <f t="shared" si="64"/>
        <v>5.0126448292125815E-3</v>
      </c>
      <c r="U233" s="44">
        <f t="shared" si="64"/>
        <v>5.0872816349332647E-3</v>
      </c>
      <c r="V233" s="44">
        <f t="shared" si="64"/>
        <v>5.159390954928891E-3</v>
      </c>
      <c r="W233" s="44">
        <f t="shared" si="64"/>
        <v>5.2296507784237367E-3</v>
      </c>
      <c r="X233" s="44">
        <f t="shared" si="65"/>
        <v>5.1995226286983606E-3</v>
      </c>
      <c r="Y233" s="44">
        <f t="shared" si="65"/>
        <v>5.1696619064925189E-3</v>
      </c>
      <c r="Z233" s="44">
        <f t="shared" si="65"/>
        <v>5.1402783956420823E-3</v>
      </c>
      <c r="AA233" s="44">
        <f t="shared" si="65"/>
        <v>5.1115583950677853E-3</v>
      </c>
      <c r="AB233" s="44">
        <f t="shared" si="65"/>
        <v>5.0836483630549087E-3</v>
      </c>
      <c r="AC233" s="44">
        <f t="shared" si="65"/>
        <v>5.0567066978091241E-3</v>
      </c>
      <c r="AD233" s="44">
        <f t="shared" si="65"/>
        <v>5.0261460304461044E-3</v>
      </c>
      <c r="AE233" s="44">
        <f t="shared" si="65"/>
        <v>4.9966653412136033E-3</v>
      </c>
    </row>
    <row r="234" spans="1:31" x14ac:dyDescent="0.2">
      <c r="A234" s="50"/>
      <c r="B234" s="22" t="s">
        <v>60</v>
      </c>
      <c r="C234" s="14">
        <f>+SAM!X19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50"/>
      <c r="B235" s="22" t="s">
        <v>61</v>
      </c>
      <c r="C235" s="14">
        <f>+SAM!X20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50"/>
      <c r="B236" s="22" t="s">
        <v>62</v>
      </c>
      <c r="C236" s="14">
        <f>+SAM!X21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50"/>
      <c r="B237" s="22" t="s">
        <v>63</v>
      </c>
      <c r="C237" s="14">
        <f>+SAM!X22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50"/>
      <c r="B238" s="22" t="s">
        <v>64</v>
      </c>
      <c r="C238" s="14">
        <f>+SAM!X23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50"/>
      <c r="B239" s="22" t="s">
        <v>65</v>
      </c>
      <c r="C239" s="14">
        <f>+SAM!X24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50"/>
      <c r="B240" s="22" t="s">
        <v>66</v>
      </c>
      <c r="C240" s="14">
        <f>+SAM!X25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50"/>
      <c r="B241" s="22" t="s">
        <v>67</v>
      </c>
      <c r="C241" s="14">
        <f>+SAM!X26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50"/>
      <c r="B242" s="22" t="s">
        <v>68</v>
      </c>
      <c r="C242" s="14">
        <f>+SAM!X27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50"/>
      <c r="B243" s="22" t="s">
        <v>69</v>
      </c>
      <c r="C243" s="14">
        <f>+SAM!X28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50"/>
      <c r="B244" s="22" t="s">
        <v>70</v>
      </c>
      <c r="C244" s="14">
        <f>+SAM!X29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50"/>
      <c r="B245" s="22" t="s">
        <v>71</v>
      </c>
      <c r="C245" s="23">
        <f>+SAM!X30</f>
        <v>8.0000000000000016E-2</v>
      </c>
      <c r="D245" s="44">
        <f t="shared" si="66"/>
        <v>0</v>
      </c>
      <c r="E245" s="44">
        <f t="shared" si="66"/>
        <v>0</v>
      </c>
      <c r="F245" s="44">
        <f t="shared" si="66"/>
        <v>6.9641956918719428E-3</v>
      </c>
      <c r="G245" s="44">
        <f t="shared" si="66"/>
        <v>9.0865149679009057E-3</v>
      </c>
      <c r="H245" s="44">
        <f t="shared" si="66"/>
        <v>1.1194152050145427E-2</v>
      </c>
      <c r="I245" s="44">
        <f t="shared" si="66"/>
        <v>1.3083818508179964E-2</v>
      </c>
      <c r="J245" s="44">
        <f t="shared" si="66"/>
        <v>1.4636511634904035E-2</v>
      </c>
      <c r="K245" s="44">
        <f t="shared" si="66"/>
        <v>1.5836093501646418E-2</v>
      </c>
      <c r="L245" s="44">
        <f t="shared" si="66"/>
        <v>1.6734381297402484E-2</v>
      </c>
      <c r="M245" s="44">
        <f t="shared" si="66"/>
        <v>1.7405775887430419E-2</v>
      </c>
      <c r="N245" s="44">
        <f t="shared" si="67"/>
        <v>1.7919231618199645E-2</v>
      </c>
      <c r="O245" s="44">
        <f t="shared" si="67"/>
        <v>1.8327796042544909E-2</v>
      </c>
      <c r="P245" s="44">
        <f t="shared" si="67"/>
        <v>1.8667272375456508E-2</v>
      </c>
      <c r="Q245" s="44">
        <f t="shared" si="67"/>
        <v>1.905205904869121E-2</v>
      </c>
      <c r="R245" s="44">
        <f t="shared" si="67"/>
        <v>1.940696181267202E-2</v>
      </c>
      <c r="S245" s="44">
        <f t="shared" si="67"/>
        <v>1.9738084834438421E-2</v>
      </c>
      <c r="T245" s="44">
        <f t="shared" si="67"/>
        <v>2.0050579316850326E-2</v>
      </c>
      <c r="U245" s="44">
        <f t="shared" si="67"/>
        <v>2.0349126539733059E-2</v>
      </c>
      <c r="V245" s="44">
        <f t="shared" si="67"/>
        <v>2.0637563819715564E-2</v>
      </c>
      <c r="W245" s="44">
        <f t="shared" si="67"/>
        <v>2.0918603113694947E-2</v>
      </c>
      <c r="X245" s="44">
        <f t="shared" si="68"/>
        <v>2.0798090514793442E-2</v>
      </c>
      <c r="Y245" s="44">
        <f t="shared" si="68"/>
        <v>2.0678647625970076E-2</v>
      </c>
      <c r="Z245" s="44">
        <f t="shared" si="68"/>
        <v>2.0561113582568329E-2</v>
      </c>
      <c r="AA245" s="44">
        <f t="shared" si="68"/>
        <v>2.0446233580271141E-2</v>
      </c>
      <c r="AB245" s="44">
        <f t="shared" si="68"/>
        <v>2.0334593452219635E-2</v>
      </c>
      <c r="AC245" s="44">
        <f t="shared" si="68"/>
        <v>2.0226826791236496E-2</v>
      </c>
      <c r="AD245" s="44">
        <f t="shared" si="68"/>
        <v>2.0104584121784418E-2</v>
      </c>
      <c r="AE245" s="44">
        <f t="shared" si="68"/>
        <v>1.9986661364854413E-2</v>
      </c>
    </row>
    <row r="246" spans="1:31" x14ac:dyDescent="0.2">
      <c r="A246" s="50"/>
      <c r="B246" s="22" t="s">
        <v>72</v>
      </c>
      <c r="C246" s="14">
        <f>+SAM!X31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50"/>
      <c r="B247" s="22" t="s">
        <v>73</v>
      </c>
      <c r="C247" s="14">
        <f>+SAM!X32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50"/>
      <c r="B248" s="22" t="s">
        <v>74</v>
      </c>
      <c r="C248" s="14">
        <f>+SAM!X33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50"/>
      <c r="B249" s="22" t="s">
        <v>75</v>
      </c>
      <c r="C249" s="14">
        <f>+SAM!X34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50"/>
      <c r="B250" s="22" t="s">
        <v>76</v>
      </c>
      <c r="C250" s="14">
        <f>+SAM!X35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50"/>
      <c r="B251" s="22" t="s">
        <v>77</v>
      </c>
      <c r="C251" s="14">
        <f>+SAM!X36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50"/>
      <c r="B252" s="22" t="s">
        <v>78</v>
      </c>
      <c r="C252" s="23">
        <f>+SAM!X37</f>
        <v>1.6E-2</v>
      </c>
      <c r="D252" s="44">
        <f t="shared" si="69"/>
        <v>0</v>
      </c>
      <c r="E252" s="44">
        <f t="shared" si="69"/>
        <v>0</v>
      </c>
      <c r="F252" s="44">
        <f t="shared" si="69"/>
        <v>1.3928391383743884E-3</v>
      </c>
      <c r="G252" s="44">
        <f t="shared" si="69"/>
        <v>1.8173029935801808E-3</v>
      </c>
      <c r="H252" s="44">
        <f t="shared" si="69"/>
        <v>2.2388304100290852E-3</v>
      </c>
      <c r="I252" s="44">
        <f t="shared" si="69"/>
        <v>2.6167637016359922E-3</v>
      </c>
      <c r="J252" s="44">
        <f t="shared" si="69"/>
        <v>2.9273023269808067E-3</v>
      </c>
      <c r="K252" s="44">
        <f t="shared" si="69"/>
        <v>3.1672187003292831E-3</v>
      </c>
      <c r="L252" s="44">
        <f t="shared" si="69"/>
        <v>3.346876259480496E-3</v>
      </c>
      <c r="M252" s="44">
        <f t="shared" si="69"/>
        <v>3.4811551774860837E-3</v>
      </c>
      <c r="N252" s="44">
        <f t="shared" si="70"/>
        <v>3.5838463236399281E-3</v>
      </c>
      <c r="O252" s="44">
        <f t="shared" si="70"/>
        <v>3.665559208508981E-3</v>
      </c>
      <c r="P252" s="44">
        <f t="shared" si="70"/>
        <v>3.7334544750913011E-3</v>
      </c>
      <c r="Q252" s="44">
        <f t="shared" si="70"/>
        <v>3.8104118097382418E-3</v>
      </c>
      <c r="R252" s="44">
        <f t="shared" si="70"/>
        <v>3.8813923625344035E-3</v>
      </c>
      <c r="S252" s="44">
        <f t="shared" si="70"/>
        <v>3.9476169668876838E-3</v>
      </c>
      <c r="T252" s="44">
        <f t="shared" si="70"/>
        <v>4.0101158633700645E-3</v>
      </c>
      <c r="U252" s="44">
        <f t="shared" si="70"/>
        <v>4.0698253079466109E-3</v>
      </c>
      <c r="V252" s="44">
        <f t="shared" si="70"/>
        <v>4.1275127639431117E-3</v>
      </c>
      <c r="W252" s="44">
        <f t="shared" si="70"/>
        <v>4.183720622738989E-3</v>
      </c>
      <c r="X252" s="44">
        <f t="shared" si="71"/>
        <v>4.1596181029586879E-3</v>
      </c>
      <c r="Y252" s="44">
        <f t="shared" si="71"/>
        <v>4.1357295251940145E-3</v>
      </c>
      <c r="Z252" s="44">
        <f t="shared" si="71"/>
        <v>4.1122227165136657E-3</v>
      </c>
      <c r="AA252" s="44">
        <f t="shared" si="71"/>
        <v>4.0892467160542276E-3</v>
      </c>
      <c r="AB252" s="44">
        <f t="shared" si="71"/>
        <v>4.0669186904439261E-3</v>
      </c>
      <c r="AC252" s="44">
        <f t="shared" si="71"/>
        <v>4.0453653582472986E-3</v>
      </c>
      <c r="AD252" s="44">
        <f t="shared" si="71"/>
        <v>4.0209168243568833E-3</v>
      </c>
      <c r="AE252" s="44">
        <f t="shared" si="71"/>
        <v>3.9973322729708813E-3</v>
      </c>
    </row>
    <row r="253" spans="1:31" x14ac:dyDescent="0.2">
      <c r="A253" s="50"/>
      <c r="B253" s="22" t="s">
        <v>79</v>
      </c>
      <c r="C253" s="14">
        <f>+SAM!X38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50"/>
      <c r="B254" s="22" t="s">
        <v>80</v>
      </c>
      <c r="C254" s="14">
        <f>+SAM!X39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50"/>
      <c r="B255" s="22" t="s">
        <v>81</v>
      </c>
      <c r="C255" s="23">
        <f>+SAM!X40</f>
        <v>2.0000000000000004E-2</v>
      </c>
      <c r="D255" s="44">
        <f t="shared" si="69"/>
        <v>0</v>
      </c>
      <c r="E255" s="44">
        <f t="shared" si="69"/>
        <v>0</v>
      </c>
      <c r="F255" s="44">
        <f t="shared" si="69"/>
        <v>1.7410489229679857E-3</v>
      </c>
      <c r="G255" s="44">
        <f t="shared" si="69"/>
        <v>2.2716287419752264E-3</v>
      </c>
      <c r="H255" s="44">
        <f t="shared" si="69"/>
        <v>2.7985380125363567E-3</v>
      </c>
      <c r="I255" s="44">
        <f t="shared" si="69"/>
        <v>3.270954627044991E-3</v>
      </c>
      <c r="J255" s="44">
        <f t="shared" si="69"/>
        <v>3.6591279087260088E-3</v>
      </c>
      <c r="K255" s="44">
        <f t="shared" si="69"/>
        <v>3.9590233754116045E-3</v>
      </c>
      <c r="L255" s="44">
        <f t="shared" si="69"/>
        <v>4.183595324350621E-3</v>
      </c>
      <c r="M255" s="44">
        <f t="shared" si="69"/>
        <v>4.3514439718576048E-3</v>
      </c>
      <c r="N255" s="44">
        <f t="shared" si="70"/>
        <v>4.4798079045499112E-3</v>
      </c>
      <c r="O255" s="44">
        <f t="shared" si="70"/>
        <v>4.5819490106362272E-3</v>
      </c>
      <c r="P255" s="44">
        <f t="shared" si="70"/>
        <v>4.6668180938641271E-3</v>
      </c>
      <c r="Q255" s="44">
        <f t="shared" si="70"/>
        <v>4.7630147621728026E-3</v>
      </c>
      <c r="R255" s="44">
        <f t="shared" si="70"/>
        <v>4.8517404531680051E-3</v>
      </c>
      <c r="S255" s="44">
        <f t="shared" si="70"/>
        <v>4.9345212086096052E-3</v>
      </c>
      <c r="T255" s="44">
        <f t="shared" si="70"/>
        <v>5.0126448292125815E-3</v>
      </c>
      <c r="U255" s="44">
        <f t="shared" si="70"/>
        <v>5.0872816349332647E-3</v>
      </c>
      <c r="V255" s="44">
        <f t="shared" si="70"/>
        <v>5.159390954928891E-3</v>
      </c>
      <c r="W255" s="44">
        <f t="shared" si="70"/>
        <v>5.2296507784237367E-3</v>
      </c>
      <c r="X255" s="44">
        <f t="shared" si="71"/>
        <v>5.1995226286983606E-3</v>
      </c>
      <c r="Y255" s="44">
        <f t="shared" si="71"/>
        <v>5.1696619064925189E-3</v>
      </c>
      <c r="Z255" s="44">
        <f t="shared" si="71"/>
        <v>5.1402783956420823E-3</v>
      </c>
      <c r="AA255" s="44">
        <f t="shared" si="71"/>
        <v>5.1115583950677853E-3</v>
      </c>
      <c r="AB255" s="44">
        <f t="shared" si="71"/>
        <v>5.0836483630549087E-3</v>
      </c>
      <c r="AC255" s="44">
        <f t="shared" si="71"/>
        <v>5.0567066978091241E-3</v>
      </c>
      <c r="AD255" s="44">
        <f t="shared" si="71"/>
        <v>5.0261460304461044E-3</v>
      </c>
      <c r="AE255" s="44">
        <f t="shared" si="71"/>
        <v>4.9966653412136033E-3</v>
      </c>
    </row>
    <row r="256" spans="1:31" ht="16" customHeight="1" thickBot="1" x14ac:dyDescent="0.25">
      <c r="A256" s="51"/>
      <c r="B256" s="32" t="s">
        <v>82</v>
      </c>
      <c r="C256" s="34">
        <f>+SAM!X41</f>
        <v>2.4E-2</v>
      </c>
      <c r="D256" s="45">
        <f t="shared" si="69"/>
        <v>0</v>
      </c>
      <c r="E256" s="45">
        <f t="shared" si="69"/>
        <v>0</v>
      </c>
      <c r="F256" s="45">
        <f t="shared" si="69"/>
        <v>2.0892587075615823E-3</v>
      </c>
      <c r="G256" s="45">
        <f t="shared" si="69"/>
        <v>2.7259544903702713E-3</v>
      </c>
      <c r="H256" s="45">
        <f t="shared" si="69"/>
        <v>3.3582456150436277E-3</v>
      </c>
      <c r="I256" s="45">
        <f t="shared" si="69"/>
        <v>3.9251455524539885E-3</v>
      </c>
      <c r="J256" s="45">
        <f t="shared" si="69"/>
        <v>4.39095349047121E-3</v>
      </c>
      <c r="K256" s="45">
        <f t="shared" si="69"/>
        <v>4.7508280504939245E-3</v>
      </c>
      <c r="L256" s="45">
        <f t="shared" si="69"/>
        <v>5.0203143892207447E-3</v>
      </c>
      <c r="M256" s="45">
        <f t="shared" si="69"/>
        <v>5.2217327662291251E-3</v>
      </c>
      <c r="N256" s="45">
        <f t="shared" si="70"/>
        <v>5.3757694854598918E-3</v>
      </c>
      <c r="O256" s="45">
        <f t="shared" si="70"/>
        <v>5.4983388127634713E-3</v>
      </c>
      <c r="P256" s="45">
        <f t="shared" si="70"/>
        <v>5.6001817126369513E-3</v>
      </c>
      <c r="Q256" s="45">
        <f t="shared" si="70"/>
        <v>5.7156177146073621E-3</v>
      </c>
      <c r="R256" s="45">
        <f t="shared" si="70"/>
        <v>5.8220885438016049E-3</v>
      </c>
      <c r="S256" s="45">
        <f t="shared" si="70"/>
        <v>5.9214254503315248E-3</v>
      </c>
      <c r="T256" s="45">
        <f t="shared" si="70"/>
        <v>6.0151737950550968E-3</v>
      </c>
      <c r="U256" s="45">
        <f t="shared" si="70"/>
        <v>6.1047379619199168E-3</v>
      </c>
      <c r="V256" s="45">
        <f t="shared" si="70"/>
        <v>6.1912691459146676E-3</v>
      </c>
      <c r="W256" s="45">
        <f t="shared" si="70"/>
        <v>6.2755809341084826E-3</v>
      </c>
      <c r="X256" s="45">
        <f t="shared" si="71"/>
        <v>6.2394271544380315E-3</v>
      </c>
      <c r="Y256" s="45">
        <f t="shared" si="71"/>
        <v>6.2035942877910208E-3</v>
      </c>
      <c r="Z256" s="45">
        <f t="shared" si="71"/>
        <v>6.1683340747704981E-3</v>
      </c>
      <c r="AA256" s="45">
        <f t="shared" si="71"/>
        <v>6.1338700740813414E-3</v>
      </c>
      <c r="AB256" s="45">
        <f t="shared" si="71"/>
        <v>6.1003780356658896E-3</v>
      </c>
      <c r="AC256" s="45">
        <f t="shared" si="71"/>
        <v>6.0680480373709487E-3</v>
      </c>
      <c r="AD256" s="45">
        <f t="shared" si="71"/>
        <v>6.0313752365353246E-3</v>
      </c>
      <c r="AE256" s="45">
        <f t="shared" si="71"/>
        <v>5.9959984094563228E-3</v>
      </c>
    </row>
    <row r="257" spans="1:31" ht="16" customHeight="1" thickTop="1" x14ac:dyDescent="0.2">
      <c r="A257" s="54" t="s">
        <v>36</v>
      </c>
      <c r="B257" s="22" t="s">
        <v>43</v>
      </c>
      <c r="C257" s="14">
        <f>+SAM!AB2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50"/>
      <c r="B258" s="22" t="s">
        <v>44</v>
      </c>
      <c r="C258" s="14">
        <f>+SAM!AB3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50"/>
      <c r="B259" s="22" t="s">
        <v>45</v>
      </c>
      <c r="C259" s="14">
        <f>+SAM!AB4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50"/>
      <c r="B260" s="22" t="s">
        <v>46</v>
      </c>
      <c r="C260" s="14">
        <f>+SAM!AB5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50"/>
      <c r="B261" s="22" t="s">
        <v>47</v>
      </c>
      <c r="C261" s="14">
        <f>+SAM!AB6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50"/>
      <c r="B262" s="22" t="s">
        <v>48</v>
      </c>
      <c r="C262" s="14">
        <f>+SAM!AB7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50"/>
      <c r="B263" s="22" t="s">
        <v>49</v>
      </c>
      <c r="C263" s="14">
        <f>+SAM!AB8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50"/>
      <c r="B264" s="22" t="s">
        <v>50</v>
      </c>
      <c r="C264" s="14">
        <f>+SAM!AB9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50"/>
      <c r="B265" s="22" t="s">
        <v>51</v>
      </c>
      <c r="C265" s="14">
        <f>+SAM!AB10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50"/>
      <c r="B266" s="22" t="s">
        <v>52</v>
      </c>
      <c r="C266" s="23">
        <f>+SAM!AB11</f>
        <v>6.0000000000000001E-3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7.0258905942816182E-4</v>
      </c>
      <c r="H266" s="44">
        <f t="shared" si="72"/>
        <v>1.4956980501534024E-3</v>
      </c>
      <c r="I266" s="44">
        <f t="shared" si="72"/>
        <v>2.3858073651382493E-3</v>
      </c>
      <c r="J266" s="44">
        <f t="shared" si="72"/>
        <v>3.3807262213593511E-3</v>
      </c>
      <c r="K266" s="44">
        <f t="shared" si="72"/>
        <v>4.4866474348213455E-3</v>
      </c>
      <c r="L266" s="44">
        <f t="shared" si="72"/>
        <v>5.7106238019441853E-3</v>
      </c>
      <c r="M266" s="44">
        <f t="shared" si="72"/>
        <v>7.0599402187951554E-3</v>
      </c>
      <c r="N266" s="44">
        <f t="shared" si="73"/>
        <v>8.5421149553009217E-3</v>
      </c>
      <c r="O266" s="44">
        <f t="shared" si="73"/>
        <v>1.0164898609044433E-2</v>
      </c>
      <c r="P266" s="44">
        <f t="shared" si="73"/>
        <v>1.1936268412095703E-2</v>
      </c>
      <c r="Q266" s="44">
        <f t="shared" si="73"/>
        <v>1.2263712781300014E-2</v>
      </c>
      <c r="R266" s="44">
        <f t="shared" si="73"/>
        <v>1.2596364945605454E-2</v>
      </c>
      <c r="S266" s="44">
        <f t="shared" si="73"/>
        <v>1.2934180863179509E-2</v>
      </c>
      <c r="T266" s="44">
        <f t="shared" si="73"/>
        <v>1.3277115167787196E-2</v>
      </c>
      <c r="U266" s="44">
        <f t="shared" si="73"/>
        <v>1.362511813650299E-2</v>
      </c>
      <c r="V266" s="44">
        <f t="shared" si="73"/>
        <v>1.3981906621034971E-2</v>
      </c>
      <c r="W266" s="44">
        <f t="shared" si="73"/>
        <v>1.4347746530556942E-2</v>
      </c>
      <c r="X266" s="44">
        <f t="shared" si="74"/>
        <v>1.472291311219295E-2</v>
      </c>
      <c r="Y266" s="44">
        <f t="shared" si="74"/>
        <v>1.5107699596968182E-2</v>
      </c>
      <c r="Z266" s="44">
        <f t="shared" si="74"/>
        <v>1.5502411821200339E-2</v>
      </c>
      <c r="AA266" s="44">
        <f t="shared" si="74"/>
        <v>1.5907368015565523E-2</v>
      </c>
      <c r="AB266" s="44">
        <f t="shared" si="74"/>
        <v>1.6322876024990756E-2</v>
      </c>
      <c r="AC266" s="44">
        <f t="shared" si="74"/>
        <v>1.674926671859496E-2</v>
      </c>
      <c r="AD266" s="44">
        <f t="shared" si="74"/>
        <v>1.718688179047383E-2</v>
      </c>
      <c r="AE266" s="44">
        <f t="shared" si="74"/>
        <v>1.7636068014120283E-2</v>
      </c>
    </row>
    <row r="267" spans="1:31" x14ac:dyDescent="0.2">
      <c r="A267" s="50"/>
      <c r="B267" s="22" t="s">
        <v>53</v>
      </c>
      <c r="C267" s="14">
        <f>+SAM!AB12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50"/>
      <c r="B268" s="22" t="s">
        <v>54</v>
      </c>
      <c r="C268" s="14">
        <f>+SAM!AB13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50"/>
      <c r="B269" s="22" t="s">
        <v>55</v>
      </c>
      <c r="C269" s="14">
        <f>+SAM!AB14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50"/>
      <c r="B270" s="22" t="s">
        <v>56</v>
      </c>
      <c r="C270" s="14">
        <f>+SAM!AB15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50"/>
      <c r="B271" s="22" t="s">
        <v>57</v>
      </c>
      <c r="C271" s="14">
        <f>+SAM!AB16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50"/>
      <c r="B272" s="22" t="s">
        <v>58</v>
      </c>
      <c r="C272" s="23">
        <f>+SAM!AB17</f>
        <v>2.2499999999999999E-2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2.6347089728556068E-3</v>
      </c>
      <c r="H272" s="44">
        <f t="shared" si="75"/>
        <v>5.6088676880752591E-3</v>
      </c>
      <c r="I272" s="44">
        <f t="shared" si="75"/>
        <v>8.9467776192684347E-3</v>
      </c>
      <c r="J272" s="44">
        <f t="shared" si="75"/>
        <v>1.2677723330097566E-2</v>
      </c>
      <c r="K272" s="44">
        <f t="shared" si="75"/>
        <v>1.6824927880580046E-2</v>
      </c>
      <c r="L272" s="44">
        <f t="shared" si="75"/>
        <v>2.1414839257290694E-2</v>
      </c>
      <c r="M272" s="44">
        <f t="shared" si="75"/>
        <v>2.6474775820481831E-2</v>
      </c>
      <c r="N272" s="44">
        <f t="shared" si="76"/>
        <v>3.2032931082378459E-2</v>
      </c>
      <c r="O272" s="44">
        <f t="shared" si="76"/>
        <v>3.8118369783916618E-2</v>
      </c>
      <c r="P272" s="44">
        <f t="shared" si="76"/>
        <v>4.4761006545358882E-2</v>
      </c>
      <c r="Q272" s="44">
        <f t="shared" si="76"/>
        <v>4.5988922929875053E-2</v>
      </c>
      <c r="R272" s="44">
        <f t="shared" si="76"/>
        <v>4.7236368546020452E-2</v>
      </c>
      <c r="S272" s="44">
        <f t="shared" si="76"/>
        <v>4.8503178236923156E-2</v>
      </c>
      <c r="T272" s="44">
        <f t="shared" si="76"/>
        <v>4.9789181879201984E-2</v>
      </c>
      <c r="U272" s="44">
        <f t="shared" si="76"/>
        <v>5.1094193011886203E-2</v>
      </c>
      <c r="V272" s="44">
        <f t="shared" si="76"/>
        <v>5.2432149828881135E-2</v>
      </c>
      <c r="W272" s="44">
        <f t="shared" si="76"/>
        <v>5.3804049489588529E-2</v>
      </c>
      <c r="X272" s="44">
        <f t="shared" si="77"/>
        <v>5.5210924170723555E-2</v>
      </c>
      <c r="Y272" s="44">
        <f t="shared" si="77"/>
        <v>5.6653873488630678E-2</v>
      </c>
      <c r="Z272" s="44">
        <f t="shared" si="77"/>
        <v>5.8134044329501269E-2</v>
      </c>
      <c r="AA272" s="44">
        <f t="shared" si="77"/>
        <v>5.9652630058370709E-2</v>
      </c>
      <c r="AB272" s="44">
        <f t="shared" si="77"/>
        <v>6.1210785093715324E-2</v>
      </c>
      <c r="AC272" s="44">
        <f t="shared" si="77"/>
        <v>6.2809750194731104E-2</v>
      </c>
      <c r="AD272" s="44">
        <f t="shared" si="77"/>
        <v>6.4450806714276859E-2</v>
      </c>
      <c r="AE272" s="44">
        <f t="shared" si="77"/>
        <v>6.6135255052951064E-2</v>
      </c>
    </row>
    <row r="273" spans="1:31" x14ac:dyDescent="0.2">
      <c r="A273" s="50"/>
      <c r="B273" s="22" t="s">
        <v>59</v>
      </c>
      <c r="C273" s="14">
        <f>+SAM!AB18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50"/>
      <c r="B274" s="22" t="s">
        <v>60</v>
      </c>
      <c r="C274" s="14">
        <f>+SAM!AB19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50"/>
      <c r="B275" s="22" t="s">
        <v>61</v>
      </c>
      <c r="C275" s="14">
        <f>+SAM!AB20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50"/>
      <c r="B276" s="22" t="s">
        <v>62</v>
      </c>
      <c r="C276" s="14">
        <f>+SAM!AB21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50"/>
      <c r="B277" s="22" t="s">
        <v>63</v>
      </c>
      <c r="C277" s="14">
        <f>+SAM!AB22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50"/>
      <c r="B278" s="22" t="s">
        <v>64</v>
      </c>
      <c r="C278" s="14">
        <f>+SAM!AB23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50"/>
      <c r="B279" s="22" t="s">
        <v>65</v>
      </c>
      <c r="C279" s="14">
        <f>+SAM!AB24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50"/>
      <c r="B280" s="22" t="s">
        <v>66</v>
      </c>
      <c r="C280" s="14">
        <f>+SAM!AB25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50"/>
      <c r="B281" s="22" t="s">
        <v>67</v>
      </c>
      <c r="C281" s="14">
        <f>+SAM!AB26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50"/>
      <c r="B282" s="22" t="s">
        <v>68</v>
      </c>
      <c r="C282" s="14">
        <f>+SAM!AB27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50"/>
      <c r="B283" s="22" t="s">
        <v>69</v>
      </c>
      <c r="C283" s="14">
        <f>+SAM!AB28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50"/>
      <c r="B284" s="22" t="s">
        <v>70</v>
      </c>
      <c r="C284" s="23">
        <f>+SAM!AB29</f>
        <v>1.7999999999999999E-2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2.1077671782844852E-3</v>
      </c>
      <c r="H284" s="44">
        <f t="shared" si="78"/>
        <v>4.4870941504602073E-3</v>
      </c>
      <c r="I284" s="44">
        <f t="shared" si="78"/>
        <v>7.1574220954147474E-3</v>
      </c>
      <c r="J284" s="44">
        <f t="shared" si="78"/>
        <v>1.0142178664078053E-2</v>
      </c>
      <c r="K284" s="44">
        <f t="shared" si="78"/>
        <v>1.3459942304464036E-2</v>
      </c>
      <c r="L284" s="44">
        <f t="shared" si="78"/>
        <v>1.7131871405832555E-2</v>
      </c>
      <c r="M284" s="44">
        <f t="shared" si="78"/>
        <v>2.1179820656385465E-2</v>
      </c>
      <c r="N284" s="44">
        <f t="shared" si="79"/>
        <v>2.5626344865902765E-2</v>
      </c>
      <c r="O284" s="44">
        <f t="shared" si="79"/>
        <v>3.0494695827133295E-2</v>
      </c>
      <c r="P284" s="44">
        <f t="shared" si="79"/>
        <v>3.5808805236287107E-2</v>
      </c>
      <c r="Q284" s="44">
        <f t="shared" si="79"/>
        <v>3.6791138343900041E-2</v>
      </c>
      <c r="R284" s="44">
        <f t="shared" si="79"/>
        <v>3.7789094836816362E-2</v>
      </c>
      <c r="S284" s="44">
        <f t="shared" si="79"/>
        <v>3.8802542589538525E-2</v>
      </c>
      <c r="T284" s="44">
        <f t="shared" si="79"/>
        <v>3.9831345503361586E-2</v>
      </c>
      <c r="U284" s="44">
        <f t="shared" si="79"/>
        <v>4.0875354409508964E-2</v>
      </c>
      <c r="V284" s="44">
        <f t="shared" si="79"/>
        <v>4.1945719863104906E-2</v>
      </c>
      <c r="W284" s="44">
        <f t="shared" si="79"/>
        <v>4.304323959167082E-2</v>
      </c>
      <c r="X284" s="44">
        <f t="shared" si="80"/>
        <v>4.4168739336578847E-2</v>
      </c>
      <c r="Y284" s="44">
        <f t="shared" si="80"/>
        <v>4.5323098790904542E-2</v>
      </c>
      <c r="Z284" s="44">
        <f t="shared" si="80"/>
        <v>4.6507235463601013E-2</v>
      </c>
      <c r="AA284" s="44">
        <f t="shared" si="80"/>
        <v>4.7722104046696565E-2</v>
      </c>
      <c r="AB284" s="44">
        <f t="shared" si="80"/>
        <v>4.8968628074972258E-2</v>
      </c>
      <c r="AC284" s="44">
        <f t="shared" si="80"/>
        <v>5.0247800155784873E-2</v>
      </c>
      <c r="AD284" s="44">
        <f t="shared" si="80"/>
        <v>5.1560645371421486E-2</v>
      </c>
      <c r="AE284" s="44">
        <f t="shared" si="80"/>
        <v>5.2908204042360844E-2</v>
      </c>
    </row>
    <row r="285" spans="1:31" x14ac:dyDescent="0.2">
      <c r="A285" s="50"/>
      <c r="B285" s="22" t="s">
        <v>71</v>
      </c>
      <c r="C285" s="23">
        <f>+SAM!AB30</f>
        <v>8.2500000000000004E-2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9.660599567137225E-3</v>
      </c>
      <c r="H285" s="44">
        <f t="shared" si="78"/>
        <v>2.0565848189609284E-2</v>
      </c>
      <c r="I285" s="44">
        <f t="shared" si="78"/>
        <v>3.2804851270650928E-2</v>
      </c>
      <c r="J285" s="44">
        <f t="shared" si="78"/>
        <v>4.6484985543691078E-2</v>
      </c>
      <c r="K285" s="44">
        <f t="shared" si="78"/>
        <v>6.1691402228793504E-2</v>
      </c>
      <c r="L285" s="44">
        <f t="shared" si="78"/>
        <v>7.8521077276732548E-2</v>
      </c>
      <c r="M285" s="44">
        <f t="shared" si="78"/>
        <v>9.707417800843339E-2</v>
      </c>
      <c r="N285" s="44">
        <f t="shared" si="79"/>
        <v>0.11745408063538769</v>
      </c>
      <c r="O285" s="44">
        <f t="shared" si="79"/>
        <v>0.13976735587436095</v>
      </c>
      <c r="P285" s="44">
        <f t="shared" si="79"/>
        <v>0.16412369066631591</v>
      </c>
      <c r="Q285" s="44">
        <f t="shared" si="79"/>
        <v>0.16862605074287521</v>
      </c>
      <c r="R285" s="44">
        <f t="shared" si="79"/>
        <v>0.17320001800207499</v>
      </c>
      <c r="S285" s="44">
        <f t="shared" si="79"/>
        <v>0.17784498686871825</v>
      </c>
      <c r="T285" s="44">
        <f t="shared" si="79"/>
        <v>0.18256033355707396</v>
      </c>
      <c r="U285" s="44">
        <f t="shared" si="79"/>
        <v>0.18734537437691612</v>
      </c>
      <c r="V285" s="44">
        <f t="shared" si="79"/>
        <v>0.19225121603923084</v>
      </c>
      <c r="W285" s="44">
        <f t="shared" si="79"/>
        <v>0.19728151479515796</v>
      </c>
      <c r="X285" s="44">
        <f t="shared" si="80"/>
        <v>0.20244005529265308</v>
      </c>
      <c r="Y285" s="44">
        <f t="shared" si="80"/>
        <v>0.20773086945831248</v>
      </c>
      <c r="Z285" s="44">
        <f t="shared" si="80"/>
        <v>0.21315816254150469</v>
      </c>
      <c r="AA285" s="44">
        <f t="shared" si="80"/>
        <v>0.21872631021402594</v>
      </c>
      <c r="AB285" s="44">
        <f t="shared" si="80"/>
        <v>0.22443954534362287</v>
      </c>
      <c r="AC285" s="44">
        <f t="shared" si="80"/>
        <v>0.23030241738068072</v>
      </c>
      <c r="AD285" s="44">
        <f t="shared" si="80"/>
        <v>0.23631962461901518</v>
      </c>
      <c r="AE285" s="44">
        <f t="shared" si="80"/>
        <v>0.24249593519415388</v>
      </c>
    </row>
    <row r="286" spans="1:31" x14ac:dyDescent="0.2">
      <c r="A286" s="50"/>
      <c r="B286" s="22" t="s">
        <v>72</v>
      </c>
      <c r="C286" s="14">
        <f>+SAM!AB31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50"/>
      <c r="B287" s="22" t="s">
        <v>73</v>
      </c>
      <c r="C287" s="14">
        <f>+SAM!AB32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50"/>
      <c r="B288" s="22" t="s">
        <v>74</v>
      </c>
      <c r="C288" s="14">
        <f>+SAM!AB33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50"/>
      <c r="B289" s="22" t="s">
        <v>75</v>
      </c>
      <c r="C289" s="14">
        <f>+SAM!AB34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50"/>
      <c r="B290" s="22" t="s">
        <v>76</v>
      </c>
      <c r="C290" s="14">
        <f>+SAM!AB35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50"/>
      <c r="B291" s="22" t="s">
        <v>77</v>
      </c>
      <c r="C291" s="14">
        <f>+SAM!AB36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50"/>
      <c r="B292" s="22" t="s">
        <v>78</v>
      </c>
      <c r="C292" s="23">
        <f>+SAM!AB37</f>
        <v>8.9999999999999993E-3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1.0538835891422426E-3</v>
      </c>
      <c r="H292" s="44">
        <f t="shared" si="81"/>
        <v>2.2435470752301036E-3</v>
      </c>
      <c r="I292" s="44">
        <f t="shared" si="81"/>
        <v>3.5787110477073737E-3</v>
      </c>
      <c r="J292" s="44">
        <f t="shared" si="81"/>
        <v>5.0710893320390265E-3</v>
      </c>
      <c r="K292" s="44">
        <f t="shared" si="81"/>
        <v>6.7299711522320182E-3</v>
      </c>
      <c r="L292" s="44">
        <f t="shared" si="81"/>
        <v>8.5659357029162775E-3</v>
      </c>
      <c r="M292" s="44">
        <f t="shared" si="81"/>
        <v>1.0589910328192733E-2</v>
      </c>
      <c r="N292" s="44">
        <f t="shared" si="82"/>
        <v>1.2813172432951382E-2</v>
      </c>
      <c r="O292" s="44">
        <f t="shared" si="82"/>
        <v>1.5247347913566647E-2</v>
      </c>
      <c r="P292" s="44">
        <f t="shared" si="82"/>
        <v>1.7904402618143554E-2</v>
      </c>
      <c r="Q292" s="44">
        <f t="shared" si="82"/>
        <v>1.8395569171950021E-2</v>
      </c>
      <c r="R292" s="44">
        <f t="shared" si="82"/>
        <v>1.8894547418408181E-2</v>
      </c>
      <c r="S292" s="44">
        <f t="shared" si="82"/>
        <v>1.9401271294769262E-2</v>
      </c>
      <c r="T292" s="44">
        <f t="shared" si="82"/>
        <v>1.9915672751680793E-2</v>
      </c>
      <c r="U292" s="44">
        <f t="shared" si="82"/>
        <v>2.0437677204754482E-2</v>
      </c>
      <c r="V292" s="44">
        <f t="shared" si="82"/>
        <v>2.0972859931552453E-2</v>
      </c>
      <c r="W292" s="44">
        <f t="shared" si="82"/>
        <v>2.152161979583541E-2</v>
      </c>
      <c r="X292" s="44">
        <f t="shared" si="83"/>
        <v>2.2084369668289423E-2</v>
      </c>
      <c r="Y292" s="44">
        <f t="shared" si="83"/>
        <v>2.2661549395452271E-2</v>
      </c>
      <c r="Z292" s="44">
        <f t="shared" si="83"/>
        <v>2.3253617731800506E-2</v>
      </c>
      <c r="AA292" s="44">
        <f t="shared" si="83"/>
        <v>2.3861052023348282E-2</v>
      </c>
      <c r="AB292" s="44">
        <f t="shared" si="83"/>
        <v>2.4484314037486129E-2</v>
      </c>
      <c r="AC292" s="44">
        <f t="shared" si="83"/>
        <v>2.5123900077892437E-2</v>
      </c>
      <c r="AD292" s="44">
        <f t="shared" si="83"/>
        <v>2.5780322685710743E-2</v>
      </c>
      <c r="AE292" s="44">
        <f t="shared" si="83"/>
        <v>2.6454102021180422E-2</v>
      </c>
    </row>
    <row r="293" spans="1:31" x14ac:dyDescent="0.2">
      <c r="A293" s="50"/>
      <c r="B293" s="22" t="s">
        <v>79</v>
      </c>
      <c r="C293" s="14">
        <f>+SAM!AB38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50"/>
      <c r="B294" s="22" t="s">
        <v>80</v>
      </c>
      <c r="C294" s="14">
        <f>+SAM!AB39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50"/>
      <c r="B295" s="22" t="s">
        <v>81</v>
      </c>
      <c r="C295" s="14">
        <f>+SAM!AB40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51"/>
      <c r="B296" s="32" t="s">
        <v>82</v>
      </c>
      <c r="C296" s="34">
        <f>+SAM!AB41</f>
        <v>1.2E-2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1.4051781188563236E-3</v>
      </c>
      <c r="H296" s="45">
        <f t="shared" si="81"/>
        <v>2.9913961003068049E-3</v>
      </c>
      <c r="I296" s="45">
        <f t="shared" si="81"/>
        <v>4.7716147302764985E-3</v>
      </c>
      <c r="J296" s="45">
        <f t="shared" si="81"/>
        <v>6.7614524427187022E-3</v>
      </c>
      <c r="K296" s="45">
        <f t="shared" si="81"/>
        <v>8.9732948696426909E-3</v>
      </c>
      <c r="L296" s="45">
        <f t="shared" si="81"/>
        <v>1.1421247603888371E-2</v>
      </c>
      <c r="M296" s="45">
        <f t="shared" si="81"/>
        <v>1.4119880437590311E-2</v>
      </c>
      <c r="N296" s="45">
        <f t="shared" si="82"/>
        <v>1.7084229910601843E-2</v>
      </c>
      <c r="O296" s="45">
        <f t="shared" si="82"/>
        <v>2.0329797218088867E-2</v>
      </c>
      <c r="P296" s="45">
        <f t="shared" si="82"/>
        <v>2.3872536824191406E-2</v>
      </c>
      <c r="Q296" s="45">
        <f t="shared" si="82"/>
        <v>2.4527425562600028E-2</v>
      </c>
      <c r="R296" s="45">
        <f t="shared" si="82"/>
        <v>2.5192729891210908E-2</v>
      </c>
      <c r="S296" s="45">
        <f t="shared" si="82"/>
        <v>2.5868361726359018E-2</v>
      </c>
      <c r="T296" s="45">
        <f t="shared" si="82"/>
        <v>2.6554230335574393E-2</v>
      </c>
      <c r="U296" s="45">
        <f t="shared" si="82"/>
        <v>2.725023627300598E-2</v>
      </c>
      <c r="V296" s="45">
        <f t="shared" si="82"/>
        <v>2.7963813242069941E-2</v>
      </c>
      <c r="W296" s="45">
        <f t="shared" si="82"/>
        <v>2.8695493061113884E-2</v>
      </c>
      <c r="X296" s="45">
        <f t="shared" si="83"/>
        <v>2.94458262243859E-2</v>
      </c>
      <c r="Y296" s="45">
        <f t="shared" si="83"/>
        <v>3.0215399193936364E-2</v>
      </c>
      <c r="Z296" s="45">
        <f t="shared" si="83"/>
        <v>3.1004823642400679E-2</v>
      </c>
      <c r="AA296" s="45">
        <f t="shared" si="83"/>
        <v>3.1814736031131045E-2</v>
      </c>
      <c r="AB296" s="45">
        <f t="shared" si="83"/>
        <v>3.2645752049981512E-2</v>
      </c>
      <c r="AC296" s="45">
        <f t="shared" si="83"/>
        <v>3.349853343718992E-2</v>
      </c>
      <c r="AD296" s="45">
        <f t="shared" si="83"/>
        <v>3.437376358094766E-2</v>
      </c>
      <c r="AE296" s="45">
        <f t="shared" si="83"/>
        <v>3.5272136028240565E-2</v>
      </c>
    </row>
    <row r="297" spans="1:31" ht="16" customHeight="1" thickTop="1" x14ac:dyDescent="0.2">
      <c r="A297" s="54" t="s">
        <v>37</v>
      </c>
      <c r="B297" s="22" t="s">
        <v>43</v>
      </c>
      <c r="C297" s="14">
        <f>+SAM!AF2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50"/>
      <c r="B298" s="22" t="s">
        <v>44</v>
      </c>
      <c r="C298" s="14">
        <f>+SAM!AF3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50"/>
      <c r="B299" s="22" t="s">
        <v>45</v>
      </c>
      <c r="C299" s="14">
        <f>+SAM!AF4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50"/>
      <c r="B300" s="22" t="s">
        <v>46</v>
      </c>
      <c r="C300" s="14">
        <f>+SAM!AF5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50"/>
      <c r="B301" s="22" t="s">
        <v>47</v>
      </c>
      <c r="C301" s="14">
        <f>+SAM!AF6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50"/>
      <c r="B302" s="22" t="s">
        <v>48</v>
      </c>
      <c r="C302" s="14">
        <f>+SAM!AF7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50"/>
      <c r="B303" s="22" t="s">
        <v>49</v>
      </c>
      <c r="C303" s="14">
        <f>+SAM!AF8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50"/>
      <c r="B304" s="22" t="s">
        <v>50</v>
      </c>
      <c r="C304" s="14">
        <f>+SAM!AF9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50"/>
      <c r="B305" s="22" t="s">
        <v>51</v>
      </c>
      <c r="C305" s="14">
        <f>+SAM!AF10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50"/>
      <c r="B306" s="22" t="s">
        <v>52</v>
      </c>
      <c r="C306" s="23">
        <f>+SAM!AF11</f>
        <v>6.0000000000000001E-3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50"/>
      <c r="B307" s="22" t="s">
        <v>53</v>
      </c>
      <c r="C307" s="14">
        <f>+SAM!AF12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50"/>
      <c r="B308" s="22" t="s">
        <v>54</v>
      </c>
      <c r="C308" s="14">
        <f>+SAM!AF13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50"/>
      <c r="B309" s="22" t="s">
        <v>55</v>
      </c>
      <c r="C309" s="14">
        <f>+SAM!AF14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50"/>
      <c r="B310" s="22" t="s">
        <v>56</v>
      </c>
      <c r="C310" s="14">
        <f>+SAM!AF15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50"/>
      <c r="B311" s="22" t="s">
        <v>57</v>
      </c>
      <c r="C311" s="14">
        <f>+SAM!AF16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50"/>
      <c r="B312" s="22" t="s">
        <v>58</v>
      </c>
      <c r="C312" s="23">
        <f>+SAM!AF17</f>
        <v>2.2499999999999999E-2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50"/>
      <c r="B313" s="22" t="s">
        <v>59</v>
      </c>
      <c r="C313" s="14">
        <f>+SAM!AF18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50"/>
      <c r="B314" s="22" t="s">
        <v>60</v>
      </c>
      <c r="C314" s="14">
        <f>+SAM!AF19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50"/>
      <c r="B315" s="22" t="s">
        <v>61</v>
      </c>
      <c r="C315" s="14">
        <f>+SAM!AF20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50"/>
      <c r="B316" s="22" t="s">
        <v>62</v>
      </c>
      <c r="C316" s="14">
        <f>+SAM!AF21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50"/>
      <c r="B317" s="22" t="s">
        <v>63</v>
      </c>
      <c r="C317" s="14">
        <f>+SAM!AF22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50"/>
      <c r="B318" s="22" t="s">
        <v>64</v>
      </c>
      <c r="C318" s="14">
        <f>+SAM!AF23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50"/>
      <c r="B319" s="22" t="s">
        <v>65</v>
      </c>
      <c r="C319" s="14">
        <f>+SAM!AF24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50"/>
      <c r="B320" s="22" t="s">
        <v>66</v>
      </c>
      <c r="C320" s="14">
        <f>+SAM!AF25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50"/>
      <c r="B321" s="22" t="s">
        <v>67</v>
      </c>
      <c r="C321" s="14">
        <f>+SAM!AF26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50"/>
      <c r="B322" s="22" t="s">
        <v>68</v>
      </c>
      <c r="C322" s="14">
        <f>+SAM!AF27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50"/>
      <c r="B323" s="22" t="s">
        <v>69</v>
      </c>
      <c r="C323" s="14">
        <f>+SAM!AF28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50"/>
      <c r="B324" s="22" t="s">
        <v>70</v>
      </c>
      <c r="C324" s="23">
        <f>+SAM!AF29</f>
        <v>1.7999999999999999E-2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50"/>
      <c r="B325" s="22" t="s">
        <v>71</v>
      </c>
      <c r="C325" s="23">
        <f>+SAM!AF30</f>
        <v>8.2500000000000004E-2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50"/>
      <c r="B326" s="22" t="s">
        <v>72</v>
      </c>
      <c r="C326" s="14">
        <f>+SAM!AF31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50"/>
      <c r="B327" s="22" t="s">
        <v>73</v>
      </c>
      <c r="C327" s="14">
        <f>+SAM!AF32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50"/>
      <c r="B328" s="22" t="s">
        <v>74</v>
      </c>
      <c r="C328" s="14">
        <f>+SAM!AF33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50"/>
      <c r="B329" s="22" t="s">
        <v>75</v>
      </c>
      <c r="C329" s="14">
        <f>+SAM!AF34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50"/>
      <c r="B330" s="22" t="s">
        <v>76</v>
      </c>
      <c r="C330" s="14">
        <f>+SAM!AF35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50"/>
      <c r="B331" s="22" t="s">
        <v>77</v>
      </c>
      <c r="C331" s="14">
        <f>+SAM!AF36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50"/>
      <c r="B332" s="22" t="s">
        <v>78</v>
      </c>
      <c r="C332" s="23">
        <f>+SAM!AF37</f>
        <v>8.9999999999999993E-3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50"/>
      <c r="B333" s="22" t="s">
        <v>79</v>
      </c>
      <c r="C333" s="14">
        <f>+SAM!AF38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50"/>
      <c r="B334" s="22" t="s">
        <v>80</v>
      </c>
      <c r="C334" s="14">
        <f>+SAM!AF39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50"/>
      <c r="B335" s="22" t="s">
        <v>81</v>
      </c>
      <c r="C335" s="14">
        <f>+SAM!AF40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51"/>
      <c r="B336" s="32" t="s">
        <v>82</v>
      </c>
      <c r="C336" s="34">
        <f>+SAM!AF41</f>
        <v>1.2E-2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54" t="s">
        <v>38</v>
      </c>
      <c r="B337" s="22" t="s">
        <v>43</v>
      </c>
      <c r="C337" s="14">
        <f>+SAM!AJ2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50"/>
      <c r="B338" s="22" t="s">
        <v>44</v>
      </c>
      <c r="C338" s="14">
        <f>+SAM!AJ3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50"/>
      <c r="B339" s="22" t="s">
        <v>45</v>
      </c>
      <c r="C339" s="14">
        <f>+SAM!AJ4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50"/>
      <c r="B340" s="22" t="s">
        <v>46</v>
      </c>
      <c r="C340" s="14">
        <f>+SAM!AJ5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50"/>
      <c r="B341" s="22" t="s">
        <v>47</v>
      </c>
      <c r="C341" s="14">
        <f>+SAM!AJ6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50"/>
      <c r="B342" s="22" t="s">
        <v>48</v>
      </c>
      <c r="C342" s="14">
        <f>+SAM!AJ7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50"/>
      <c r="B343" s="22" t="s">
        <v>49</v>
      </c>
      <c r="C343" s="14">
        <f>+SAM!AJ8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50"/>
      <c r="B344" s="22" t="s">
        <v>50</v>
      </c>
      <c r="C344" s="14">
        <f>+SAM!AJ9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50"/>
      <c r="B345" s="22" t="s">
        <v>51</v>
      </c>
      <c r="C345" s="14">
        <f>+SAM!AJ10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50"/>
      <c r="B346" s="22" t="s">
        <v>52</v>
      </c>
      <c r="C346" s="14">
        <f>+SAM!AJ11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50"/>
      <c r="B347" s="22" t="s">
        <v>53</v>
      </c>
      <c r="C347" s="14">
        <f>+SAM!AJ12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50"/>
      <c r="B348" s="22" t="s">
        <v>54</v>
      </c>
      <c r="C348" s="14">
        <f>+SAM!AJ13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50"/>
      <c r="B349" s="22" t="s">
        <v>55</v>
      </c>
      <c r="C349" s="14">
        <f>+SAM!AJ14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50"/>
      <c r="B350" s="22" t="s">
        <v>56</v>
      </c>
      <c r="C350" s="14">
        <f>+SAM!AJ15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50"/>
      <c r="B351" s="22" t="s">
        <v>57</v>
      </c>
      <c r="C351" s="14">
        <f>+SAM!AJ16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50"/>
      <c r="B352" s="22" t="s">
        <v>58</v>
      </c>
      <c r="C352" s="14">
        <f>+SAM!AJ17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50"/>
      <c r="B353" s="22" t="s">
        <v>59</v>
      </c>
      <c r="C353" s="14">
        <f>+SAM!AJ18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50"/>
      <c r="B354" s="22" t="s">
        <v>60</v>
      </c>
      <c r="C354" s="14">
        <f>+SAM!AJ19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50"/>
      <c r="B355" s="22" t="s">
        <v>61</v>
      </c>
      <c r="C355" s="14">
        <f>+SAM!AJ20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50"/>
      <c r="B356" s="22" t="s">
        <v>62</v>
      </c>
      <c r="C356" s="14">
        <f>+SAM!AJ21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50"/>
      <c r="B357" s="22" t="s">
        <v>63</v>
      </c>
      <c r="C357" s="14">
        <f>+SAM!AJ22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50"/>
      <c r="B358" s="22" t="s">
        <v>64</v>
      </c>
      <c r="C358" s="14">
        <f>+SAM!AJ23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50"/>
      <c r="B359" s="22" t="s">
        <v>65</v>
      </c>
      <c r="C359" s="14">
        <f>+SAM!AJ24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50"/>
      <c r="B360" s="22" t="s">
        <v>66</v>
      </c>
      <c r="C360" s="14">
        <f>+SAM!AJ25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50"/>
      <c r="B361" s="22" t="s">
        <v>67</v>
      </c>
      <c r="C361" s="14">
        <f>+SAM!AJ26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50"/>
      <c r="B362" s="22" t="s">
        <v>68</v>
      </c>
      <c r="C362" s="14">
        <f>+SAM!AJ27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50"/>
      <c r="B363" s="22" t="s">
        <v>69</v>
      </c>
      <c r="C363" s="14">
        <f>+SAM!AJ28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50"/>
      <c r="B364" s="22" t="s">
        <v>70</v>
      </c>
      <c r="C364" s="14">
        <f>+SAM!AJ29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50"/>
      <c r="B365" s="22" t="s">
        <v>71</v>
      </c>
      <c r="C365" s="23">
        <f>+SAM!AJ30</f>
        <v>0.5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50"/>
      <c r="B366" s="22" t="s">
        <v>72</v>
      </c>
      <c r="C366" s="14">
        <f>+SAM!AJ31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50"/>
      <c r="B367" s="22" t="s">
        <v>73</v>
      </c>
      <c r="C367" s="14">
        <f>+SAM!AJ32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50"/>
      <c r="B368" s="22" t="s">
        <v>74</v>
      </c>
      <c r="C368" s="14">
        <f>+SAM!AJ33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50"/>
      <c r="B369" s="22" t="s">
        <v>75</v>
      </c>
      <c r="C369" s="14">
        <f>+SAM!AJ34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50"/>
      <c r="B370" s="22" t="s">
        <v>76</v>
      </c>
      <c r="C370" s="14">
        <f>+SAM!AJ35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50"/>
      <c r="B371" s="22" t="s">
        <v>77</v>
      </c>
      <c r="C371" s="14">
        <f>+SAM!AJ36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50"/>
      <c r="B372" s="22" t="s">
        <v>78</v>
      </c>
      <c r="C372" s="14">
        <f>+SAM!AJ37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50"/>
      <c r="B373" s="22" t="s">
        <v>79</v>
      </c>
      <c r="C373" s="14">
        <f>+SAM!AJ38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50"/>
      <c r="B374" s="22" t="s">
        <v>80</v>
      </c>
      <c r="C374" s="14">
        <f>+SAM!AJ39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50"/>
      <c r="B375" s="22" t="s">
        <v>81</v>
      </c>
      <c r="C375" s="14">
        <f>+SAM!AJ40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51"/>
      <c r="B376" s="32" t="s">
        <v>82</v>
      </c>
      <c r="C376" s="36">
        <f>+SAM!AJ41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54" t="s">
        <v>39</v>
      </c>
      <c r="B377" s="22" t="s">
        <v>43</v>
      </c>
      <c r="C377" s="23">
        <f>+SAM!AN2</f>
        <v>1.4999999999999999E-2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1.4782708587544787E-2</v>
      </c>
      <c r="G377" s="46">
        <f t="shared" si="108"/>
        <v>1.8264464595976273E-2</v>
      </c>
      <c r="H377" s="46">
        <f t="shared" si="108"/>
        <v>2.137465059162549E-2</v>
      </c>
      <c r="I377" s="46">
        <f t="shared" si="108"/>
        <v>2.4059858035811926E-2</v>
      </c>
      <c r="J377" s="46">
        <f t="shared" si="108"/>
        <v>2.6384303844340515E-2</v>
      </c>
      <c r="K377" s="46">
        <f t="shared" si="108"/>
        <v>2.8350642097374087E-2</v>
      </c>
      <c r="L377" s="46">
        <f t="shared" si="108"/>
        <v>3.0132207361744347E-2</v>
      </c>
      <c r="M377" s="46">
        <f t="shared" si="108"/>
        <v>3.1782128635502518E-2</v>
      </c>
      <c r="N377" s="46">
        <f t="shared" ref="N377:W386" si="109">+$C377*N$12</f>
        <v>3.3330803021092981E-2</v>
      </c>
      <c r="O377" s="46">
        <f t="shared" si="109"/>
        <v>3.4809942415571997E-2</v>
      </c>
      <c r="P377" s="46">
        <f t="shared" si="109"/>
        <v>3.6247815125052478E-2</v>
      </c>
      <c r="Q377" s="46">
        <f t="shared" si="109"/>
        <v>3.7662288017916608E-2</v>
      </c>
      <c r="R377" s="46">
        <f t="shared" si="109"/>
        <v>3.9057170519092646E-2</v>
      </c>
      <c r="S377" s="46">
        <f t="shared" si="109"/>
        <v>4.0416104125746838E-2</v>
      </c>
      <c r="T377" s="46">
        <f t="shared" si="109"/>
        <v>4.1722267882874205E-2</v>
      </c>
      <c r="U377" s="46">
        <f t="shared" si="109"/>
        <v>4.2952733294640673E-2</v>
      </c>
      <c r="V377" s="46">
        <f t="shared" si="109"/>
        <v>4.4079097363035717E-2</v>
      </c>
      <c r="W377" s="46">
        <f t="shared" si="109"/>
        <v>4.5101833627375125E-2</v>
      </c>
      <c r="X377" s="46">
        <f t="shared" ref="X377:AE386" si="110">+$C377*X$12</f>
        <v>4.5962971524084614E-2</v>
      </c>
      <c r="Y377" s="46">
        <f t="shared" si="110"/>
        <v>4.6564045911105224E-2</v>
      </c>
      <c r="Z377" s="46">
        <f t="shared" si="110"/>
        <v>4.7021935404546536E-2</v>
      </c>
      <c r="AA377" s="46">
        <f t="shared" si="110"/>
        <v>4.7334247204224009E-2</v>
      </c>
      <c r="AB377" s="46">
        <f t="shared" si="110"/>
        <v>4.7486581207781237E-2</v>
      </c>
      <c r="AC377" s="46">
        <f t="shared" si="110"/>
        <v>4.7462652567338171E-2</v>
      </c>
      <c r="AD377" s="46">
        <f t="shared" si="110"/>
        <v>4.6968209931884129E-2</v>
      </c>
      <c r="AE377" s="46">
        <f t="shared" si="110"/>
        <v>4.9161591864284655E-2</v>
      </c>
    </row>
    <row r="378" spans="1:31" x14ac:dyDescent="0.2">
      <c r="A378" s="50"/>
      <c r="B378" s="22" t="s">
        <v>44</v>
      </c>
      <c r="C378" s="23">
        <f>+SAM!AN3</f>
        <v>3.4999999999999996E-2</v>
      </c>
      <c r="D378" s="44">
        <f t="shared" si="108"/>
        <v>0</v>
      </c>
      <c r="E378" s="44">
        <f t="shared" si="108"/>
        <v>0</v>
      </c>
      <c r="F378" s="44">
        <f t="shared" si="108"/>
        <v>3.4492986704271165E-2</v>
      </c>
      <c r="G378" s="44">
        <f t="shared" si="108"/>
        <v>4.2617084057277967E-2</v>
      </c>
      <c r="H378" s="44">
        <f t="shared" si="108"/>
        <v>4.9874184713792805E-2</v>
      </c>
      <c r="I378" s="44">
        <f t="shared" si="108"/>
        <v>5.6139668750227821E-2</v>
      </c>
      <c r="J378" s="44">
        <f t="shared" si="108"/>
        <v>6.156337563679453E-2</v>
      </c>
      <c r="K378" s="44">
        <f t="shared" si="108"/>
        <v>6.6151498227206201E-2</v>
      </c>
      <c r="L378" s="44">
        <f t="shared" si="108"/>
        <v>7.0308483844070138E-2</v>
      </c>
      <c r="M378" s="44">
        <f t="shared" si="108"/>
        <v>7.4158300149505876E-2</v>
      </c>
      <c r="N378" s="44">
        <f t="shared" si="109"/>
        <v>7.7771873715883608E-2</v>
      </c>
      <c r="O378" s="44">
        <f t="shared" si="109"/>
        <v>8.1223198969667981E-2</v>
      </c>
      <c r="P378" s="44">
        <f t="shared" si="109"/>
        <v>8.4578235291789108E-2</v>
      </c>
      <c r="Q378" s="44">
        <f t="shared" si="109"/>
        <v>8.7878672041805425E-2</v>
      </c>
      <c r="R378" s="44">
        <f t="shared" si="109"/>
        <v>9.1133397877882841E-2</v>
      </c>
      <c r="S378" s="44">
        <f t="shared" si="109"/>
        <v>9.4304242960075946E-2</v>
      </c>
      <c r="T378" s="44">
        <f t="shared" si="109"/>
        <v>9.7351958393373128E-2</v>
      </c>
      <c r="U378" s="44">
        <f t="shared" si="109"/>
        <v>0.10022304435416156</v>
      </c>
      <c r="V378" s="44">
        <f t="shared" si="109"/>
        <v>0.10285122718041667</v>
      </c>
      <c r="W378" s="44">
        <f t="shared" si="109"/>
        <v>0.10523761179720861</v>
      </c>
      <c r="X378" s="44">
        <f t="shared" si="110"/>
        <v>0.10724693355619742</v>
      </c>
      <c r="Y378" s="44">
        <f t="shared" si="110"/>
        <v>0.10864944045924552</v>
      </c>
      <c r="Z378" s="44">
        <f t="shared" si="110"/>
        <v>0.10971784927727524</v>
      </c>
      <c r="AA378" s="44">
        <f t="shared" si="110"/>
        <v>0.11044657680985602</v>
      </c>
      <c r="AB378" s="44">
        <f t="shared" si="110"/>
        <v>0.11080202281815621</v>
      </c>
      <c r="AC378" s="44">
        <f t="shared" si="110"/>
        <v>0.11074618932378906</v>
      </c>
      <c r="AD378" s="44">
        <f t="shared" si="110"/>
        <v>0.10959248984106297</v>
      </c>
      <c r="AE378" s="44">
        <f t="shared" si="110"/>
        <v>0.11471038101666418</v>
      </c>
    </row>
    <row r="379" spans="1:31" x14ac:dyDescent="0.2">
      <c r="A379" s="50"/>
      <c r="B379" s="22" t="s">
        <v>45</v>
      </c>
      <c r="C379" s="14">
        <f>+SAM!AN4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50"/>
      <c r="B380" s="22" t="s">
        <v>46</v>
      </c>
      <c r="C380" s="14">
        <f>+SAM!AN5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50"/>
      <c r="B381" s="22" t="s">
        <v>47</v>
      </c>
      <c r="C381" s="14">
        <f>+SAM!AN6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50"/>
      <c r="B382" s="22" t="s">
        <v>48</v>
      </c>
      <c r="C382" s="14">
        <f>+SAM!AN7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50"/>
      <c r="B383" s="22" t="s">
        <v>49</v>
      </c>
      <c r="C383" s="14">
        <f>+SAM!AN8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50"/>
      <c r="B384" s="22" t="s">
        <v>50</v>
      </c>
      <c r="C384" s="14">
        <f>+SAM!AN9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50"/>
      <c r="B385" s="22" t="s">
        <v>51</v>
      </c>
      <c r="C385" s="14">
        <f>+SAM!AN10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50"/>
      <c r="B386" s="22" t="s">
        <v>52</v>
      </c>
      <c r="C386" s="14">
        <f>+SAM!AN11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50"/>
      <c r="B387" s="22" t="s">
        <v>53</v>
      </c>
      <c r="C387" s="14">
        <f>+SAM!AN12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50"/>
      <c r="B388" s="22" t="s">
        <v>54</v>
      </c>
      <c r="C388" s="14">
        <f>+SAM!AN13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50"/>
      <c r="B389" s="22" t="s">
        <v>55</v>
      </c>
      <c r="C389" s="14">
        <f>+SAM!AN14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50"/>
      <c r="B390" s="22" t="s">
        <v>56</v>
      </c>
      <c r="C390" s="14">
        <f>+SAM!AN15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50"/>
      <c r="B391" s="22" t="s">
        <v>57</v>
      </c>
      <c r="C391" s="14">
        <f>+SAM!AN16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50"/>
      <c r="B392" s="22" t="s">
        <v>58</v>
      </c>
      <c r="C392" s="14">
        <f>+SAM!AN17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50"/>
      <c r="B393" s="22" t="s">
        <v>59</v>
      </c>
      <c r="C393" s="14">
        <f>+SAM!AN18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50"/>
      <c r="B394" s="22" t="s">
        <v>60</v>
      </c>
      <c r="C394" s="14">
        <f>+SAM!AN19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50"/>
      <c r="B395" s="22" t="s">
        <v>61</v>
      </c>
      <c r="C395" s="14">
        <f>+SAM!AN20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50"/>
      <c r="B396" s="22" t="s">
        <v>62</v>
      </c>
      <c r="C396" s="14">
        <f>+SAM!AN21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50"/>
      <c r="B397" s="22" t="s">
        <v>63</v>
      </c>
      <c r="C397" s="14">
        <f>+SAM!AN22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50"/>
      <c r="B398" s="22" t="s">
        <v>64</v>
      </c>
      <c r="C398" s="14">
        <f>+SAM!AN23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50"/>
      <c r="B399" s="22" t="s">
        <v>65</v>
      </c>
      <c r="C399" s="14">
        <f>+SAM!AN24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50"/>
      <c r="B400" s="22" t="s">
        <v>66</v>
      </c>
      <c r="C400" s="14">
        <f>+SAM!AN25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50"/>
      <c r="B401" s="22" t="s">
        <v>67</v>
      </c>
      <c r="C401" s="14">
        <f>+SAM!AN26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50"/>
      <c r="B402" s="22" t="s">
        <v>68</v>
      </c>
      <c r="C402" s="14">
        <f>+SAM!AN27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50"/>
      <c r="B403" s="22" t="s">
        <v>69</v>
      </c>
      <c r="C403" s="14">
        <f>+SAM!AN28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50"/>
      <c r="B404" s="22" t="s">
        <v>70</v>
      </c>
      <c r="C404" s="14">
        <f>+SAM!AN29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50"/>
      <c r="B405" s="22" t="s">
        <v>71</v>
      </c>
      <c r="C405" s="23">
        <f>+SAM!AN30</f>
        <v>8.0000000000000002E-3</v>
      </c>
      <c r="D405" s="44">
        <f t="shared" si="114"/>
        <v>0</v>
      </c>
      <c r="E405" s="44">
        <f t="shared" si="114"/>
        <v>0</v>
      </c>
      <c r="F405" s="44">
        <f t="shared" si="114"/>
        <v>7.8841112466905526E-3</v>
      </c>
      <c r="G405" s="44">
        <f t="shared" si="114"/>
        <v>9.7410477845206803E-3</v>
      </c>
      <c r="H405" s="44">
        <f t="shared" si="114"/>
        <v>1.1399813648866929E-2</v>
      </c>
      <c r="I405" s="44">
        <f t="shared" si="114"/>
        <v>1.2831924285766362E-2</v>
      </c>
      <c r="J405" s="44">
        <f t="shared" si="114"/>
        <v>1.4071628716981609E-2</v>
      </c>
      <c r="K405" s="44">
        <f t="shared" si="114"/>
        <v>1.5120342451932847E-2</v>
      </c>
      <c r="L405" s="44">
        <f t="shared" si="114"/>
        <v>1.6070510592930319E-2</v>
      </c>
      <c r="M405" s="44">
        <f t="shared" si="114"/>
        <v>1.6950468605601343E-2</v>
      </c>
      <c r="N405" s="44">
        <f t="shared" si="115"/>
        <v>1.7776428277916256E-2</v>
      </c>
      <c r="O405" s="44">
        <f t="shared" si="115"/>
        <v>1.8565302621638399E-2</v>
      </c>
      <c r="P405" s="44">
        <f t="shared" si="115"/>
        <v>1.9332168066694657E-2</v>
      </c>
      <c r="Q405" s="44">
        <f t="shared" si="115"/>
        <v>2.0086553609555528E-2</v>
      </c>
      <c r="R405" s="44">
        <f t="shared" si="115"/>
        <v>2.0830490943516078E-2</v>
      </c>
      <c r="S405" s="44">
        <f t="shared" si="115"/>
        <v>2.1555255533731648E-2</v>
      </c>
      <c r="T405" s="44">
        <f t="shared" si="115"/>
        <v>2.2251876204199578E-2</v>
      </c>
      <c r="U405" s="44">
        <f t="shared" si="115"/>
        <v>2.2908124423808362E-2</v>
      </c>
      <c r="V405" s="44">
        <f t="shared" si="115"/>
        <v>2.3508851926952387E-2</v>
      </c>
      <c r="W405" s="44">
        <f t="shared" si="115"/>
        <v>2.40543112679334E-2</v>
      </c>
      <c r="X405" s="44">
        <f t="shared" si="116"/>
        <v>2.4513584812845129E-2</v>
      </c>
      <c r="Y405" s="44">
        <f t="shared" si="116"/>
        <v>2.483415781925612E-2</v>
      </c>
      <c r="Z405" s="44">
        <f t="shared" si="116"/>
        <v>2.5078365549091486E-2</v>
      </c>
      <c r="AA405" s="44">
        <f t="shared" si="116"/>
        <v>2.5244931842252807E-2</v>
      </c>
      <c r="AB405" s="44">
        <f t="shared" si="116"/>
        <v>2.5326176644149993E-2</v>
      </c>
      <c r="AC405" s="44">
        <f t="shared" si="116"/>
        <v>2.5313414702580361E-2</v>
      </c>
      <c r="AD405" s="44">
        <f t="shared" si="116"/>
        <v>2.5049711963671537E-2</v>
      </c>
      <c r="AE405" s="44">
        <f t="shared" si="116"/>
        <v>2.6219515660951816E-2</v>
      </c>
    </row>
    <row r="406" spans="1:31" x14ac:dyDescent="0.2">
      <c r="A406" s="50"/>
      <c r="B406" s="22" t="s">
        <v>72</v>
      </c>
      <c r="C406" s="14">
        <f>+SAM!AN31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50"/>
      <c r="B407" s="22" t="s">
        <v>73</v>
      </c>
      <c r="C407" s="23">
        <f>+SAM!AN32</f>
        <v>7.000000000000001E-3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6.8985973408542348E-3</v>
      </c>
      <c r="G407" s="44">
        <f t="shared" si="117"/>
        <v>8.5234168114555961E-3</v>
      </c>
      <c r="H407" s="44">
        <f t="shared" si="117"/>
        <v>9.974836942758563E-3</v>
      </c>
      <c r="I407" s="44">
        <f t="shared" si="117"/>
        <v>1.1227933750045568E-2</v>
      </c>
      <c r="J407" s="44">
        <f t="shared" si="117"/>
        <v>1.231267512735891E-2</v>
      </c>
      <c r="K407" s="44">
        <f t="shared" si="117"/>
        <v>1.3230299645441243E-2</v>
      </c>
      <c r="L407" s="44">
        <f t="shared" si="117"/>
        <v>1.406169676881403E-2</v>
      </c>
      <c r="M407" s="44">
        <f t="shared" si="117"/>
        <v>1.4831660029901179E-2</v>
      </c>
      <c r="N407" s="44">
        <f t="shared" ref="N407:W416" si="118">+$C407*N$12</f>
        <v>1.5554374743176726E-2</v>
      </c>
      <c r="O407" s="44">
        <f t="shared" si="118"/>
        <v>1.6244639793933601E-2</v>
      </c>
      <c r="P407" s="44">
        <f t="shared" si="118"/>
        <v>1.6915647058357828E-2</v>
      </c>
      <c r="Q407" s="44">
        <f t="shared" si="118"/>
        <v>1.7575734408361087E-2</v>
      </c>
      <c r="R407" s="44">
        <f t="shared" si="118"/>
        <v>1.8226679575576572E-2</v>
      </c>
      <c r="S407" s="44">
        <f t="shared" si="118"/>
        <v>1.8860848592015193E-2</v>
      </c>
      <c r="T407" s="44">
        <f t="shared" si="118"/>
        <v>1.947039167867463E-2</v>
      </c>
      <c r="U407" s="44">
        <f t="shared" si="118"/>
        <v>2.0044608870832318E-2</v>
      </c>
      <c r="V407" s="44">
        <f t="shared" si="118"/>
        <v>2.057024543608334E-2</v>
      </c>
      <c r="W407" s="44">
        <f t="shared" si="118"/>
        <v>2.1047522359441729E-2</v>
      </c>
      <c r="X407" s="44">
        <f t="shared" ref="X407:AE416" si="119">+$C407*X$12</f>
        <v>2.1449386711239492E-2</v>
      </c>
      <c r="Y407" s="44">
        <f t="shared" si="119"/>
        <v>2.1729888091849107E-2</v>
      </c>
      <c r="Z407" s="44">
        <f t="shared" si="119"/>
        <v>2.1943569855455054E-2</v>
      </c>
      <c r="AA407" s="44">
        <f t="shared" si="119"/>
        <v>2.2089315361971208E-2</v>
      </c>
      <c r="AB407" s="44">
        <f t="shared" si="119"/>
        <v>2.2160404563631247E-2</v>
      </c>
      <c r="AC407" s="44">
        <f t="shared" si="119"/>
        <v>2.214923786475782E-2</v>
      </c>
      <c r="AD407" s="44">
        <f t="shared" si="119"/>
        <v>2.1918497968212599E-2</v>
      </c>
      <c r="AE407" s="44">
        <f t="shared" si="119"/>
        <v>2.2942076203332842E-2</v>
      </c>
    </row>
    <row r="408" spans="1:31" x14ac:dyDescent="0.2">
      <c r="A408" s="50"/>
      <c r="B408" s="22" t="s">
        <v>74</v>
      </c>
      <c r="C408" s="14">
        <f>+SAM!AN33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50"/>
      <c r="B409" s="22" t="s">
        <v>75</v>
      </c>
      <c r="C409" s="14">
        <f>+SAM!AN34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50"/>
      <c r="B410" s="22" t="s">
        <v>76</v>
      </c>
      <c r="C410" s="14">
        <f>+SAM!AN35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50"/>
      <c r="B411" s="22" t="s">
        <v>77</v>
      </c>
      <c r="C411" s="14">
        <f>+SAM!AN36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50"/>
      <c r="B412" s="22" t="s">
        <v>78</v>
      </c>
      <c r="C412" s="23">
        <f>+SAM!AN37</f>
        <v>1.4999999999999999E-2</v>
      </c>
      <c r="D412" s="44">
        <f t="shared" si="117"/>
        <v>0</v>
      </c>
      <c r="E412" s="44">
        <f t="shared" si="117"/>
        <v>0</v>
      </c>
      <c r="F412" s="44">
        <f t="shared" si="117"/>
        <v>1.4782708587544787E-2</v>
      </c>
      <c r="G412" s="44">
        <f t="shared" si="117"/>
        <v>1.8264464595976273E-2</v>
      </c>
      <c r="H412" s="44">
        <f t="shared" si="117"/>
        <v>2.137465059162549E-2</v>
      </c>
      <c r="I412" s="44">
        <f t="shared" si="117"/>
        <v>2.4059858035811926E-2</v>
      </c>
      <c r="J412" s="44">
        <f t="shared" si="117"/>
        <v>2.6384303844340515E-2</v>
      </c>
      <c r="K412" s="44">
        <f t="shared" si="117"/>
        <v>2.8350642097374087E-2</v>
      </c>
      <c r="L412" s="44">
        <f t="shared" si="117"/>
        <v>3.0132207361744347E-2</v>
      </c>
      <c r="M412" s="44">
        <f t="shared" si="117"/>
        <v>3.1782128635502518E-2</v>
      </c>
      <c r="N412" s="44">
        <f t="shared" si="118"/>
        <v>3.3330803021092981E-2</v>
      </c>
      <c r="O412" s="44">
        <f t="shared" si="118"/>
        <v>3.4809942415571997E-2</v>
      </c>
      <c r="P412" s="44">
        <f t="shared" si="118"/>
        <v>3.6247815125052478E-2</v>
      </c>
      <c r="Q412" s="44">
        <f t="shared" si="118"/>
        <v>3.7662288017916608E-2</v>
      </c>
      <c r="R412" s="44">
        <f t="shared" si="118"/>
        <v>3.9057170519092646E-2</v>
      </c>
      <c r="S412" s="44">
        <f t="shared" si="118"/>
        <v>4.0416104125746838E-2</v>
      </c>
      <c r="T412" s="44">
        <f t="shared" si="118"/>
        <v>4.1722267882874205E-2</v>
      </c>
      <c r="U412" s="44">
        <f t="shared" si="118"/>
        <v>4.2952733294640673E-2</v>
      </c>
      <c r="V412" s="44">
        <f t="shared" si="118"/>
        <v>4.4079097363035717E-2</v>
      </c>
      <c r="W412" s="44">
        <f t="shared" si="118"/>
        <v>4.5101833627375125E-2</v>
      </c>
      <c r="X412" s="44">
        <f t="shared" si="119"/>
        <v>4.5962971524084614E-2</v>
      </c>
      <c r="Y412" s="44">
        <f t="shared" si="119"/>
        <v>4.6564045911105224E-2</v>
      </c>
      <c r="Z412" s="44">
        <f t="shared" si="119"/>
        <v>4.7021935404546536E-2</v>
      </c>
      <c r="AA412" s="44">
        <f t="shared" si="119"/>
        <v>4.7334247204224009E-2</v>
      </c>
      <c r="AB412" s="44">
        <f t="shared" si="119"/>
        <v>4.7486581207781237E-2</v>
      </c>
      <c r="AC412" s="44">
        <f t="shared" si="119"/>
        <v>4.7462652567338171E-2</v>
      </c>
      <c r="AD412" s="44">
        <f t="shared" si="119"/>
        <v>4.6968209931884129E-2</v>
      </c>
      <c r="AE412" s="44">
        <f t="shared" si="119"/>
        <v>4.9161591864284655E-2</v>
      </c>
    </row>
    <row r="413" spans="1:31" x14ac:dyDescent="0.2">
      <c r="A413" s="50"/>
      <c r="B413" s="22" t="s">
        <v>79</v>
      </c>
      <c r="C413" s="23">
        <f>+SAM!AN38</f>
        <v>1.0000000000000002E-2</v>
      </c>
      <c r="D413" s="44">
        <f t="shared" si="117"/>
        <v>0</v>
      </c>
      <c r="E413" s="44">
        <f t="shared" si="117"/>
        <v>0</v>
      </c>
      <c r="F413" s="44">
        <f t="shared" si="117"/>
        <v>9.8551390583631934E-3</v>
      </c>
      <c r="G413" s="44">
        <f t="shared" si="117"/>
        <v>1.2176309730650852E-2</v>
      </c>
      <c r="H413" s="44">
        <f t="shared" si="117"/>
        <v>1.4249767061083662E-2</v>
      </c>
      <c r="I413" s="44">
        <f t="shared" si="117"/>
        <v>1.6039905357207954E-2</v>
      </c>
      <c r="J413" s="44">
        <f t="shared" si="117"/>
        <v>1.7589535896227016E-2</v>
      </c>
      <c r="K413" s="44">
        <f t="shared" si="117"/>
        <v>1.8900428064916062E-2</v>
      </c>
      <c r="L413" s="44">
        <f t="shared" si="117"/>
        <v>2.0088138241162901E-2</v>
      </c>
      <c r="M413" s="44">
        <f t="shared" si="117"/>
        <v>2.1188085757001686E-2</v>
      </c>
      <c r="N413" s="44">
        <f t="shared" si="118"/>
        <v>2.2220535347395324E-2</v>
      </c>
      <c r="O413" s="44">
        <f t="shared" si="118"/>
        <v>2.3206628277048003E-2</v>
      </c>
      <c r="P413" s="44">
        <f t="shared" si="118"/>
        <v>2.4165210083368326E-2</v>
      </c>
      <c r="Q413" s="44">
        <f t="shared" si="118"/>
        <v>2.5108192011944412E-2</v>
      </c>
      <c r="R413" s="44">
        <f t="shared" si="118"/>
        <v>2.6038113679395104E-2</v>
      </c>
      <c r="S413" s="44">
        <f t="shared" si="118"/>
        <v>2.6944069417164564E-2</v>
      </c>
      <c r="T413" s="44">
        <f t="shared" si="118"/>
        <v>2.7814845255249476E-2</v>
      </c>
      <c r="U413" s="44">
        <f t="shared" si="118"/>
        <v>2.8635155529760457E-2</v>
      </c>
      <c r="V413" s="44">
        <f t="shared" si="118"/>
        <v>2.9386064908690487E-2</v>
      </c>
      <c r="W413" s="44">
        <f t="shared" si="118"/>
        <v>3.0067889084916755E-2</v>
      </c>
      <c r="X413" s="44">
        <f t="shared" si="119"/>
        <v>3.0641981016056415E-2</v>
      </c>
      <c r="Y413" s="44">
        <f t="shared" si="119"/>
        <v>3.1042697274070156E-2</v>
      </c>
      <c r="Z413" s="44">
        <f t="shared" si="119"/>
        <v>3.1347956936364364E-2</v>
      </c>
      <c r="AA413" s="44">
        <f t="shared" si="119"/>
        <v>3.1556164802816013E-2</v>
      </c>
      <c r="AB413" s="44">
        <f t="shared" si="119"/>
        <v>3.1657720805187493E-2</v>
      </c>
      <c r="AC413" s="44">
        <f t="shared" si="119"/>
        <v>3.1641768378225459E-2</v>
      </c>
      <c r="AD413" s="44">
        <f t="shared" si="119"/>
        <v>3.1312139954589431E-2</v>
      </c>
      <c r="AE413" s="44">
        <f t="shared" si="119"/>
        <v>3.2774394576189775E-2</v>
      </c>
    </row>
    <row r="414" spans="1:31" x14ac:dyDescent="0.2">
      <c r="A414" s="50"/>
      <c r="B414" s="22" t="s">
        <v>80</v>
      </c>
      <c r="C414" s="14">
        <f>+SAM!AN39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50"/>
      <c r="B415" s="22" t="s">
        <v>81</v>
      </c>
      <c r="C415" s="23">
        <f>+SAM!AN40</f>
        <v>1.0000000000000002E-2</v>
      </c>
      <c r="D415" s="44">
        <f t="shared" si="117"/>
        <v>0</v>
      </c>
      <c r="E415" s="44">
        <f t="shared" si="117"/>
        <v>0</v>
      </c>
      <c r="F415" s="44">
        <f t="shared" si="117"/>
        <v>9.8551390583631934E-3</v>
      </c>
      <c r="G415" s="44">
        <f t="shared" si="117"/>
        <v>1.2176309730650852E-2</v>
      </c>
      <c r="H415" s="44">
        <f t="shared" si="117"/>
        <v>1.4249767061083662E-2</v>
      </c>
      <c r="I415" s="44">
        <f t="shared" si="117"/>
        <v>1.6039905357207954E-2</v>
      </c>
      <c r="J415" s="44">
        <f t="shared" si="117"/>
        <v>1.7589535896227016E-2</v>
      </c>
      <c r="K415" s="44">
        <f t="shared" si="117"/>
        <v>1.8900428064916062E-2</v>
      </c>
      <c r="L415" s="44">
        <f t="shared" si="117"/>
        <v>2.0088138241162901E-2</v>
      </c>
      <c r="M415" s="44">
        <f t="shared" si="117"/>
        <v>2.1188085757001686E-2</v>
      </c>
      <c r="N415" s="44">
        <f t="shared" si="118"/>
        <v>2.2220535347395324E-2</v>
      </c>
      <c r="O415" s="44">
        <f t="shared" si="118"/>
        <v>2.3206628277048003E-2</v>
      </c>
      <c r="P415" s="44">
        <f t="shared" si="118"/>
        <v>2.4165210083368326E-2</v>
      </c>
      <c r="Q415" s="44">
        <f t="shared" si="118"/>
        <v>2.5108192011944412E-2</v>
      </c>
      <c r="R415" s="44">
        <f t="shared" si="118"/>
        <v>2.6038113679395104E-2</v>
      </c>
      <c r="S415" s="44">
        <f t="shared" si="118"/>
        <v>2.6944069417164564E-2</v>
      </c>
      <c r="T415" s="44">
        <f t="shared" si="118"/>
        <v>2.7814845255249476E-2</v>
      </c>
      <c r="U415" s="44">
        <f t="shared" si="118"/>
        <v>2.8635155529760457E-2</v>
      </c>
      <c r="V415" s="44">
        <f t="shared" si="118"/>
        <v>2.9386064908690487E-2</v>
      </c>
      <c r="W415" s="44">
        <f t="shared" si="118"/>
        <v>3.0067889084916755E-2</v>
      </c>
      <c r="X415" s="44">
        <f t="shared" si="119"/>
        <v>3.0641981016056415E-2</v>
      </c>
      <c r="Y415" s="44">
        <f t="shared" si="119"/>
        <v>3.1042697274070156E-2</v>
      </c>
      <c r="Z415" s="44">
        <f t="shared" si="119"/>
        <v>3.1347956936364364E-2</v>
      </c>
      <c r="AA415" s="44">
        <f t="shared" si="119"/>
        <v>3.1556164802816013E-2</v>
      </c>
      <c r="AB415" s="44">
        <f t="shared" si="119"/>
        <v>3.1657720805187493E-2</v>
      </c>
      <c r="AC415" s="44">
        <f t="shared" si="119"/>
        <v>3.1641768378225459E-2</v>
      </c>
      <c r="AD415" s="44">
        <f t="shared" si="119"/>
        <v>3.1312139954589431E-2</v>
      </c>
      <c r="AE415" s="44">
        <f t="shared" si="119"/>
        <v>3.2774394576189775E-2</v>
      </c>
    </row>
    <row r="416" spans="1:31" ht="16" customHeight="1" thickBot="1" x14ac:dyDescent="0.25">
      <c r="A416" s="51"/>
      <c r="B416" s="32" t="s">
        <v>82</v>
      </c>
      <c r="C416" s="36">
        <f>+SAM!AN41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17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53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41</v>
      </c>
      <c r="C16" s="18" t="s">
        <v>134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55" t="s">
        <v>30</v>
      </c>
      <c r="B17" s="39" t="s">
        <v>43</v>
      </c>
      <c r="C17" s="40">
        <f>+SAM!E2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50"/>
      <c r="B18" s="22" t="s">
        <v>44</v>
      </c>
      <c r="C18" s="41">
        <f>+SAM!E3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50"/>
      <c r="B19" s="22" t="s">
        <v>45</v>
      </c>
      <c r="C19" s="41">
        <f>+SAM!E4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50"/>
      <c r="B20" s="22" t="s">
        <v>46</v>
      </c>
      <c r="C20" s="41">
        <f>+SAM!E5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50"/>
      <c r="B21" s="22" t="s">
        <v>47</v>
      </c>
      <c r="C21" s="41">
        <f>+SAM!E6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50"/>
      <c r="B22" s="22" t="s">
        <v>48</v>
      </c>
      <c r="C22" s="41">
        <f>+SAM!E7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50"/>
      <c r="B23" s="22" t="s">
        <v>49</v>
      </c>
      <c r="C23" s="41">
        <f>+SAM!E8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50"/>
      <c r="B24" s="22" t="s">
        <v>50</v>
      </c>
      <c r="C24" s="41">
        <f>+SAM!E9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50"/>
      <c r="B25" s="22" t="s">
        <v>51</v>
      </c>
      <c r="C25" s="41">
        <f>+SAM!E10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50"/>
      <c r="B26" s="22" t="s">
        <v>52</v>
      </c>
      <c r="C26" s="41">
        <f>+SAM!E11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50"/>
      <c r="B27" s="22" t="s">
        <v>53</v>
      </c>
      <c r="C27" s="41">
        <f>+SAM!E12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50"/>
      <c r="B28" s="22" t="s">
        <v>54</v>
      </c>
      <c r="C28" s="41">
        <f>+SAM!E13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50"/>
      <c r="B29" s="22" t="s">
        <v>55</v>
      </c>
      <c r="C29" s="42">
        <f>+SAM!E14</f>
        <v>2.9499999999999999E-3</v>
      </c>
      <c r="D29" s="44">
        <f t="shared" si="3"/>
        <v>0</v>
      </c>
      <c r="E29" s="44">
        <f t="shared" si="3"/>
        <v>0</v>
      </c>
      <c r="F29" s="44">
        <f t="shared" si="3"/>
        <v>4.8396448702008876E-3</v>
      </c>
      <c r="G29" s="44">
        <f t="shared" si="3"/>
        <v>1.0214382154087088E-3</v>
      </c>
      <c r="H29" s="44">
        <f t="shared" si="3"/>
        <v>5.6565459008446287E-3</v>
      </c>
      <c r="I29" s="44">
        <f t="shared" si="3"/>
        <v>7.6669205426173953E-3</v>
      </c>
      <c r="J29" s="44">
        <f t="shared" si="3"/>
        <v>2.1893555908191517E-2</v>
      </c>
      <c r="K29" s="44">
        <f t="shared" si="3"/>
        <v>3.6465833161251279E-2</v>
      </c>
      <c r="L29" s="44">
        <f t="shared" si="3"/>
        <v>3.1069451718928769E-2</v>
      </c>
      <c r="M29" s="44">
        <f t="shared" si="3"/>
        <v>7.4422491733010842E-3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5.0262741576411342E-4</v>
      </c>
      <c r="R29" s="44">
        <f t="shared" si="4"/>
        <v>5.1364487054285967E-3</v>
      </c>
      <c r="S29" s="44">
        <f t="shared" si="4"/>
        <v>4.7948525266864458E-3</v>
      </c>
      <c r="T29" s="44">
        <f t="shared" si="4"/>
        <v>4.0825888746906782E-3</v>
      </c>
      <c r="U29" s="44">
        <f t="shared" si="4"/>
        <v>1.080583079955419E-3</v>
      </c>
      <c r="V29" s="44">
        <f t="shared" si="4"/>
        <v>3.7016167677174821E-3</v>
      </c>
      <c r="W29" s="44">
        <f t="shared" si="4"/>
        <v>3.4686525082334705E-3</v>
      </c>
      <c r="X29" s="44">
        <f t="shared" si="5"/>
        <v>3.3302876332682186E-3</v>
      </c>
      <c r="Y29" s="44">
        <f t="shared" si="5"/>
        <v>0</v>
      </c>
      <c r="Z29" s="44">
        <f t="shared" si="5"/>
        <v>5.8675163562633215E-3</v>
      </c>
      <c r="AA29" s="44">
        <f t="shared" si="5"/>
        <v>3.2769402162491461E-3</v>
      </c>
      <c r="AB29" s="44">
        <f t="shared" si="5"/>
        <v>5.7496103289046575E-3</v>
      </c>
      <c r="AC29" s="44">
        <f t="shared" si="5"/>
        <v>5.2765395120719675E-3</v>
      </c>
      <c r="AD29" s="44">
        <f t="shared" si="5"/>
        <v>9.8932278186050857E-3</v>
      </c>
      <c r="AE29" s="44">
        <f t="shared" si="5"/>
        <v>2.100865322593207E-2</v>
      </c>
    </row>
    <row r="30" spans="1:31" x14ac:dyDescent="0.2">
      <c r="A30" s="50"/>
      <c r="B30" s="22" t="s">
        <v>56</v>
      </c>
      <c r="C30" s="42">
        <f>+SAM!E15</f>
        <v>5.5500000000000005E-4</v>
      </c>
      <c r="D30" s="44">
        <f t="shared" si="3"/>
        <v>0</v>
      </c>
      <c r="E30" s="44">
        <f t="shared" si="3"/>
        <v>0</v>
      </c>
      <c r="F30" s="44">
        <f t="shared" si="3"/>
        <v>9.1050945863101456E-4</v>
      </c>
      <c r="G30" s="44">
        <f t="shared" si="3"/>
        <v>1.9216888459384186E-4</v>
      </c>
      <c r="H30" s="44">
        <f t="shared" si="3"/>
        <v>1.0641976186334813E-3</v>
      </c>
      <c r="I30" s="44">
        <f t="shared" si="3"/>
        <v>1.4424206444585272E-3</v>
      </c>
      <c r="J30" s="44">
        <f t="shared" si="3"/>
        <v>4.1189571284902691E-3</v>
      </c>
      <c r="K30" s="44">
        <f t="shared" si="3"/>
        <v>6.8605211540659194E-3</v>
      </c>
      <c r="L30" s="44">
        <f t="shared" si="3"/>
        <v>5.8452697301713454E-3</v>
      </c>
      <c r="M30" s="44">
        <f t="shared" si="3"/>
        <v>1.400151963112577E-3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9.4562107033587458E-5</v>
      </c>
      <c r="R30" s="44">
        <f t="shared" si="4"/>
        <v>9.663488242416514E-4</v>
      </c>
      <c r="S30" s="44">
        <f t="shared" si="4"/>
        <v>9.0208242451219581E-4</v>
      </c>
      <c r="T30" s="44">
        <f t="shared" si="4"/>
        <v>7.6808027981468702E-4</v>
      </c>
      <c r="U30" s="44">
        <f t="shared" si="4"/>
        <v>2.0329613877127377E-4</v>
      </c>
      <c r="V30" s="44">
        <f t="shared" si="4"/>
        <v>6.964058664688823E-4</v>
      </c>
      <c r="W30" s="44">
        <f t="shared" si="4"/>
        <v>6.5257699731172082E-4</v>
      </c>
      <c r="X30" s="44">
        <f t="shared" si="5"/>
        <v>6.2654563947927514E-4</v>
      </c>
      <c r="Y30" s="44">
        <f t="shared" si="5"/>
        <v>0</v>
      </c>
      <c r="Z30" s="44">
        <f t="shared" si="5"/>
        <v>1.103888670415642E-3</v>
      </c>
      <c r="AA30" s="44">
        <f t="shared" si="5"/>
        <v>6.1650909153161898E-4</v>
      </c>
      <c r="AB30" s="44">
        <f t="shared" si="5"/>
        <v>1.081706350014266E-3</v>
      </c>
      <c r="AC30" s="44">
        <f t="shared" si="5"/>
        <v>9.9270489125421763E-4</v>
      </c>
      <c r="AD30" s="44">
        <f t="shared" si="5"/>
        <v>1.861268284517228E-3</v>
      </c>
      <c r="AE30" s="44">
        <f t="shared" si="5"/>
        <v>3.9524754374211189E-3</v>
      </c>
    </row>
    <row r="31" spans="1:31" x14ac:dyDescent="0.2">
      <c r="A31" s="50"/>
      <c r="B31" s="22" t="s">
        <v>57</v>
      </c>
      <c r="C31" s="42">
        <f>+SAM!E16</f>
        <v>4.3600000000000002E-3</v>
      </c>
      <c r="D31" s="44">
        <f t="shared" si="3"/>
        <v>0</v>
      </c>
      <c r="E31" s="44">
        <f t="shared" si="3"/>
        <v>0</v>
      </c>
      <c r="F31" s="44">
        <f t="shared" si="3"/>
        <v>7.1528310623986003E-3</v>
      </c>
      <c r="G31" s="44">
        <f t="shared" si="3"/>
        <v>1.5096510573498205E-3</v>
      </c>
      <c r="H31" s="44">
        <f t="shared" si="3"/>
        <v>8.3601830941296904E-3</v>
      </c>
      <c r="I31" s="44">
        <f t="shared" si="3"/>
        <v>1.1331448666376897E-2</v>
      </c>
      <c r="J31" s="44">
        <f t="shared" si="3"/>
        <v>3.2357933477869499E-2</v>
      </c>
      <c r="K31" s="44">
        <f t="shared" si="3"/>
        <v>5.3895265282391726E-2</v>
      </c>
      <c r="L31" s="44">
        <f t="shared" si="3"/>
        <v>4.591959643882354E-2</v>
      </c>
      <c r="M31" s="44">
        <f t="shared" si="3"/>
        <v>1.099939199850601E-2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7.4286628228187616E-4</v>
      </c>
      <c r="R31" s="44">
        <f t="shared" si="4"/>
        <v>7.5914970697181974E-3</v>
      </c>
      <c r="S31" s="44">
        <f t="shared" si="4"/>
        <v>7.0866294970687808E-3</v>
      </c>
      <c r="T31" s="44">
        <f t="shared" si="4"/>
        <v>6.0339279639496125E-3</v>
      </c>
      <c r="U31" s="44">
        <f t="shared" si="4"/>
        <v>1.5970651622391955E-3</v>
      </c>
      <c r="V31" s="44">
        <f t="shared" si="4"/>
        <v>5.4708641041519394E-3</v>
      </c>
      <c r="W31" s="44">
        <f t="shared" si="4"/>
        <v>5.1265508257281123E-3</v>
      </c>
      <c r="X31" s="44">
        <f t="shared" si="5"/>
        <v>4.9220522308642154E-3</v>
      </c>
      <c r="Y31" s="44">
        <f t="shared" si="5"/>
        <v>0</v>
      </c>
      <c r="Z31" s="44">
        <f t="shared" si="5"/>
        <v>8.6719902756976549E-3</v>
      </c>
      <c r="AA31" s="44">
        <f t="shared" si="5"/>
        <v>4.8432065568970433E-3</v>
      </c>
      <c r="AB31" s="44">
        <f t="shared" si="5"/>
        <v>8.4977291640760365E-3</v>
      </c>
      <c r="AC31" s="44">
        <f t="shared" si="5"/>
        <v>7.7985465330961956E-3</v>
      </c>
      <c r="AD31" s="44">
        <f t="shared" si="5"/>
        <v>1.4621855352243449E-2</v>
      </c>
      <c r="AE31" s="44">
        <f t="shared" si="5"/>
        <v>3.1050077310191129E-2</v>
      </c>
    </row>
    <row r="32" spans="1:31" x14ac:dyDescent="0.2">
      <c r="A32" s="50"/>
      <c r="B32" s="22" t="s">
        <v>58</v>
      </c>
      <c r="C32" s="42">
        <f>+SAM!E17</f>
        <v>3.8600000000000006E-3</v>
      </c>
      <c r="D32" s="44">
        <f t="shared" si="3"/>
        <v>0</v>
      </c>
      <c r="E32" s="44">
        <f t="shared" si="3"/>
        <v>0</v>
      </c>
      <c r="F32" s="44">
        <f t="shared" si="3"/>
        <v>6.3325522708391289E-3</v>
      </c>
      <c r="G32" s="44">
        <f t="shared" si="3"/>
        <v>1.3365259360941073E-3</v>
      </c>
      <c r="H32" s="44">
        <f t="shared" si="3"/>
        <v>7.401446500766194E-3</v>
      </c>
      <c r="I32" s="44">
        <f t="shared" si="3"/>
        <v>1.0031970608306153E-2</v>
      </c>
      <c r="J32" s="44">
        <f t="shared" si="3"/>
        <v>2.8647161290040433E-2</v>
      </c>
      <c r="K32" s="44">
        <f t="shared" si="3"/>
        <v>4.7714615594044059E-2</v>
      </c>
      <c r="L32" s="44">
        <f t="shared" si="3"/>
        <v>4.0653587672903412E-2</v>
      </c>
      <c r="M32" s="44">
        <f t="shared" si="3"/>
        <v>9.7379938335397254E-3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6.5767519486422993E-4</v>
      </c>
      <c r="R32" s="44">
        <f t="shared" si="4"/>
        <v>6.7209125433743688E-3</v>
      </c>
      <c r="S32" s="44">
        <f t="shared" si="4"/>
        <v>6.2739426281388753E-3</v>
      </c>
      <c r="T32" s="44">
        <f t="shared" si="4"/>
        <v>5.3419637479003457E-3</v>
      </c>
      <c r="U32" s="44">
        <f t="shared" si="4"/>
        <v>1.4139154876704808E-3</v>
      </c>
      <c r="V32" s="44">
        <f t="shared" si="4"/>
        <v>4.8434714316574522E-3</v>
      </c>
      <c r="W32" s="44">
        <f t="shared" si="4"/>
        <v>4.5386436209427792E-3</v>
      </c>
      <c r="X32" s="44">
        <f t="shared" si="5"/>
        <v>4.357596699801806E-3</v>
      </c>
      <c r="Y32" s="44">
        <f t="shared" si="5"/>
        <v>0</v>
      </c>
      <c r="Z32" s="44">
        <f t="shared" si="5"/>
        <v>7.6774959780259071E-3</v>
      </c>
      <c r="AA32" s="44">
        <f t="shared" si="5"/>
        <v>4.2877929609226118E-3</v>
      </c>
      <c r="AB32" s="44">
        <f t="shared" si="5"/>
        <v>7.5232189388379596E-3</v>
      </c>
      <c r="AC32" s="44">
        <f t="shared" si="5"/>
        <v>6.9042178022365409E-3</v>
      </c>
      <c r="AD32" s="44">
        <f t="shared" si="5"/>
        <v>1.2945037077903605E-2</v>
      </c>
      <c r="AE32" s="44">
        <f t="shared" si="5"/>
        <v>2.7489288627829764E-2</v>
      </c>
    </row>
    <row r="33" spans="1:31" x14ac:dyDescent="0.2">
      <c r="A33" s="50"/>
      <c r="B33" s="22" t="s">
        <v>59</v>
      </c>
      <c r="C33" s="42">
        <f>+SAM!E18</f>
        <v>1.41E-3</v>
      </c>
      <c r="D33" s="44">
        <f t="shared" si="3"/>
        <v>0</v>
      </c>
      <c r="E33" s="44">
        <f t="shared" si="3"/>
        <v>0</v>
      </c>
      <c r="F33" s="44">
        <f t="shared" si="3"/>
        <v>2.3131861921977122E-3</v>
      </c>
      <c r="G33" s="44">
        <f t="shared" si="3"/>
        <v>4.8821284194111168E-4</v>
      </c>
      <c r="H33" s="44">
        <f t="shared" si="3"/>
        <v>2.7036371932850599E-3</v>
      </c>
      <c r="I33" s="44">
        <f t="shared" si="3"/>
        <v>3.6645281237595011E-3</v>
      </c>
      <c r="J33" s="44">
        <f t="shared" si="3"/>
        <v>1.0464377569677981E-2</v>
      </c>
      <c r="K33" s="44">
        <f t="shared" si="3"/>
        <v>1.7429432121140443E-2</v>
      </c>
      <c r="L33" s="44">
        <f t="shared" si="3"/>
        <v>1.4850144719894768E-2</v>
      </c>
      <c r="M33" s="44">
        <f t="shared" si="3"/>
        <v>3.5571428252049253E-3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2.4023886651776269E-4</v>
      </c>
      <c r="R33" s="44">
        <f t="shared" si="4"/>
        <v>2.4550483642896007E-3</v>
      </c>
      <c r="S33" s="44">
        <f t="shared" si="4"/>
        <v>2.291776970382335E-3</v>
      </c>
      <c r="T33" s="44">
        <f t="shared" si="4"/>
        <v>1.9513390892589343E-3</v>
      </c>
      <c r="U33" s="44">
        <f t="shared" si="4"/>
        <v>5.1648208228377655E-4</v>
      </c>
      <c r="V33" s="44">
        <f t="shared" si="4"/>
        <v>1.7692473364344576E-3</v>
      </c>
      <c r="W33" s="44">
        <f t="shared" si="4"/>
        <v>1.6578983174946418E-3</v>
      </c>
      <c r="X33" s="44">
        <f t="shared" si="5"/>
        <v>1.5917645975959962E-3</v>
      </c>
      <c r="Y33" s="44">
        <f t="shared" si="5"/>
        <v>0</v>
      </c>
      <c r="Z33" s="44">
        <f t="shared" si="5"/>
        <v>2.8044739194343334E-3</v>
      </c>
      <c r="AA33" s="44">
        <f t="shared" si="5"/>
        <v>1.5662663406478968E-3</v>
      </c>
      <c r="AB33" s="44">
        <f t="shared" si="5"/>
        <v>2.7481188351713786E-3</v>
      </c>
      <c r="AC33" s="44">
        <f t="shared" si="5"/>
        <v>2.5220070210242285E-3</v>
      </c>
      <c r="AD33" s="44">
        <f t="shared" si="5"/>
        <v>4.7286275336383627E-3</v>
      </c>
      <c r="AE33" s="44">
        <f t="shared" si="5"/>
        <v>1.0041424084259058E-2</v>
      </c>
    </row>
    <row r="34" spans="1:31" x14ac:dyDescent="0.2">
      <c r="A34" s="50"/>
      <c r="B34" s="22" t="s">
        <v>60</v>
      </c>
      <c r="C34" s="41">
        <f>+SAM!E19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50"/>
      <c r="B35" s="22" t="s">
        <v>61</v>
      </c>
      <c r="C35" s="41">
        <f>+SAM!E20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50"/>
      <c r="B36" s="22" t="s">
        <v>62</v>
      </c>
      <c r="C36" s="41">
        <f>+SAM!E21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50"/>
      <c r="B37" s="22" t="s">
        <v>63</v>
      </c>
      <c r="C37" s="41">
        <f>+SAM!E22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50"/>
      <c r="B38" s="22" t="s">
        <v>64</v>
      </c>
      <c r="C38" s="41">
        <f>+SAM!E23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50"/>
      <c r="B39" s="22" t="s">
        <v>65</v>
      </c>
      <c r="C39" s="41">
        <f>+SAM!E24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50"/>
      <c r="B40" s="22" t="s">
        <v>66</v>
      </c>
      <c r="C40" s="41">
        <f>+SAM!E25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50"/>
      <c r="B41" s="22" t="s">
        <v>67</v>
      </c>
      <c r="C41" s="41">
        <f>+SAM!E26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50"/>
      <c r="B42" s="22" t="s">
        <v>68</v>
      </c>
      <c r="C42" s="41">
        <f>+SAM!E27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50"/>
      <c r="B43" s="22" t="s">
        <v>69</v>
      </c>
      <c r="C43" s="41">
        <f>+SAM!E28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50"/>
      <c r="B44" s="22" t="s">
        <v>70</v>
      </c>
      <c r="C44" s="41">
        <f>+SAM!E29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50"/>
      <c r="B45" s="22" t="s">
        <v>71</v>
      </c>
      <c r="C45" s="42">
        <f>+SAM!E30</f>
        <v>1.1260000000000001E-2</v>
      </c>
      <c r="D45" s="44">
        <f t="shared" si="6"/>
        <v>0</v>
      </c>
      <c r="E45" s="44">
        <f t="shared" si="6"/>
        <v>0</v>
      </c>
      <c r="F45" s="44">
        <f t="shared" si="6"/>
        <v>1.847267838591932E-2</v>
      </c>
      <c r="G45" s="44">
        <f t="shared" si="6"/>
        <v>3.8987777306786651E-3</v>
      </c>
      <c r="H45" s="44">
        <f t="shared" si="6"/>
        <v>2.1590748082545942E-2</v>
      </c>
      <c r="I45" s="44">
        <f t="shared" si="6"/>
        <v>2.926424586775318E-2</v>
      </c>
      <c r="J45" s="44">
        <f t="shared" si="6"/>
        <v>8.3566589669910679E-2</v>
      </c>
      <c r="K45" s="44">
        <f t="shared" si="6"/>
        <v>0.13918823098158964</v>
      </c>
      <c r="L45" s="44">
        <f t="shared" si="6"/>
        <v>0.11859051740852135</v>
      </c>
      <c r="M45" s="44">
        <f t="shared" si="6"/>
        <v>2.8406686675040753E-2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1.9185032886453958E-3</v>
      </c>
      <c r="R45" s="44">
        <f t="shared" si="7"/>
        <v>1.9605563533263051E-2</v>
      </c>
      <c r="S45" s="44">
        <f t="shared" si="7"/>
        <v>1.8301708288301487E-2</v>
      </c>
      <c r="T45" s="44">
        <f t="shared" si="7"/>
        <v>1.5583034145429506E-2</v>
      </c>
      <c r="U45" s="44">
        <f t="shared" si="7"/>
        <v>4.1245306712874644E-3</v>
      </c>
      <c r="V45" s="44">
        <f t="shared" si="7"/>
        <v>1.4128882984575881E-2</v>
      </c>
      <c r="W45" s="44">
        <f t="shared" si="7"/>
        <v>1.3239670251765723E-2</v>
      </c>
      <c r="X45" s="44">
        <f t="shared" si="8"/>
        <v>1.2711538559525474E-2</v>
      </c>
      <c r="Y45" s="44">
        <f t="shared" si="8"/>
        <v>0</v>
      </c>
      <c r="Z45" s="44">
        <f t="shared" si="8"/>
        <v>2.2396011583567799E-2</v>
      </c>
      <c r="AA45" s="44">
        <f t="shared" si="8"/>
        <v>1.2507914181344199E-2</v>
      </c>
      <c r="AB45" s="44">
        <f t="shared" si="8"/>
        <v>2.1945970272361507E-2</v>
      </c>
      <c r="AC45" s="44">
        <f t="shared" si="8"/>
        <v>2.0140283018959444E-2</v>
      </c>
      <c r="AD45" s="44">
        <f t="shared" si="8"/>
        <v>3.7761947538133313E-2</v>
      </c>
      <c r="AE45" s="44">
        <f t="shared" si="8"/>
        <v>8.0188961126778008E-2</v>
      </c>
    </row>
    <row r="46" spans="1:31" x14ac:dyDescent="0.2">
      <c r="A46" s="50"/>
      <c r="B46" s="22" t="s">
        <v>72</v>
      </c>
      <c r="C46" s="41">
        <f>+SAM!E31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50"/>
      <c r="B47" s="22" t="s">
        <v>73</v>
      </c>
      <c r="C47" s="41">
        <f>+SAM!E32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50"/>
      <c r="B48" s="22" t="s">
        <v>74</v>
      </c>
      <c r="C48" s="41">
        <f>+SAM!E33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50"/>
      <c r="B49" s="22" t="s">
        <v>75</v>
      </c>
      <c r="C49" s="41">
        <f>+SAM!E34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50"/>
      <c r="B50" s="22" t="s">
        <v>76</v>
      </c>
      <c r="C50" s="41">
        <f>+SAM!E35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50"/>
      <c r="B51" s="22" t="s">
        <v>77</v>
      </c>
      <c r="C51" s="41">
        <f>+SAM!E36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50"/>
      <c r="B52" s="22" t="s">
        <v>78</v>
      </c>
      <c r="C52" s="42">
        <f>+SAM!E37</f>
        <v>2.66E-3</v>
      </c>
      <c r="D52" s="44">
        <f t="shared" si="9"/>
        <v>0</v>
      </c>
      <c r="E52" s="44">
        <f t="shared" si="9"/>
        <v>0</v>
      </c>
      <c r="F52" s="44">
        <f t="shared" si="9"/>
        <v>4.3638831710963938E-3</v>
      </c>
      <c r="G52" s="44">
        <f t="shared" si="9"/>
        <v>9.2102564508039504E-4</v>
      </c>
      <c r="H52" s="44">
        <f t="shared" si="9"/>
        <v>5.1004786766938011E-3</v>
      </c>
      <c r="I52" s="44">
        <f t="shared" si="9"/>
        <v>6.9132232689363632E-3</v>
      </c>
      <c r="J52" s="44">
        <f t="shared" si="9"/>
        <v>1.9741308039250657E-2</v>
      </c>
      <c r="K52" s="44">
        <f t="shared" si="9"/>
        <v>3.2881056342009628E-2</v>
      </c>
      <c r="L52" s="44">
        <f t="shared" si="9"/>
        <v>2.8015166634695093E-2</v>
      </c>
      <c r="M52" s="44">
        <f t="shared" si="9"/>
        <v>6.710638237620639E-3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4.5321658506187855E-4</v>
      </c>
      <c r="R52" s="44">
        <f t="shared" si="10"/>
        <v>4.6315096801491755E-3</v>
      </c>
      <c r="S52" s="44">
        <f t="shared" si="10"/>
        <v>4.3234941427071003E-3</v>
      </c>
      <c r="T52" s="44">
        <f t="shared" si="10"/>
        <v>3.681249629382103E-3</v>
      </c>
      <c r="U52" s="44">
        <f t="shared" si="10"/>
        <v>9.7435626870556432E-4</v>
      </c>
      <c r="V52" s="44">
        <f t="shared" si="10"/>
        <v>3.3377290176706789E-3</v>
      </c>
      <c r="W52" s="44">
        <f t="shared" si="10"/>
        <v>3.1276663294579768E-3</v>
      </c>
      <c r="X52" s="44">
        <f t="shared" si="11"/>
        <v>3.002903425252021E-3</v>
      </c>
      <c r="Y52" s="44">
        <f t="shared" si="11"/>
        <v>0</v>
      </c>
      <c r="Z52" s="44">
        <f t="shared" si="11"/>
        <v>5.2907096636137076E-3</v>
      </c>
      <c r="AA52" s="44">
        <f t="shared" si="11"/>
        <v>2.9548003305839756E-3</v>
      </c>
      <c r="AB52" s="44">
        <f t="shared" si="11"/>
        <v>5.1843943982665727E-3</v>
      </c>
      <c r="AC52" s="44">
        <f t="shared" si="11"/>
        <v>4.757828848173367E-3</v>
      </c>
      <c r="AD52" s="44">
        <f t="shared" si="11"/>
        <v>8.9206732194879752E-3</v>
      </c>
      <c r="AE52" s="44">
        <f t="shared" si="11"/>
        <v>1.8943395790162479E-2</v>
      </c>
    </row>
    <row r="53" spans="1:31" x14ac:dyDescent="0.2">
      <c r="A53" s="50"/>
      <c r="B53" s="22" t="s">
        <v>79</v>
      </c>
      <c r="C53" s="41">
        <f>+SAM!E38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50"/>
      <c r="B54" s="22" t="s">
        <v>80</v>
      </c>
      <c r="C54" s="41">
        <f>+SAM!E39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50"/>
      <c r="B55" s="22" t="s">
        <v>81</v>
      </c>
      <c r="C55" s="41">
        <f>+SAM!E40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56"/>
      <c r="B56" s="32" t="s">
        <v>82</v>
      </c>
      <c r="C56" s="34">
        <f>+SAM!E41</f>
        <v>2.2945E-2</v>
      </c>
      <c r="D56" s="45">
        <f t="shared" si="9"/>
        <v>0</v>
      </c>
      <c r="E56" s="45">
        <f t="shared" si="9"/>
        <v>0</v>
      </c>
      <c r="F56" s="45">
        <f t="shared" si="9"/>
        <v>3.7642593744664193E-2</v>
      </c>
      <c r="G56" s="45">
        <f t="shared" si="9"/>
        <v>7.9447118144246858E-3</v>
      </c>
      <c r="H56" s="45">
        <f t="shared" si="9"/>
        <v>4.3996422269450851E-2</v>
      </c>
      <c r="I56" s="45">
        <f t="shared" si="9"/>
        <v>5.963304808486649E-2</v>
      </c>
      <c r="J56" s="45">
        <f t="shared" si="9"/>
        <v>0.17028733569947607</v>
      </c>
      <c r="K56" s="45">
        <f t="shared" si="9"/>
        <v>0.28363001419827477</v>
      </c>
      <c r="L56" s="45">
        <f t="shared" si="9"/>
        <v>0.24165714226807478</v>
      </c>
      <c r="M56" s="45">
        <f t="shared" si="9"/>
        <v>5.7885561790302846E-2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3.9094190015957911E-3</v>
      </c>
      <c r="R56" s="45">
        <f t="shared" si="10"/>
        <v>3.9951123913918356E-2</v>
      </c>
      <c r="S56" s="45">
        <f t="shared" si="10"/>
        <v>3.7294200415193386E-2</v>
      </c>
      <c r="T56" s="45">
        <f t="shared" si="10"/>
        <v>3.1754237874500886E-2</v>
      </c>
      <c r="U56" s="45">
        <f t="shared" si="10"/>
        <v>8.4047385659583359E-3</v>
      </c>
      <c r="V56" s="45">
        <f t="shared" si="10"/>
        <v>2.8791049740772078E-2</v>
      </c>
      <c r="W56" s="45">
        <f t="shared" si="10"/>
        <v>2.6979061627598975E-2</v>
      </c>
      <c r="X56" s="45">
        <f t="shared" si="11"/>
        <v>2.5902864320453994E-2</v>
      </c>
      <c r="Y56" s="45">
        <f t="shared" si="11"/>
        <v>0</v>
      </c>
      <c r="Z56" s="45">
        <f t="shared" si="11"/>
        <v>4.5637343320156586E-2</v>
      </c>
      <c r="AA56" s="45">
        <f t="shared" si="11"/>
        <v>2.5487929919266662E-2</v>
      </c>
      <c r="AB56" s="45">
        <f t="shared" si="11"/>
        <v>4.4720274236175375E-2</v>
      </c>
      <c r="AC56" s="45">
        <f t="shared" si="11"/>
        <v>4.104074545914959E-2</v>
      </c>
      <c r="AD56" s="45">
        <f t="shared" si="11"/>
        <v>7.6949190609455487E-2</v>
      </c>
      <c r="AE56" s="45">
        <f t="shared" si="11"/>
        <v>0.16340459263356316</v>
      </c>
    </row>
    <row r="57" spans="1:31" ht="16" customHeight="1" thickTop="1" x14ac:dyDescent="0.2">
      <c r="A57" s="54" t="s">
        <v>31</v>
      </c>
      <c r="B57" s="22" t="s">
        <v>43</v>
      </c>
      <c r="C57" s="14">
        <f>+SAM!I2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50"/>
      <c r="B58" s="22" t="s">
        <v>44</v>
      </c>
      <c r="C58" s="14">
        <f>+SAM!I3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50"/>
      <c r="B59" s="22" t="s">
        <v>45</v>
      </c>
      <c r="C59" s="14">
        <f>+SAM!I4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50"/>
      <c r="B60" s="22" t="s">
        <v>46</v>
      </c>
      <c r="C60" s="14">
        <f>+SAM!I5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50"/>
      <c r="B61" s="22" t="s">
        <v>47</v>
      </c>
      <c r="C61" s="14">
        <f>+SAM!I6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50"/>
      <c r="B62" s="22" t="s">
        <v>48</v>
      </c>
      <c r="C62" s="14">
        <f>+SAM!I7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50"/>
      <c r="B63" s="22" t="s">
        <v>49</v>
      </c>
      <c r="C63" s="14">
        <f>+SAM!I8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50"/>
      <c r="B64" s="22" t="s">
        <v>50</v>
      </c>
      <c r="C64" s="23">
        <f>+SAM!I9</f>
        <v>1.7999999999999999E-2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2.2306588021646655E-4</v>
      </c>
      <c r="H64" s="44">
        <f t="shared" si="12"/>
        <v>4.3130547070675612E-4</v>
      </c>
      <c r="I64" s="44">
        <f t="shared" si="12"/>
        <v>6.2490387375265639E-4</v>
      </c>
      <c r="J64" s="44">
        <f t="shared" si="12"/>
        <v>8.0418456339475012E-4</v>
      </c>
      <c r="K64" s="44">
        <f t="shared" si="12"/>
        <v>1.1668912302469597E-3</v>
      </c>
      <c r="L64" s="44">
        <f t="shared" si="12"/>
        <v>1.5691461762713525E-3</v>
      </c>
      <c r="M64" s="44">
        <f t="shared" si="12"/>
        <v>2.0823689515364532E-3</v>
      </c>
      <c r="N64" s="44">
        <f t="shared" si="13"/>
        <v>2.8667032841302215E-3</v>
      </c>
      <c r="O64" s="44">
        <f t="shared" si="13"/>
        <v>4.243906383165799E-3</v>
      </c>
      <c r="P64" s="44">
        <f t="shared" si="13"/>
        <v>6.7013061505632751E-3</v>
      </c>
      <c r="Q64" s="44">
        <f t="shared" si="13"/>
        <v>1.0515565790200954E-2</v>
      </c>
      <c r="R64" s="44">
        <f t="shared" si="13"/>
        <v>1.5004838922453417E-2</v>
      </c>
      <c r="S64" s="44">
        <f t="shared" si="13"/>
        <v>1.880841817483565E-2</v>
      </c>
      <c r="T64" s="44">
        <f t="shared" si="13"/>
        <v>2.1296224239583012E-2</v>
      </c>
      <c r="U64" s="44">
        <f t="shared" si="13"/>
        <v>2.2752922113649994E-2</v>
      </c>
      <c r="V64" s="44">
        <f t="shared" si="13"/>
        <v>2.3647587562556655E-2</v>
      </c>
      <c r="W64" s="44">
        <f t="shared" si="13"/>
        <v>2.4283686505165828E-2</v>
      </c>
      <c r="X64" s="44">
        <f t="shared" si="14"/>
        <v>2.4813000741881305E-2</v>
      </c>
      <c r="Y64" s="44">
        <f t="shared" si="14"/>
        <v>2.530419470328283E-2</v>
      </c>
      <c r="Z64" s="44">
        <f t="shared" si="14"/>
        <v>2.5641720401732713E-2</v>
      </c>
      <c r="AA64" s="44">
        <f t="shared" si="14"/>
        <v>2.595846820915897E-2</v>
      </c>
      <c r="AB64" s="44">
        <f t="shared" si="14"/>
        <v>2.6290532691288827E-2</v>
      </c>
      <c r="AC64" s="44">
        <f t="shared" si="14"/>
        <v>2.6638590170166496E-2</v>
      </c>
      <c r="AD64" s="44">
        <f t="shared" si="14"/>
        <v>2.7003336245092994E-2</v>
      </c>
      <c r="AE64" s="44">
        <f t="shared" si="14"/>
        <v>2.7385481353812458E-2</v>
      </c>
    </row>
    <row r="65" spans="1:31" x14ac:dyDescent="0.2">
      <c r="A65" s="50"/>
      <c r="B65" s="22" t="s">
        <v>51</v>
      </c>
      <c r="C65" s="14">
        <f>+SAM!I10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50"/>
      <c r="B66" s="22" t="s">
        <v>52</v>
      </c>
      <c r="C66" s="14">
        <f>+SAM!I11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50"/>
      <c r="B67" s="22" t="s">
        <v>53</v>
      </c>
      <c r="C67" s="14">
        <f>+SAM!I12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50"/>
      <c r="B68" s="22" t="s">
        <v>54</v>
      </c>
      <c r="C68" s="14">
        <f>+SAM!I13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50"/>
      <c r="B69" s="22" t="s">
        <v>55</v>
      </c>
      <c r="C69" s="14">
        <f>+SAM!I14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50"/>
      <c r="B70" s="22" t="s">
        <v>56</v>
      </c>
      <c r="C70" s="14">
        <f>+SAM!I15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50"/>
      <c r="B71" s="22" t="s">
        <v>57</v>
      </c>
      <c r="C71" s="23">
        <f>+SAM!I16</f>
        <v>0.09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1.1153294010823329E-3</v>
      </c>
      <c r="H71" s="44">
        <f t="shared" si="15"/>
        <v>2.1565273535337805E-3</v>
      </c>
      <c r="I71" s="44">
        <f t="shared" si="15"/>
        <v>3.1245193687632817E-3</v>
      </c>
      <c r="J71" s="44">
        <f t="shared" si="15"/>
        <v>4.0209228169737505E-3</v>
      </c>
      <c r="K71" s="44">
        <f t="shared" si="15"/>
        <v>5.8344561512347981E-3</v>
      </c>
      <c r="L71" s="44">
        <f t="shared" si="15"/>
        <v>7.8457308813567623E-3</v>
      </c>
      <c r="M71" s="44">
        <f t="shared" si="15"/>
        <v>1.0411844757682266E-2</v>
      </c>
      <c r="N71" s="44">
        <f t="shared" si="16"/>
        <v>1.4333516420651107E-2</v>
      </c>
      <c r="O71" s="44">
        <f t="shared" si="16"/>
        <v>2.1219531915828996E-2</v>
      </c>
      <c r="P71" s="44">
        <f t="shared" si="16"/>
        <v>3.3506530752816378E-2</v>
      </c>
      <c r="Q71" s="44">
        <f t="shared" si="16"/>
        <v>5.2577828951004775E-2</v>
      </c>
      <c r="R71" s="44">
        <f t="shared" si="16"/>
        <v>7.5024194612267087E-2</v>
      </c>
      <c r="S71" s="44">
        <f t="shared" si="16"/>
        <v>9.4042090874178266E-2</v>
      </c>
      <c r="T71" s="44">
        <f t="shared" si="16"/>
        <v>0.10648112119791506</v>
      </c>
      <c r="U71" s="44">
        <f t="shared" si="16"/>
        <v>0.11376461056824998</v>
      </c>
      <c r="V71" s="44">
        <f t="shared" si="16"/>
        <v>0.11823793781278329</v>
      </c>
      <c r="W71" s="44">
        <f t="shared" si="16"/>
        <v>0.12141843252582914</v>
      </c>
      <c r="X71" s="44">
        <f t="shared" si="17"/>
        <v>0.12406500370940653</v>
      </c>
      <c r="Y71" s="44">
        <f t="shared" si="17"/>
        <v>0.12652097351641417</v>
      </c>
      <c r="Z71" s="44">
        <f t="shared" si="17"/>
        <v>0.12820860200866357</v>
      </c>
      <c r="AA71" s="44">
        <f t="shared" si="17"/>
        <v>0.12979234104579485</v>
      </c>
      <c r="AB71" s="44">
        <f t="shared" si="17"/>
        <v>0.13145266345644413</v>
      </c>
      <c r="AC71" s="44">
        <f t="shared" si="17"/>
        <v>0.13319295085083249</v>
      </c>
      <c r="AD71" s="44">
        <f t="shared" si="17"/>
        <v>0.13501668122546498</v>
      </c>
      <c r="AE71" s="44">
        <f t="shared" si="17"/>
        <v>0.13692740676906232</v>
      </c>
    </row>
    <row r="72" spans="1:31" x14ac:dyDescent="0.2">
      <c r="A72" s="50"/>
      <c r="B72" s="22" t="s">
        <v>58</v>
      </c>
      <c r="C72" s="23">
        <f>+SAM!I17</f>
        <v>0.03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3.7177646702744426E-4</v>
      </c>
      <c r="H72" s="44">
        <f t="shared" si="15"/>
        <v>7.1884245117792686E-4</v>
      </c>
      <c r="I72" s="44">
        <f t="shared" si="15"/>
        <v>1.0415064562544272E-3</v>
      </c>
      <c r="J72" s="44">
        <f t="shared" si="15"/>
        <v>1.3403076056579168E-3</v>
      </c>
      <c r="K72" s="44">
        <f t="shared" si="15"/>
        <v>1.9448187170782662E-3</v>
      </c>
      <c r="L72" s="44">
        <f t="shared" si="15"/>
        <v>2.6152436271189208E-3</v>
      </c>
      <c r="M72" s="44">
        <f t="shared" si="15"/>
        <v>3.4706149192274219E-3</v>
      </c>
      <c r="N72" s="44">
        <f t="shared" si="16"/>
        <v>4.7778388068837026E-3</v>
      </c>
      <c r="O72" s="44">
        <f t="shared" si="16"/>
        <v>7.0731773052763319E-3</v>
      </c>
      <c r="P72" s="44">
        <f t="shared" si="16"/>
        <v>1.1168843584272125E-2</v>
      </c>
      <c r="Q72" s="44">
        <f t="shared" si="16"/>
        <v>1.7525942983668257E-2</v>
      </c>
      <c r="R72" s="44">
        <f t="shared" si="16"/>
        <v>2.5008064870755697E-2</v>
      </c>
      <c r="S72" s="44">
        <f t="shared" si="16"/>
        <v>3.1347363624726086E-2</v>
      </c>
      <c r="T72" s="44">
        <f t="shared" si="16"/>
        <v>3.5493707065971686E-2</v>
      </c>
      <c r="U72" s="44">
        <f t="shared" si="16"/>
        <v>3.7921536856083328E-2</v>
      </c>
      <c r="V72" s="44">
        <f t="shared" si="16"/>
        <v>3.9412645937594429E-2</v>
      </c>
      <c r="W72" s="44">
        <f t="shared" si="16"/>
        <v>4.0472810841943048E-2</v>
      </c>
      <c r="X72" s="44">
        <f t="shared" si="17"/>
        <v>4.135500123646884E-2</v>
      </c>
      <c r="Y72" s="44">
        <f t="shared" si="17"/>
        <v>4.2173657838804716E-2</v>
      </c>
      <c r="Z72" s="44">
        <f t="shared" si="17"/>
        <v>4.2736200669554518E-2</v>
      </c>
      <c r="AA72" s="44">
        <f t="shared" si="17"/>
        <v>4.3264113681931615E-2</v>
      </c>
      <c r="AB72" s="44">
        <f t="shared" si="17"/>
        <v>4.3817554485481379E-2</v>
      </c>
      <c r="AC72" s="44">
        <f t="shared" si="17"/>
        <v>4.4397650283610833E-2</v>
      </c>
      <c r="AD72" s="44">
        <f t="shared" si="17"/>
        <v>4.5005560408488327E-2</v>
      </c>
      <c r="AE72" s="44">
        <f t="shared" si="17"/>
        <v>4.5642468923020769E-2</v>
      </c>
    </row>
    <row r="73" spans="1:31" x14ac:dyDescent="0.2">
      <c r="A73" s="50"/>
      <c r="B73" s="22" t="s">
        <v>59</v>
      </c>
      <c r="C73" s="14">
        <f>+SAM!I18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50"/>
      <c r="B74" s="22" t="s">
        <v>60</v>
      </c>
      <c r="C74" s="14">
        <f>+SAM!I19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50"/>
      <c r="B75" s="22" t="s">
        <v>61</v>
      </c>
      <c r="C75" s="14">
        <f>+SAM!I20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50"/>
      <c r="B76" s="22" t="s">
        <v>62</v>
      </c>
      <c r="C76" s="14">
        <f>+SAM!I21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50"/>
      <c r="B77" s="22" t="s">
        <v>63</v>
      </c>
      <c r="C77" s="14">
        <f>+SAM!I22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50"/>
      <c r="B78" s="22" t="s">
        <v>64</v>
      </c>
      <c r="C78" s="14">
        <f>+SAM!I23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50"/>
      <c r="B79" s="22" t="s">
        <v>65</v>
      </c>
      <c r="C79" s="14">
        <f>+SAM!I24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50"/>
      <c r="B80" s="22" t="s">
        <v>66</v>
      </c>
      <c r="C80" s="14">
        <f>+SAM!I25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50"/>
      <c r="B81" s="22" t="s">
        <v>67</v>
      </c>
      <c r="C81" s="14">
        <f>+SAM!I26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50"/>
      <c r="B82" s="22" t="s">
        <v>68</v>
      </c>
      <c r="C82" s="14">
        <f>+SAM!I27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50"/>
      <c r="B83" s="22" t="s">
        <v>69</v>
      </c>
      <c r="C83" s="14">
        <f>+SAM!I28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50"/>
      <c r="B84" s="22" t="s">
        <v>70</v>
      </c>
      <c r="C84" s="14">
        <f>+SAM!I29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50"/>
      <c r="B85" s="22" t="s">
        <v>71</v>
      </c>
      <c r="C85" s="23">
        <f>+SAM!I30</f>
        <v>0.15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1.8588823351372214E-3</v>
      </c>
      <c r="H85" s="44">
        <f t="shared" si="18"/>
        <v>3.5942122558896344E-3</v>
      </c>
      <c r="I85" s="44">
        <f t="shared" si="18"/>
        <v>5.2075322812721366E-3</v>
      </c>
      <c r="J85" s="44">
        <f t="shared" si="18"/>
        <v>6.7015380282895842E-3</v>
      </c>
      <c r="K85" s="44">
        <f t="shared" si="18"/>
        <v>9.7240935853913305E-3</v>
      </c>
      <c r="L85" s="44">
        <f t="shared" si="18"/>
        <v>1.3076218135594604E-2</v>
      </c>
      <c r="M85" s="44">
        <f t="shared" si="18"/>
        <v>1.7353074596137108E-2</v>
      </c>
      <c r="N85" s="44">
        <f t="shared" si="19"/>
        <v>2.3889194034418512E-2</v>
      </c>
      <c r="O85" s="44">
        <f t="shared" si="19"/>
        <v>3.536588652638166E-2</v>
      </c>
      <c r="P85" s="44">
        <f t="shared" si="19"/>
        <v>5.5844217921360628E-2</v>
      </c>
      <c r="Q85" s="44">
        <f t="shared" si="19"/>
        <v>8.7629714918341289E-2</v>
      </c>
      <c r="R85" s="44">
        <f t="shared" si="19"/>
        <v>0.12504032435377849</v>
      </c>
      <c r="S85" s="44">
        <f t="shared" si="19"/>
        <v>0.15673681812363044</v>
      </c>
      <c r="T85" s="44">
        <f t="shared" si="19"/>
        <v>0.17746853532985843</v>
      </c>
      <c r="U85" s="44">
        <f t="shared" si="19"/>
        <v>0.18960768428041663</v>
      </c>
      <c r="V85" s="44">
        <f t="shared" si="19"/>
        <v>0.19706322968797213</v>
      </c>
      <c r="W85" s="44">
        <f t="shared" si="19"/>
        <v>0.20236405420971523</v>
      </c>
      <c r="X85" s="44">
        <f t="shared" si="20"/>
        <v>0.20677500618234421</v>
      </c>
      <c r="Y85" s="44">
        <f t="shared" si="20"/>
        <v>0.21086828919402359</v>
      </c>
      <c r="Z85" s="44">
        <f t="shared" si="20"/>
        <v>0.2136810033477726</v>
      </c>
      <c r="AA85" s="44">
        <f t="shared" si="20"/>
        <v>0.2163205684096581</v>
      </c>
      <c r="AB85" s="44">
        <f t="shared" si="20"/>
        <v>0.2190877724274069</v>
      </c>
      <c r="AC85" s="44">
        <f t="shared" si="20"/>
        <v>0.22198825141805414</v>
      </c>
      <c r="AD85" s="44">
        <f t="shared" si="20"/>
        <v>0.22502780204244163</v>
      </c>
      <c r="AE85" s="44">
        <f t="shared" si="20"/>
        <v>0.22821234461510384</v>
      </c>
    </row>
    <row r="86" spans="1:31" x14ac:dyDescent="0.2">
      <c r="A86" s="50"/>
      <c r="B86" s="22" t="s">
        <v>72</v>
      </c>
      <c r="C86" s="14">
        <f>+SAM!I31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50"/>
      <c r="B87" s="22" t="s">
        <v>73</v>
      </c>
      <c r="C87" s="14">
        <f>+SAM!I32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50"/>
      <c r="B88" s="22" t="s">
        <v>74</v>
      </c>
      <c r="C88" s="14">
        <f>+SAM!I33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50"/>
      <c r="B89" s="22" t="s">
        <v>75</v>
      </c>
      <c r="C89" s="14">
        <f>+SAM!I34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50"/>
      <c r="B90" s="22" t="s">
        <v>76</v>
      </c>
      <c r="C90" s="14">
        <f>+SAM!I35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50"/>
      <c r="B91" s="22" t="s">
        <v>77</v>
      </c>
      <c r="C91" s="14">
        <f>+SAM!I36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50"/>
      <c r="B92" s="22" t="s">
        <v>78</v>
      </c>
      <c r="C92" s="23">
        <f>+SAM!I37</f>
        <v>4.2000000000000003E-2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5.2048705383842203E-4</v>
      </c>
      <c r="H92" s="44">
        <f t="shared" si="21"/>
        <v>1.0063794316490977E-3</v>
      </c>
      <c r="I92" s="44">
        <f t="shared" si="21"/>
        <v>1.4581090387561983E-3</v>
      </c>
      <c r="J92" s="44">
        <f t="shared" si="21"/>
        <v>1.8764306479210839E-3</v>
      </c>
      <c r="K92" s="44">
        <f t="shared" si="21"/>
        <v>2.7227462039095727E-3</v>
      </c>
      <c r="L92" s="44">
        <f t="shared" si="21"/>
        <v>3.6613410779664894E-3</v>
      </c>
      <c r="M92" s="44">
        <f t="shared" si="21"/>
        <v>4.8588608869183907E-3</v>
      </c>
      <c r="N92" s="44">
        <f t="shared" si="22"/>
        <v>6.6889743296371842E-3</v>
      </c>
      <c r="O92" s="44">
        <f t="shared" si="22"/>
        <v>9.9024482273868657E-3</v>
      </c>
      <c r="P92" s="44">
        <f t="shared" si="22"/>
        <v>1.5636381017980976E-2</v>
      </c>
      <c r="Q92" s="44">
        <f t="shared" si="22"/>
        <v>2.4536320177135564E-2</v>
      </c>
      <c r="R92" s="44">
        <f t="shared" si="22"/>
        <v>3.5011290819057982E-2</v>
      </c>
      <c r="S92" s="44">
        <f t="shared" si="22"/>
        <v>4.3886309074616527E-2</v>
      </c>
      <c r="T92" s="44">
        <f t="shared" si="22"/>
        <v>4.9691189892360363E-2</v>
      </c>
      <c r="U92" s="44">
        <f t="shared" si="22"/>
        <v>5.3090151598516662E-2</v>
      </c>
      <c r="V92" s="44">
        <f t="shared" si="22"/>
        <v>5.5177704312632206E-2</v>
      </c>
      <c r="W92" s="44">
        <f t="shared" si="22"/>
        <v>5.6661935178720271E-2</v>
      </c>
      <c r="X92" s="44">
        <f t="shared" si="23"/>
        <v>5.7897001731056386E-2</v>
      </c>
      <c r="Y92" s="44">
        <f t="shared" si="23"/>
        <v>5.904312097432661E-2</v>
      </c>
      <c r="Z92" s="44">
        <f t="shared" si="23"/>
        <v>5.9830680937376333E-2</v>
      </c>
      <c r="AA92" s="44">
        <f t="shared" si="23"/>
        <v>6.0569759154704271E-2</v>
      </c>
      <c r="AB92" s="44">
        <f t="shared" si="23"/>
        <v>6.1344576279673935E-2</v>
      </c>
      <c r="AC92" s="44">
        <f t="shared" si="23"/>
        <v>6.215671039705517E-2</v>
      </c>
      <c r="AD92" s="44">
        <f t="shared" si="23"/>
        <v>6.3007784571883663E-2</v>
      </c>
      <c r="AE92" s="44">
        <f t="shared" si="23"/>
        <v>6.3899456492229084E-2</v>
      </c>
    </row>
    <row r="93" spans="1:31" x14ac:dyDescent="0.2">
      <c r="A93" s="50"/>
      <c r="B93" s="22" t="s">
        <v>79</v>
      </c>
      <c r="C93" s="14">
        <f>+SAM!I38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50"/>
      <c r="B94" s="22" t="s">
        <v>80</v>
      </c>
      <c r="C94" s="14">
        <f>+SAM!I39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50"/>
      <c r="B95" s="22" t="s">
        <v>81</v>
      </c>
      <c r="C95" s="14">
        <f>+SAM!I40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51"/>
      <c r="B96" s="32" t="s">
        <v>82</v>
      </c>
      <c r="C96" s="34">
        <f>+SAM!I41</f>
        <v>0.27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3.3459882032469989E-3</v>
      </c>
      <c r="H96" s="45">
        <f t="shared" si="21"/>
        <v>6.4695820606013423E-3</v>
      </c>
      <c r="I96" s="45">
        <f t="shared" si="21"/>
        <v>9.3735581062898473E-3</v>
      </c>
      <c r="J96" s="45">
        <f t="shared" si="21"/>
        <v>1.2062768450921253E-2</v>
      </c>
      <c r="K96" s="45">
        <f t="shared" si="21"/>
        <v>1.7503368453704395E-2</v>
      </c>
      <c r="L96" s="45">
        <f t="shared" si="21"/>
        <v>2.3537192644070289E-2</v>
      </c>
      <c r="M96" s="45">
        <f t="shared" si="21"/>
        <v>3.1235534273046799E-2</v>
      </c>
      <c r="N96" s="45">
        <f t="shared" si="22"/>
        <v>4.3000549261953326E-2</v>
      </c>
      <c r="O96" s="45">
        <f t="shared" si="22"/>
        <v>6.3658595747486987E-2</v>
      </c>
      <c r="P96" s="45">
        <f t="shared" si="22"/>
        <v>0.10051959225844914</v>
      </c>
      <c r="Q96" s="45">
        <f t="shared" si="22"/>
        <v>0.15773348685301433</v>
      </c>
      <c r="R96" s="45">
        <f t="shared" si="22"/>
        <v>0.22507258383680129</v>
      </c>
      <c r="S96" s="45">
        <f t="shared" si="22"/>
        <v>0.28212627262253481</v>
      </c>
      <c r="T96" s="45">
        <f t="shared" si="22"/>
        <v>0.3194433635937452</v>
      </c>
      <c r="U96" s="45">
        <f t="shared" si="22"/>
        <v>0.34129383170474997</v>
      </c>
      <c r="V96" s="45">
        <f t="shared" si="22"/>
        <v>0.3547138134383499</v>
      </c>
      <c r="W96" s="45">
        <f t="shared" si="22"/>
        <v>0.36425529757748748</v>
      </c>
      <c r="X96" s="45">
        <f t="shared" si="23"/>
        <v>0.37219501112821962</v>
      </c>
      <c r="Y96" s="45">
        <f t="shared" si="23"/>
        <v>0.37956292054924251</v>
      </c>
      <c r="Z96" s="45">
        <f t="shared" si="23"/>
        <v>0.38462580602599072</v>
      </c>
      <c r="AA96" s="45">
        <f t="shared" si="23"/>
        <v>0.38937702313738459</v>
      </c>
      <c r="AB96" s="45">
        <f t="shared" si="23"/>
        <v>0.39435799036933245</v>
      </c>
      <c r="AC96" s="45">
        <f t="shared" si="23"/>
        <v>0.39957885255249753</v>
      </c>
      <c r="AD96" s="45">
        <f t="shared" si="23"/>
        <v>0.40505004367639497</v>
      </c>
      <c r="AE96" s="45">
        <f t="shared" si="23"/>
        <v>0.41078222030718697</v>
      </c>
    </row>
    <row r="97" spans="1:31" ht="16" customHeight="1" thickTop="1" x14ac:dyDescent="0.2">
      <c r="A97" s="54" t="s">
        <v>32</v>
      </c>
      <c r="B97" s="22" t="s">
        <v>43</v>
      </c>
      <c r="C97" s="14">
        <f>+SAM!M2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50"/>
      <c r="B98" s="22" t="s">
        <v>44</v>
      </c>
      <c r="C98" s="14">
        <f>+SAM!M3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50"/>
      <c r="B99" s="22" t="s">
        <v>45</v>
      </c>
      <c r="C99" s="14">
        <f>+SAM!M4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50"/>
      <c r="B100" s="22" t="s">
        <v>46</v>
      </c>
      <c r="C100" s="14">
        <f>+SAM!M5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50"/>
      <c r="B101" s="22" t="s">
        <v>47</v>
      </c>
      <c r="C101" s="14">
        <f>+SAM!M6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50"/>
      <c r="B102" s="22" t="s">
        <v>48</v>
      </c>
      <c r="C102" s="14">
        <f>+SAM!M7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50"/>
      <c r="B103" s="22" t="s">
        <v>49</v>
      </c>
      <c r="C103" s="14">
        <f>+SAM!M8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50"/>
      <c r="B104" s="22" t="s">
        <v>50</v>
      </c>
      <c r="C104" s="23">
        <f>+SAM!M9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50"/>
      <c r="B105" s="22" t="s">
        <v>51</v>
      </c>
      <c r="C105" s="14">
        <f>+SAM!M10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50"/>
      <c r="B106" s="22" t="s">
        <v>52</v>
      </c>
      <c r="C106" s="14">
        <f>+SAM!M11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50"/>
      <c r="B107" s="22" t="s">
        <v>53</v>
      </c>
      <c r="C107" s="14">
        <f>+SAM!M12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50"/>
      <c r="B108" s="22" t="s">
        <v>54</v>
      </c>
      <c r="C108" s="14">
        <f>+SAM!M13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50"/>
      <c r="B109" s="22" t="s">
        <v>55</v>
      </c>
      <c r="C109" s="14">
        <f>+SAM!M14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50"/>
      <c r="B110" s="22" t="s">
        <v>56</v>
      </c>
      <c r="C110" s="14">
        <f>+SAM!M15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50"/>
      <c r="B111" s="22" t="s">
        <v>57</v>
      </c>
      <c r="C111" s="23">
        <f>+SAM!M16</f>
        <v>4.4000000000000004E-2</v>
      </c>
      <c r="D111" s="44">
        <f t="shared" si="27"/>
        <v>0</v>
      </c>
      <c r="E111" s="44">
        <f t="shared" si="27"/>
        <v>0</v>
      </c>
      <c r="F111" s="44">
        <f t="shared" si="27"/>
        <v>3.1396103660983472E-5</v>
      </c>
      <c r="G111" s="44">
        <f t="shared" si="27"/>
        <v>1.5329098973380554E-4</v>
      </c>
      <c r="H111" s="44">
        <f t="shared" si="27"/>
        <v>2.8230131319635697E-4</v>
      </c>
      <c r="I111" s="44">
        <f t="shared" si="27"/>
        <v>4.1867091641166151E-4</v>
      </c>
      <c r="J111" s="44">
        <f t="shared" si="27"/>
        <v>5.6298355261238302E-4</v>
      </c>
      <c r="K111" s="44">
        <f t="shared" si="27"/>
        <v>7.151436816297726E-4</v>
      </c>
      <c r="L111" s="44">
        <f t="shared" si="27"/>
        <v>8.7528177695219279E-4</v>
      </c>
      <c r="M111" s="44">
        <f t="shared" si="27"/>
        <v>1.0435119494762949E-3</v>
      </c>
      <c r="N111" s="44">
        <f t="shared" si="28"/>
        <v>4.6652356816151421E-3</v>
      </c>
      <c r="O111" s="44">
        <f t="shared" si="28"/>
        <v>7.8924694308945501E-3</v>
      </c>
      <c r="P111" s="44">
        <f t="shared" si="28"/>
        <v>1.0768151263590271E-2</v>
      </c>
      <c r="Q111" s="44">
        <f t="shared" si="28"/>
        <v>1.3331511627952134E-2</v>
      </c>
      <c r="R111" s="44">
        <f t="shared" si="28"/>
        <v>1.5618298947392356E-2</v>
      </c>
      <c r="S111" s="44">
        <f t="shared" si="28"/>
        <v>1.7661003301440523E-2</v>
      </c>
      <c r="T111" s="44">
        <f t="shared" si="28"/>
        <v>1.948905616884478E-2</v>
      </c>
      <c r="U111" s="44">
        <f t="shared" si="28"/>
        <v>2.1129031979586606E-2</v>
      </c>
      <c r="V111" s="44">
        <f t="shared" si="28"/>
        <v>2.2615917054927361E-2</v>
      </c>
      <c r="W111" s="44">
        <f t="shared" si="28"/>
        <v>2.3973064240340333E-2</v>
      </c>
      <c r="X111" s="44">
        <f t="shared" si="29"/>
        <v>2.5221153819516492E-2</v>
      </c>
      <c r="Y111" s="44">
        <f t="shared" si="29"/>
        <v>2.6378423064585134E-2</v>
      </c>
      <c r="Z111" s="44">
        <f t="shared" si="29"/>
        <v>2.7460901777299374E-2</v>
      </c>
      <c r="AA111" s="44">
        <f t="shared" si="29"/>
        <v>2.848261525527214E-2</v>
      </c>
      <c r="AB111" s="44">
        <f t="shared" si="29"/>
        <v>2.9455819643632225E-2</v>
      </c>
      <c r="AC111" s="44">
        <f t="shared" si="29"/>
        <v>3.0391088770928599E-2</v>
      </c>
      <c r="AD111" s="44">
        <f t="shared" si="29"/>
        <v>3.1297488448676539E-2</v>
      </c>
      <c r="AE111" s="44">
        <f t="shared" si="29"/>
        <v>3.2182721469333375E-2</v>
      </c>
    </row>
    <row r="112" spans="1:31" x14ac:dyDescent="0.2">
      <c r="A112" s="50"/>
      <c r="B112" s="22" t="s">
        <v>58</v>
      </c>
      <c r="C112" s="23">
        <f>+SAM!M17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50"/>
      <c r="B113" s="22" t="s">
        <v>59</v>
      </c>
      <c r="C113" s="14">
        <f>+SAM!M18</f>
        <v>8.2500000000000004E-2</v>
      </c>
      <c r="D113" s="44">
        <f t="shared" si="27"/>
        <v>0</v>
      </c>
      <c r="E113" s="44">
        <f t="shared" si="27"/>
        <v>0</v>
      </c>
      <c r="F113" s="44">
        <f t="shared" si="27"/>
        <v>5.8867694364344008E-5</v>
      </c>
      <c r="G113" s="44">
        <f t="shared" si="27"/>
        <v>2.8742060575088536E-4</v>
      </c>
      <c r="H113" s="44">
        <f t="shared" si="27"/>
        <v>5.2931496224316928E-4</v>
      </c>
      <c r="I113" s="44">
        <f t="shared" si="27"/>
        <v>7.8500796827186525E-4</v>
      </c>
      <c r="J113" s="44">
        <f t="shared" si="27"/>
        <v>1.055594161148218E-3</v>
      </c>
      <c r="K113" s="44">
        <f t="shared" si="27"/>
        <v>1.3408944030558236E-3</v>
      </c>
      <c r="L113" s="44">
        <f t="shared" si="27"/>
        <v>1.6411533317853614E-3</v>
      </c>
      <c r="M113" s="44">
        <f t="shared" si="27"/>
        <v>1.9565849052680527E-3</v>
      </c>
      <c r="N113" s="44">
        <f t="shared" si="28"/>
        <v>8.7473169030283914E-3</v>
      </c>
      <c r="O113" s="44">
        <f t="shared" si="28"/>
        <v>1.4798380182927281E-2</v>
      </c>
      <c r="P113" s="44">
        <f t="shared" si="28"/>
        <v>2.0190283619231759E-2</v>
      </c>
      <c r="Q113" s="44">
        <f t="shared" si="28"/>
        <v>2.4996584302410248E-2</v>
      </c>
      <c r="R113" s="44">
        <f t="shared" si="28"/>
        <v>2.9284310526360668E-2</v>
      </c>
      <c r="S113" s="44">
        <f t="shared" si="28"/>
        <v>3.3114381190200978E-2</v>
      </c>
      <c r="T113" s="44">
        <f t="shared" si="28"/>
        <v>3.6541980316583955E-2</v>
      </c>
      <c r="U113" s="44">
        <f t="shared" si="28"/>
        <v>3.961693496172488E-2</v>
      </c>
      <c r="V113" s="44">
        <f t="shared" si="28"/>
        <v>4.2404844477988798E-2</v>
      </c>
      <c r="W113" s="44">
        <f t="shared" si="28"/>
        <v>4.4949495450638123E-2</v>
      </c>
      <c r="X113" s="44">
        <f t="shared" si="29"/>
        <v>4.7289663411593422E-2</v>
      </c>
      <c r="Y113" s="44">
        <f t="shared" si="29"/>
        <v>4.9459543246097123E-2</v>
      </c>
      <c r="Z113" s="44">
        <f t="shared" si="29"/>
        <v>5.1489190832436318E-2</v>
      </c>
      <c r="AA113" s="44">
        <f t="shared" si="29"/>
        <v>5.3404903603635256E-2</v>
      </c>
      <c r="AB113" s="44">
        <f t="shared" si="29"/>
        <v>5.5229661831810418E-2</v>
      </c>
      <c r="AC113" s="44">
        <f t="shared" si="29"/>
        <v>5.6983291445491122E-2</v>
      </c>
      <c r="AD113" s="44">
        <f t="shared" si="29"/>
        <v>5.8682790841268505E-2</v>
      </c>
      <c r="AE113" s="44">
        <f t="shared" si="29"/>
        <v>6.0342602755000078E-2</v>
      </c>
    </row>
    <row r="114" spans="1:31" x14ac:dyDescent="0.2">
      <c r="A114" s="50"/>
      <c r="B114" s="22" t="s">
        <v>60</v>
      </c>
      <c r="C114" s="14">
        <f>+SAM!M19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50"/>
      <c r="B115" s="22" t="s">
        <v>61</v>
      </c>
      <c r="C115" s="14">
        <f>+SAM!M20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50"/>
      <c r="B116" s="22" t="s">
        <v>62</v>
      </c>
      <c r="C116" s="14">
        <f>+SAM!M21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50"/>
      <c r="B117" s="22" t="s">
        <v>63</v>
      </c>
      <c r="C117" s="14">
        <f>+SAM!M22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50"/>
      <c r="B118" s="22" t="s">
        <v>64</v>
      </c>
      <c r="C118" s="14">
        <f>+SAM!M23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50"/>
      <c r="B119" s="22" t="s">
        <v>65</v>
      </c>
      <c r="C119" s="14">
        <f>+SAM!M24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50"/>
      <c r="B120" s="22" t="s">
        <v>66</v>
      </c>
      <c r="C120" s="14">
        <f>+SAM!M25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50"/>
      <c r="B121" s="22" t="s">
        <v>67</v>
      </c>
      <c r="C121" s="14">
        <f>+SAM!M26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50"/>
      <c r="B122" s="22" t="s">
        <v>68</v>
      </c>
      <c r="C122" s="14">
        <f>+SAM!M27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50"/>
      <c r="B123" s="22" t="s">
        <v>69</v>
      </c>
      <c r="C123" s="14">
        <f>+SAM!M28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50"/>
      <c r="B124" s="22" t="s">
        <v>70</v>
      </c>
      <c r="C124" s="14">
        <f>+SAM!M29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50"/>
      <c r="B125" s="22" t="s">
        <v>71</v>
      </c>
      <c r="C125" s="23">
        <f>+SAM!M30</f>
        <v>3.8500000000000006E-2</v>
      </c>
      <c r="D125" s="44">
        <f t="shared" si="30"/>
        <v>0</v>
      </c>
      <c r="E125" s="44">
        <f t="shared" si="30"/>
        <v>0</v>
      </c>
      <c r="F125" s="44">
        <f t="shared" si="30"/>
        <v>2.7471590703360539E-5</v>
      </c>
      <c r="G125" s="44">
        <f t="shared" si="30"/>
        <v>1.3412961601707985E-4</v>
      </c>
      <c r="H125" s="44">
        <f t="shared" si="30"/>
        <v>2.4701364904681236E-4</v>
      </c>
      <c r="I125" s="44">
        <f t="shared" si="30"/>
        <v>3.6633705186020385E-4</v>
      </c>
      <c r="J125" s="44">
        <f t="shared" si="30"/>
        <v>4.926106085358351E-4</v>
      </c>
      <c r="K125" s="44">
        <f t="shared" si="30"/>
        <v>6.2575072142605106E-4</v>
      </c>
      <c r="L125" s="44">
        <f t="shared" si="30"/>
        <v>7.6587155483316867E-4</v>
      </c>
      <c r="M125" s="44">
        <f t="shared" si="30"/>
        <v>9.1307295579175804E-4</v>
      </c>
      <c r="N125" s="44">
        <f t="shared" si="31"/>
        <v>4.0820812214132493E-3</v>
      </c>
      <c r="O125" s="44">
        <f t="shared" si="31"/>
        <v>6.9059107520327316E-3</v>
      </c>
      <c r="P125" s="44">
        <f t="shared" si="31"/>
        <v>9.4221323556414882E-3</v>
      </c>
      <c r="Q125" s="44">
        <f t="shared" si="31"/>
        <v>1.1665072674458118E-2</v>
      </c>
      <c r="R125" s="44">
        <f t="shared" si="31"/>
        <v>1.3666011578968313E-2</v>
      </c>
      <c r="S125" s="44">
        <f t="shared" si="31"/>
        <v>1.545337788876046E-2</v>
      </c>
      <c r="T125" s="44">
        <f t="shared" si="31"/>
        <v>1.7052924147739183E-2</v>
      </c>
      <c r="U125" s="44">
        <f t="shared" si="31"/>
        <v>1.8487902982138281E-2</v>
      </c>
      <c r="V125" s="44">
        <f t="shared" si="31"/>
        <v>1.9788927423061441E-2</v>
      </c>
      <c r="W125" s="44">
        <f t="shared" si="31"/>
        <v>2.0976431210297793E-2</v>
      </c>
      <c r="X125" s="44">
        <f t="shared" si="32"/>
        <v>2.2068509592076933E-2</v>
      </c>
      <c r="Y125" s="44">
        <f t="shared" si="32"/>
        <v>2.3081120181511993E-2</v>
      </c>
      <c r="Z125" s="44">
        <f t="shared" si="32"/>
        <v>2.4028289055136952E-2</v>
      </c>
      <c r="AA125" s="44">
        <f t="shared" si="32"/>
        <v>2.4922288348363124E-2</v>
      </c>
      <c r="AB125" s="44">
        <f t="shared" si="32"/>
        <v>2.57738421881782E-2</v>
      </c>
      <c r="AC125" s="44">
        <f t="shared" si="32"/>
        <v>2.6592202674562526E-2</v>
      </c>
      <c r="AD125" s="44">
        <f t="shared" si="32"/>
        <v>2.738530239259197E-2</v>
      </c>
      <c r="AE125" s="44">
        <f t="shared" si="32"/>
        <v>2.8159881285666707E-2</v>
      </c>
    </row>
    <row r="126" spans="1:31" x14ac:dyDescent="0.2">
      <c r="A126" s="50"/>
      <c r="B126" s="22" t="s">
        <v>72</v>
      </c>
      <c r="C126" s="14">
        <f>+SAM!M31</f>
        <v>5.5000000000000007E-2</v>
      </c>
      <c r="D126" s="44">
        <f t="shared" si="30"/>
        <v>0</v>
      </c>
      <c r="E126" s="44">
        <f t="shared" si="30"/>
        <v>0</v>
      </c>
      <c r="F126" s="44">
        <f t="shared" si="30"/>
        <v>3.9245129576229339E-5</v>
      </c>
      <c r="G126" s="44">
        <f t="shared" si="30"/>
        <v>1.9161373716725693E-4</v>
      </c>
      <c r="H126" s="44">
        <f t="shared" si="30"/>
        <v>3.5287664149544624E-4</v>
      </c>
      <c r="I126" s="44">
        <f t="shared" si="30"/>
        <v>5.2333864551457683E-4</v>
      </c>
      <c r="J126" s="44">
        <f t="shared" si="30"/>
        <v>7.0372944076547875E-4</v>
      </c>
      <c r="K126" s="44">
        <f t="shared" si="30"/>
        <v>8.9392960203721588E-4</v>
      </c>
      <c r="L126" s="44">
        <f t="shared" si="30"/>
        <v>1.094102221190241E-3</v>
      </c>
      <c r="M126" s="44">
        <f t="shared" si="30"/>
        <v>1.3043899368453686E-3</v>
      </c>
      <c r="N126" s="44">
        <f t="shared" si="31"/>
        <v>5.8315446020189279E-3</v>
      </c>
      <c r="O126" s="44">
        <f t="shared" si="31"/>
        <v>9.8655867886181872E-3</v>
      </c>
      <c r="P126" s="44">
        <f t="shared" si="31"/>
        <v>1.3460189079487839E-2</v>
      </c>
      <c r="Q126" s="44">
        <f t="shared" si="31"/>
        <v>1.6664389534940167E-2</v>
      </c>
      <c r="R126" s="44">
        <f t="shared" si="31"/>
        <v>1.9522873684240445E-2</v>
      </c>
      <c r="S126" s="44">
        <f t="shared" si="31"/>
        <v>2.2076254126800657E-2</v>
      </c>
      <c r="T126" s="44">
        <f t="shared" si="31"/>
        <v>2.4361320211055974E-2</v>
      </c>
      <c r="U126" s="44">
        <f t="shared" si="31"/>
        <v>2.6411289974483255E-2</v>
      </c>
      <c r="V126" s="44">
        <f t="shared" si="31"/>
        <v>2.8269896318659202E-2</v>
      </c>
      <c r="W126" s="44">
        <f t="shared" si="31"/>
        <v>2.996633030042542E-2</v>
      </c>
      <c r="X126" s="44">
        <f t="shared" si="32"/>
        <v>3.1526442274395612E-2</v>
      </c>
      <c r="Y126" s="44">
        <f t="shared" si="32"/>
        <v>3.2973028830731416E-2</v>
      </c>
      <c r="Z126" s="44">
        <f t="shared" si="32"/>
        <v>3.4326127221624217E-2</v>
      </c>
      <c r="AA126" s="44">
        <f t="shared" si="32"/>
        <v>3.5603269069090171E-2</v>
      </c>
      <c r="AB126" s="44">
        <f t="shared" si="32"/>
        <v>3.6819774554540281E-2</v>
      </c>
      <c r="AC126" s="44">
        <f t="shared" si="32"/>
        <v>3.7988860963660748E-2</v>
      </c>
      <c r="AD126" s="44">
        <f t="shared" si="32"/>
        <v>3.912186056084567E-2</v>
      </c>
      <c r="AE126" s="44">
        <f t="shared" si="32"/>
        <v>4.0228401836666726E-2</v>
      </c>
    </row>
    <row r="127" spans="1:31" x14ac:dyDescent="0.2">
      <c r="A127" s="50"/>
      <c r="B127" s="22" t="s">
        <v>73</v>
      </c>
      <c r="C127" s="14">
        <f>+SAM!M32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50"/>
      <c r="B128" s="22" t="s">
        <v>74</v>
      </c>
      <c r="C128" s="14">
        <f>+SAM!M33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50"/>
      <c r="B129" s="22" t="s">
        <v>75</v>
      </c>
      <c r="C129" s="14">
        <f>+SAM!M34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50"/>
      <c r="B130" s="22" t="s">
        <v>76</v>
      </c>
      <c r="C130" s="14">
        <f>+SAM!M35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50"/>
      <c r="B131" s="22" t="s">
        <v>77</v>
      </c>
      <c r="C131" s="14">
        <f>+SAM!M36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50"/>
      <c r="B132" s="22" t="s">
        <v>78</v>
      </c>
      <c r="C132" s="23">
        <f>+SAM!M37</f>
        <v>2.7500000000000004E-2</v>
      </c>
      <c r="D132" s="44">
        <f t="shared" si="33"/>
        <v>0</v>
      </c>
      <c r="E132" s="44">
        <f t="shared" si="33"/>
        <v>0</v>
      </c>
      <c r="F132" s="44">
        <f t="shared" si="33"/>
        <v>1.9622564788114669E-5</v>
      </c>
      <c r="G132" s="44">
        <f t="shared" si="33"/>
        <v>9.5806868583628467E-5</v>
      </c>
      <c r="H132" s="44">
        <f t="shared" si="33"/>
        <v>1.7643832074772312E-4</v>
      </c>
      <c r="I132" s="44">
        <f t="shared" si="33"/>
        <v>2.6166932275728842E-4</v>
      </c>
      <c r="J132" s="44">
        <f t="shared" si="33"/>
        <v>3.5186472038273937E-4</v>
      </c>
      <c r="K132" s="44">
        <f t="shared" si="33"/>
        <v>4.4696480101860794E-4</v>
      </c>
      <c r="L132" s="44">
        <f t="shared" si="33"/>
        <v>5.4705111059512052E-4</v>
      </c>
      <c r="M132" s="44">
        <f t="shared" si="33"/>
        <v>6.5219496842268431E-4</v>
      </c>
      <c r="N132" s="44">
        <f t="shared" si="34"/>
        <v>2.915772301009464E-3</v>
      </c>
      <c r="O132" s="44">
        <f t="shared" si="34"/>
        <v>4.9327933943090936E-3</v>
      </c>
      <c r="P132" s="44">
        <f t="shared" si="34"/>
        <v>6.7300945397439195E-3</v>
      </c>
      <c r="Q132" s="44">
        <f t="shared" si="34"/>
        <v>8.3321947674700834E-3</v>
      </c>
      <c r="R132" s="44">
        <f t="shared" si="34"/>
        <v>9.7614368421202226E-3</v>
      </c>
      <c r="S132" s="44">
        <f t="shared" si="34"/>
        <v>1.1038127063400328E-2</v>
      </c>
      <c r="T132" s="44">
        <f t="shared" si="34"/>
        <v>1.2180660105527987E-2</v>
      </c>
      <c r="U132" s="44">
        <f t="shared" si="34"/>
        <v>1.3205644987241628E-2</v>
      </c>
      <c r="V132" s="44">
        <f t="shared" si="34"/>
        <v>1.4134948159329601E-2</v>
      </c>
      <c r="W132" s="44">
        <f t="shared" si="34"/>
        <v>1.498316515021271E-2</v>
      </c>
      <c r="X132" s="44">
        <f t="shared" si="35"/>
        <v>1.5763221137197806E-2</v>
      </c>
      <c r="Y132" s="44">
        <f t="shared" si="35"/>
        <v>1.6486514415365708E-2</v>
      </c>
      <c r="Z132" s="44">
        <f t="shared" si="35"/>
        <v>1.7163063610812108E-2</v>
      </c>
      <c r="AA132" s="44">
        <f t="shared" si="35"/>
        <v>1.7801634534545085E-2</v>
      </c>
      <c r="AB132" s="44">
        <f t="shared" si="35"/>
        <v>1.8409887277270141E-2</v>
      </c>
      <c r="AC132" s="44">
        <f t="shared" si="35"/>
        <v>1.8994430481830374E-2</v>
      </c>
      <c r="AD132" s="44">
        <f t="shared" si="35"/>
        <v>1.9560930280422835E-2</v>
      </c>
      <c r="AE132" s="44">
        <f t="shared" si="35"/>
        <v>2.0114200918333363E-2</v>
      </c>
    </row>
    <row r="133" spans="1:31" x14ac:dyDescent="0.2">
      <c r="A133" s="50"/>
      <c r="B133" s="22" t="s">
        <v>79</v>
      </c>
      <c r="C133" s="14">
        <f>+SAM!M38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50"/>
      <c r="B134" s="22" t="s">
        <v>80</v>
      </c>
      <c r="C134" s="14">
        <f>+SAM!M39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50"/>
      <c r="B135" s="22" t="s">
        <v>81</v>
      </c>
      <c r="C135" s="14">
        <f>+SAM!M40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51"/>
      <c r="B136" s="32" t="s">
        <v>82</v>
      </c>
      <c r="C136" s="34">
        <f>+SAM!M41</f>
        <v>0.30250000000000005</v>
      </c>
      <c r="D136" s="45">
        <f t="shared" si="33"/>
        <v>0</v>
      </c>
      <c r="E136" s="45">
        <f t="shared" si="33"/>
        <v>0</v>
      </c>
      <c r="F136" s="45">
        <f t="shared" si="33"/>
        <v>2.1584821266926136E-4</v>
      </c>
      <c r="G136" s="45">
        <f t="shared" si="33"/>
        <v>1.0538755544199131E-3</v>
      </c>
      <c r="H136" s="45">
        <f t="shared" si="33"/>
        <v>1.9408215282249544E-3</v>
      </c>
      <c r="I136" s="45">
        <f t="shared" si="33"/>
        <v>2.8783625503301727E-3</v>
      </c>
      <c r="J136" s="45">
        <f t="shared" si="33"/>
        <v>3.870511924210133E-3</v>
      </c>
      <c r="K136" s="45">
        <f t="shared" si="33"/>
        <v>4.9166128112046875E-3</v>
      </c>
      <c r="L136" s="45">
        <f t="shared" si="33"/>
        <v>6.0175622165463257E-3</v>
      </c>
      <c r="M136" s="45">
        <f t="shared" si="33"/>
        <v>7.1741446526495277E-3</v>
      </c>
      <c r="N136" s="45">
        <f t="shared" si="34"/>
        <v>3.2073495311104101E-2</v>
      </c>
      <c r="O136" s="45">
        <f t="shared" si="34"/>
        <v>5.4260727337400033E-2</v>
      </c>
      <c r="P136" s="45">
        <f t="shared" si="34"/>
        <v>7.4031039937183116E-2</v>
      </c>
      <c r="Q136" s="45">
        <f t="shared" si="34"/>
        <v>9.1654142442170919E-2</v>
      </c>
      <c r="R136" s="45">
        <f t="shared" si="34"/>
        <v>0.10737580526332245</v>
      </c>
      <c r="S136" s="45">
        <f t="shared" si="34"/>
        <v>0.12141939769740361</v>
      </c>
      <c r="T136" s="45">
        <f t="shared" si="34"/>
        <v>0.13398726116080786</v>
      </c>
      <c r="U136" s="45">
        <f t="shared" si="34"/>
        <v>0.14526209485965791</v>
      </c>
      <c r="V136" s="45">
        <f t="shared" si="34"/>
        <v>0.15548442975262561</v>
      </c>
      <c r="W136" s="45">
        <f t="shared" si="34"/>
        <v>0.16481481665233982</v>
      </c>
      <c r="X136" s="45">
        <f t="shared" si="35"/>
        <v>0.17339543250917588</v>
      </c>
      <c r="Y136" s="45">
        <f t="shared" si="35"/>
        <v>0.1813516585690228</v>
      </c>
      <c r="Z136" s="45">
        <f t="shared" si="35"/>
        <v>0.1887936997189332</v>
      </c>
      <c r="AA136" s="45">
        <f t="shared" si="35"/>
        <v>0.19581797987999597</v>
      </c>
      <c r="AB136" s="45">
        <f t="shared" si="35"/>
        <v>0.20250876004997156</v>
      </c>
      <c r="AC136" s="45">
        <f t="shared" si="35"/>
        <v>0.20893873530013413</v>
      </c>
      <c r="AD136" s="45">
        <f t="shared" si="35"/>
        <v>0.21517023308465119</v>
      </c>
      <c r="AE136" s="45">
        <f t="shared" si="35"/>
        <v>0.22125621010166699</v>
      </c>
    </row>
    <row r="137" spans="1:31" ht="16" customHeight="1" thickTop="1" x14ac:dyDescent="0.2">
      <c r="A137" s="54" t="s">
        <v>33</v>
      </c>
      <c r="B137" s="22" t="s">
        <v>43</v>
      </c>
      <c r="C137" s="14">
        <f>+SAM!Q2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50"/>
      <c r="B138" s="22" t="s">
        <v>44</v>
      </c>
      <c r="C138" s="14">
        <f>+SAM!Q3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50"/>
      <c r="B139" s="22" t="s">
        <v>45</v>
      </c>
      <c r="C139" s="14">
        <f>+SAM!Q4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50"/>
      <c r="B140" s="22" t="s">
        <v>46</v>
      </c>
      <c r="C140" s="14">
        <f>+SAM!Q5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50"/>
      <c r="B141" s="22" t="s">
        <v>47</v>
      </c>
      <c r="C141" s="14">
        <f>+SAM!Q6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50"/>
      <c r="B142" s="22" t="s">
        <v>48</v>
      </c>
      <c r="C142" s="14">
        <f>+SAM!Q7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50"/>
      <c r="B143" s="22" t="s">
        <v>49</v>
      </c>
      <c r="C143" s="14">
        <f>+SAM!Q8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50"/>
      <c r="B144" s="22" t="s">
        <v>50</v>
      </c>
      <c r="C144" s="14">
        <f>+SAM!Q9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50"/>
      <c r="B145" s="22" t="s">
        <v>51</v>
      </c>
      <c r="C145" s="14">
        <f>+SAM!Q10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50"/>
      <c r="B146" s="22" t="s">
        <v>52</v>
      </c>
      <c r="C146" s="14">
        <f>+SAM!Q11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50"/>
      <c r="B147" s="22" t="s">
        <v>53</v>
      </c>
      <c r="C147" s="14">
        <f>+SAM!Q12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50"/>
      <c r="B148" s="22" t="s">
        <v>54</v>
      </c>
      <c r="C148" s="14">
        <f>+SAM!Q13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50"/>
      <c r="B149" s="22" t="s">
        <v>55</v>
      </c>
      <c r="C149" s="23">
        <f>+SAM!Q14</f>
        <v>0</v>
      </c>
      <c r="D149" s="44">
        <f t="shared" si="39"/>
        <v>0</v>
      </c>
      <c r="E149" s="44">
        <f t="shared" si="39"/>
        <v>0</v>
      </c>
      <c r="F149" s="44">
        <f t="shared" si="39"/>
        <v>0</v>
      </c>
      <c r="G149" s="44">
        <f t="shared" si="39"/>
        <v>0</v>
      </c>
      <c r="H149" s="44">
        <f t="shared" si="39"/>
        <v>0</v>
      </c>
      <c r="I149" s="44">
        <f t="shared" si="39"/>
        <v>0</v>
      </c>
      <c r="J149" s="44">
        <f t="shared" si="39"/>
        <v>0</v>
      </c>
      <c r="K149" s="44">
        <f t="shared" si="39"/>
        <v>0</v>
      </c>
      <c r="L149" s="44">
        <f t="shared" si="39"/>
        <v>0</v>
      </c>
      <c r="M149" s="44">
        <f t="shared" si="39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0"/>
        <v>0</v>
      </c>
      <c r="U149" s="44">
        <f t="shared" si="40"/>
        <v>0</v>
      </c>
      <c r="V149" s="44">
        <f t="shared" si="40"/>
        <v>0</v>
      </c>
      <c r="W149" s="44">
        <f t="shared" si="40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</row>
    <row r="150" spans="1:31" x14ac:dyDescent="0.2">
      <c r="A150" s="50"/>
      <c r="B150" s="22" t="s">
        <v>56</v>
      </c>
      <c r="C150" s="14">
        <f>+SAM!Q15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50"/>
      <c r="B151" s="22" t="s">
        <v>57</v>
      </c>
      <c r="C151" s="23">
        <f>+SAM!Q16</f>
        <v>0</v>
      </c>
      <c r="D151" s="44">
        <f t="shared" si="39"/>
        <v>0</v>
      </c>
      <c r="E151" s="44">
        <f t="shared" si="39"/>
        <v>0</v>
      </c>
      <c r="F151" s="44">
        <f t="shared" si="39"/>
        <v>0</v>
      </c>
      <c r="G151" s="44">
        <f t="shared" si="39"/>
        <v>0</v>
      </c>
      <c r="H151" s="44">
        <f t="shared" si="39"/>
        <v>0</v>
      </c>
      <c r="I151" s="44">
        <f t="shared" si="39"/>
        <v>0</v>
      </c>
      <c r="J151" s="44">
        <f t="shared" si="39"/>
        <v>0</v>
      </c>
      <c r="K151" s="44">
        <f t="shared" si="39"/>
        <v>0</v>
      </c>
      <c r="L151" s="44">
        <f t="shared" si="39"/>
        <v>0</v>
      </c>
      <c r="M151" s="44">
        <f t="shared" si="39"/>
        <v>0</v>
      </c>
      <c r="N151" s="44">
        <f t="shared" si="40"/>
        <v>0</v>
      </c>
      <c r="O151" s="44">
        <f t="shared" si="40"/>
        <v>0</v>
      </c>
      <c r="P151" s="44">
        <f t="shared" si="40"/>
        <v>0</v>
      </c>
      <c r="Q151" s="44">
        <f t="shared" si="40"/>
        <v>0</v>
      </c>
      <c r="R151" s="44">
        <f t="shared" si="40"/>
        <v>0</v>
      </c>
      <c r="S151" s="44">
        <f t="shared" si="40"/>
        <v>0</v>
      </c>
      <c r="T151" s="44">
        <f t="shared" si="40"/>
        <v>0</v>
      </c>
      <c r="U151" s="44">
        <f t="shared" si="40"/>
        <v>0</v>
      </c>
      <c r="V151" s="44">
        <f t="shared" si="40"/>
        <v>0</v>
      </c>
      <c r="W151" s="44">
        <f t="shared" si="40"/>
        <v>0</v>
      </c>
      <c r="X151" s="44">
        <f t="shared" si="41"/>
        <v>0</v>
      </c>
      <c r="Y151" s="44">
        <f t="shared" si="41"/>
        <v>0</v>
      </c>
      <c r="Z151" s="44">
        <f t="shared" si="41"/>
        <v>0</v>
      </c>
      <c r="AA151" s="44">
        <f t="shared" si="41"/>
        <v>0</v>
      </c>
      <c r="AB151" s="44">
        <f t="shared" si="41"/>
        <v>0</v>
      </c>
      <c r="AC151" s="44">
        <f t="shared" si="41"/>
        <v>0</v>
      </c>
      <c r="AD151" s="44">
        <f t="shared" si="41"/>
        <v>0</v>
      </c>
      <c r="AE151" s="44">
        <f t="shared" si="41"/>
        <v>0</v>
      </c>
    </row>
    <row r="152" spans="1:31" x14ac:dyDescent="0.2">
      <c r="A152" s="50"/>
      <c r="B152" s="22" t="s">
        <v>58</v>
      </c>
      <c r="C152" s="23">
        <f>+SAM!Q17</f>
        <v>0</v>
      </c>
      <c r="D152" s="44">
        <f t="shared" si="39"/>
        <v>0</v>
      </c>
      <c r="E152" s="44">
        <f t="shared" si="39"/>
        <v>0</v>
      </c>
      <c r="F152" s="44">
        <f t="shared" si="39"/>
        <v>0</v>
      </c>
      <c r="G152" s="44">
        <f t="shared" si="39"/>
        <v>0</v>
      </c>
      <c r="H152" s="44">
        <f t="shared" si="39"/>
        <v>0</v>
      </c>
      <c r="I152" s="44">
        <f t="shared" si="39"/>
        <v>0</v>
      </c>
      <c r="J152" s="44">
        <f t="shared" si="39"/>
        <v>0</v>
      </c>
      <c r="K152" s="44">
        <f t="shared" si="39"/>
        <v>0</v>
      </c>
      <c r="L152" s="44">
        <f t="shared" si="39"/>
        <v>0</v>
      </c>
      <c r="M152" s="44">
        <f t="shared" si="39"/>
        <v>0</v>
      </c>
      <c r="N152" s="44">
        <f t="shared" si="40"/>
        <v>0</v>
      </c>
      <c r="O152" s="44">
        <f t="shared" si="40"/>
        <v>0</v>
      </c>
      <c r="P152" s="44">
        <f t="shared" si="40"/>
        <v>0</v>
      </c>
      <c r="Q152" s="44">
        <f t="shared" si="40"/>
        <v>0</v>
      </c>
      <c r="R152" s="44">
        <f t="shared" si="40"/>
        <v>0</v>
      </c>
      <c r="S152" s="44">
        <f t="shared" si="40"/>
        <v>0</v>
      </c>
      <c r="T152" s="44">
        <f t="shared" si="40"/>
        <v>0</v>
      </c>
      <c r="U152" s="44">
        <f t="shared" si="40"/>
        <v>0</v>
      </c>
      <c r="V152" s="44">
        <f t="shared" si="40"/>
        <v>0</v>
      </c>
      <c r="W152" s="44">
        <f t="shared" si="40"/>
        <v>0</v>
      </c>
      <c r="X152" s="44">
        <f t="shared" si="41"/>
        <v>0</v>
      </c>
      <c r="Y152" s="44">
        <f t="shared" si="41"/>
        <v>0</v>
      </c>
      <c r="Z152" s="44">
        <f t="shared" si="41"/>
        <v>0</v>
      </c>
      <c r="AA152" s="44">
        <f t="shared" si="41"/>
        <v>0</v>
      </c>
      <c r="AB152" s="44">
        <f t="shared" si="41"/>
        <v>0</v>
      </c>
      <c r="AC152" s="44">
        <f t="shared" si="41"/>
        <v>0</v>
      </c>
      <c r="AD152" s="44">
        <f t="shared" si="41"/>
        <v>0</v>
      </c>
      <c r="AE152" s="44">
        <f t="shared" si="41"/>
        <v>0</v>
      </c>
    </row>
    <row r="153" spans="1:31" x14ac:dyDescent="0.2">
      <c r="A153" s="50"/>
      <c r="B153" s="22" t="s">
        <v>59</v>
      </c>
      <c r="C153" s="14">
        <f>+SAM!Q18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50"/>
      <c r="B154" s="22" t="s">
        <v>60</v>
      </c>
      <c r="C154" s="14">
        <f>+SAM!Q19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50"/>
      <c r="B155" s="22" t="s">
        <v>61</v>
      </c>
      <c r="C155" s="14">
        <f>+SAM!Q20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50"/>
      <c r="B156" s="22" t="s">
        <v>62</v>
      </c>
      <c r="C156" s="14">
        <f>+SAM!Q21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50"/>
      <c r="B157" s="22" t="s">
        <v>63</v>
      </c>
      <c r="C157" s="14">
        <f>+SAM!Q22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50"/>
      <c r="B158" s="22" t="s">
        <v>64</v>
      </c>
      <c r="C158" s="14">
        <f>+SAM!Q23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50"/>
      <c r="B159" s="22" t="s">
        <v>65</v>
      </c>
      <c r="C159" s="14">
        <f>+SAM!Q24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50"/>
      <c r="B160" s="22" t="s">
        <v>66</v>
      </c>
      <c r="C160" s="14">
        <f>+SAM!Q25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50"/>
      <c r="B161" s="22" t="s">
        <v>67</v>
      </c>
      <c r="C161" s="14">
        <f>+SAM!Q26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50"/>
      <c r="B162" s="22" t="s">
        <v>68</v>
      </c>
      <c r="C162" s="14">
        <f>+SAM!Q27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50"/>
      <c r="B163" s="22" t="s">
        <v>69</v>
      </c>
      <c r="C163" s="14">
        <f>+SAM!Q28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50"/>
      <c r="B164" s="22" t="s">
        <v>70</v>
      </c>
      <c r="C164" s="14">
        <f>+SAM!Q29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50"/>
      <c r="B165" s="22" t="s">
        <v>71</v>
      </c>
      <c r="C165" s="23">
        <f>+SAM!Q30</f>
        <v>0</v>
      </c>
      <c r="D165" s="44">
        <f t="shared" si="42"/>
        <v>0</v>
      </c>
      <c r="E165" s="44">
        <f t="shared" si="42"/>
        <v>0</v>
      </c>
      <c r="F165" s="44">
        <f t="shared" si="42"/>
        <v>0</v>
      </c>
      <c r="G165" s="44">
        <f t="shared" si="42"/>
        <v>0</v>
      </c>
      <c r="H165" s="44">
        <f t="shared" si="42"/>
        <v>0</v>
      </c>
      <c r="I165" s="44">
        <f t="shared" si="42"/>
        <v>0</v>
      </c>
      <c r="J165" s="44">
        <f t="shared" si="42"/>
        <v>0</v>
      </c>
      <c r="K165" s="44">
        <f t="shared" si="42"/>
        <v>0</v>
      </c>
      <c r="L165" s="44">
        <f t="shared" si="42"/>
        <v>0</v>
      </c>
      <c r="M165" s="44">
        <f t="shared" si="42"/>
        <v>0</v>
      </c>
      <c r="N165" s="44">
        <f t="shared" si="43"/>
        <v>0</v>
      </c>
      <c r="O165" s="44">
        <f t="shared" si="43"/>
        <v>0</v>
      </c>
      <c r="P165" s="44">
        <f t="shared" si="43"/>
        <v>0</v>
      </c>
      <c r="Q165" s="44">
        <f t="shared" si="43"/>
        <v>0</v>
      </c>
      <c r="R165" s="44">
        <f t="shared" si="43"/>
        <v>0</v>
      </c>
      <c r="S165" s="44">
        <f t="shared" si="43"/>
        <v>0</v>
      </c>
      <c r="T165" s="44">
        <f t="shared" si="43"/>
        <v>0</v>
      </c>
      <c r="U165" s="44">
        <f t="shared" si="43"/>
        <v>0</v>
      </c>
      <c r="V165" s="44">
        <f t="shared" si="43"/>
        <v>0</v>
      </c>
      <c r="W165" s="44">
        <f t="shared" si="43"/>
        <v>0</v>
      </c>
      <c r="X165" s="44">
        <f t="shared" si="44"/>
        <v>0</v>
      </c>
      <c r="Y165" s="44">
        <f t="shared" si="44"/>
        <v>0</v>
      </c>
      <c r="Z165" s="44">
        <f t="shared" si="44"/>
        <v>0</v>
      </c>
      <c r="AA165" s="44">
        <f t="shared" si="44"/>
        <v>0</v>
      </c>
      <c r="AB165" s="44">
        <f t="shared" si="44"/>
        <v>0</v>
      </c>
      <c r="AC165" s="44">
        <f t="shared" si="44"/>
        <v>0</v>
      </c>
      <c r="AD165" s="44">
        <f t="shared" si="44"/>
        <v>0</v>
      </c>
      <c r="AE165" s="44">
        <f t="shared" si="44"/>
        <v>0</v>
      </c>
    </row>
    <row r="166" spans="1:31" x14ac:dyDescent="0.2">
      <c r="A166" s="50"/>
      <c r="B166" s="22" t="s">
        <v>72</v>
      </c>
      <c r="C166" s="14">
        <f>+SAM!Q31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50"/>
      <c r="B167" s="22" t="s">
        <v>73</v>
      </c>
      <c r="C167" s="14">
        <f>+SAM!Q32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50"/>
      <c r="B168" s="22" t="s">
        <v>74</v>
      </c>
      <c r="C168" s="14">
        <f>+SAM!Q33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50"/>
      <c r="B169" s="22" t="s">
        <v>75</v>
      </c>
      <c r="C169" s="14">
        <f>+SAM!Q34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50"/>
      <c r="B170" s="22" t="s">
        <v>76</v>
      </c>
      <c r="C170" s="14">
        <f>+SAM!Q35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50"/>
      <c r="B171" s="22" t="s">
        <v>77</v>
      </c>
      <c r="C171" s="14">
        <f>+SAM!Q36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50"/>
      <c r="B172" s="22" t="s">
        <v>78</v>
      </c>
      <c r="C172" s="23">
        <f>+SAM!Q37</f>
        <v>0</v>
      </c>
      <c r="D172" s="44">
        <f t="shared" si="45"/>
        <v>0</v>
      </c>
      <c r="E172" s="44">
        <f t="shared" si="45"/>
        <v>0</v>
      </c>
      <c r="F172" s="44">
        <f t="shared" si="45"/>
        <v>0</v>
      </c>
      <c r="G172" s="44">
        <f t="shared" si="45"/>
        <v>0</v>
      </c>
      <c r="H172" s="44">
        <f t="shared" si="45"/>
        <v>0</v>
      </c>
      <c r="I172" s="44">
        <f t="shared" si="45"/>
        <v>0</v>
      </c>
      <c r="J172" s="44">
        <f t="shared" si="45"/>
        <v>0</v>
      </c>
      <c r="K172" s="44">
        <f t="shared" si="45"/>
        <v>0</v>
      </c>
      <c r="L172" s="44">
        <f t="shared" si="45"/>
        <v>0</v>
      </c>
      <c r="M172" s="44">
        <f t="shared" si="45"/>
        <v>0</v>
      </c>
      <c r="N172" s="44">
        <f t="shared" si="46"/>
        <v>0</v>
      </c>
      <c r="O172" s="44">
        <f t="shared" si="46"/>
        <v>0</v>
      </c>
      <c r="P172" s="44">
        <f t="shared" si="46"/>
        <v>0</v>
      </c>
      <c r="Q172" s="44">
        <f t="shared" si="46"/>
        <v>0</v>
      </c>
      <c r="R172" s="44">
        <f t="shared" si="46"/>
        <v>0</v>
      </c>
      <c r="S172" s="44">
        <f t="shared" si="46"/>
        <v>0</v>
      </c>
      <c r="T172" s="44">
        <f t="shared" si="46"/>
        <v>0</v>
      </c>
      <c r="U172" s="44">
        <f t="shared" si="46"/>
        <v>0</v>
      </c>
      <c r="V172" s="44">
        <f t="shared" si="46"/>
        <v>0</v>
      </c>
      <c r="W172" s="44">
        <f t="shared" si="46"/>
        <v>0</v>
      </c>
      <c r="X172" s="44">
        <f t="shared" si="47"/>
        <v>0</v>
      </c>
      <c r="Y172" s="44">
        <f t="shared" si="47"/>
        <v>0</v>
      </c>
      <c r="Z172" s="44">
        <f t="shared" si="47"/>
        <v>0</v>
      </c>
      <c r="AA172" s="44">
        <f t="shared" si="47"/>
        <v>0</v>
      </c>
      <c r="AB172" s="44">
        <f t="shared" si="47"/>
        <v>0</v>
      </c>
      <c r="AC172" s="44">
        <f t="shared" si="47"/>
        <v>0</v>
      </c>
      <c r="AD172" s="44">
        <f t="shared" si="47"/>
        <v>0</v>
      </c>
      <c r="AE172" s="44">
        <f t="shared" si="47"/>
        <v>0</v>
      </c>
    </row>
    <row r="173" spans="1:31" x14ac:dyDescent="0.2">
      <c r="A173" s="50"/>
      <c r="B173" s="22" t="s">
        <v>79</v>
      </c>
      <c r="C173" s="14">
        <f>+SAM!Q38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50"/>
      <c r="B174" s="22" t="s">
        <v>80</v>
      </c>
      <c r="C174" s="14">
        <f>+SAM!Q39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50"/>
      <c r="B175" s="22" t="s">
        <v>81</v>
      </c>
      <c r="C175" s="14">
        <f>+SAM!Q40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51"/>
      <c r="B176" s="32" t="s">
        <v>82</v>
      </c>
      <c r="C176" s="34">
        <f>+SAM!Q41</f>
        <v>0</v>
      </c>
      <c r="D176" s="45">
        <f t="shared" si="45"/>
        <v>0</v>
      </c>
      <c r="E176" s="45">
        <f t="shared" si="45"/>
        <v>0</v>
      </c>
      <c r="F176" s="45">
        <f t="shared" si="45"/>
        <v>0</v>
      </c>
      <c r="G176" s="45">
        <f t="shared" si="45"/>
        <v>0</v>
      </c>
      <c r="H176" s="45">
        <f t="shared" si="45"/>
        <v>0</v>
      </c>
      <c r="I176" s="45">
        <f t="shared" si="45"/>
        <v>0</v>
      </c>
      <c r="J176" s="45">
        <f t="shared" si="45"/>
        <v>0</v>
      </c>
      <c r="K176" s="45">
        <f t="shared" si="45"/>
        <v>0</v>
      </c>
      <c r="L176" s="45">
        <f t="shared" si="45"/>
        <v>0</v>
      </c>
      <c r="M176" s="45">
        <f t="shared" si="45"/>
        <v>0</v>
      </c>
      <c r="N176" s="45">
        <f t="shared" si="46"/>
        <v>0</v>
      </c>
      <c r="O176" s="45">
        <f t="shared" si="46"/>
        <v>0</v>
      </c>
      <c r="P176" s="45">
        <f t="shared" si="46"/>
        <v>0</v>
      </c>
      <c r="Q176" s="45">
        <f t="shared" si="46"/>
        <v>0</v>
      </c>
      <c r="R176" s="45">
        <f t="shared" si="46"/>
        <v>0</v>
      </c>
      <c r="S176" s="45">
        <f t="shared" si="46"/>
        <v>0</v>
      </c>
      <c r="T176" s="45">
        <f t="shared" si="46"/>
        <v>0</v>
      </c>
      <c r="U176" s="45">
        <f t="shared" si="46"/>
        <v>0</v>
      </c>
      <c r="V176" s="45">
        <f t="shared" si="46"/>
        <v>0</v>
      </c>
      <c r="W176" s="45">
        <f t="shared" si="46"/>
        <v>0</v>
      </c>
      <c r="X176" s="45">
        <f t="shared" si="47"/>
        <v>0</v>
      </c>
      <c r="Y176" s="45">
        <f t="shared" si="47"/>
        <v>0</v>
      </c>
      <c r="Z176" s="45">
        <f t="shared" si="47"/>
        <v>0</v>
      </c>
      <c r="AA176" s="45">
        <f t="shared" si="47"/>
        <v>0</v>
      </c>
      <c r="AB176" s="45">
        <f t="shared" si="47"/>
        <v>0</v>
      </c>
      <c r="AC176" s="45">
        <f t="shared" si="47"/>
        <v>0</v>
      </c>
      <c r="AD176" s="45">
        <f t="shared" si="47"/>
        <v>0</v>
      </c>
      <c r="AE176" s="45">
        <f t="shared" si="47"/>
        <v>0</v>
      </c>
    </row>
    <row r="177" spans="1:31" ht="16" customHeight="1" thickTop="1" x14ac:dyDescent="0.2">
      <c r="A177" s="54" t="s">
        <v>34</v>
      </c>
      <c r="B177" s="22" t="s">
        <v>43</v>
      </c>
      <c r="C177" s="14">
        <f>+SAM!U2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50"/>
      <c r="B178" s="22" t="s">
        <v>44</v>
      </c>
      <c r="C178" s="14">
        <f>+SAM!U3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50"/>
      <c r="B179" s="22" t="s">
        <v>45</v>
      </c>
      <c r="C179" s="14">
        <f>+SAM!U4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50"/>
      <c r="B180" s="22" t="s">
        <v>46</v>
      </c>
      <c r="C180" s="14">
        <f>+SAM!U5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50"/>
      <c r="B181" s="22" t="s">
        <v>47</v>
      </c>
      <c r="C181" s="14">
        <f>+SAM!U6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50"/>
      <c r="B182" s="22" t="s">
        <v>48</v>
      </c>
      <c r="C182" s="14">
        <f>+SAM!U7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50"/>
      <c r="B183" s="22" t="s">
        <v>49</v>
      </c>
      <c r="C183" s="14">
        <f>+SAM!U8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50"/>
      <c r="B184" s="22" t="s">
        <v>50</v>
      </c>
      <c r="C184" s="14">
        <f>+SAM!U9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50"/>
      <c r="B185" s="22" t="s">
        <v>51</v>
      </c>
      <c r="C185" s="14">
        <f>+SAM!U10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50"/>
      <c r="B186" s="22" t="s">
        <v>52</v>
      </c>
      <c r="C186" s="23">
        <f>+SAM!U11</f>
        <v>0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0</v>
      </c>
      <c r="H186" s="44">
        <f t="shared" si="48"/>
        <v>0</v>
      </c>
      <c r="I186" s="44">
        <f t="shared" si="48"/>
        <v>0</v>
      </c>
      <c r="J186" s="44">
        <f t="shared" si="48"/>
        <v>0</v>
      </c>
      <c r="K186" s="44">
        <f t="shared" si="48"/>
        <v>0</v>
      </c>
      <c r="L186" s="44">
        <f t="shared" si="48"/>
        <v>0</v>
      </c>
      <c r="M186" s="44">
        <f t="shared" si="48"/>
        <v>0</v>
      </c>
      <c r="N186" s="44">
        <f t="shared" si="49"/>
        <v>0</v>
      </c>
      <c r="O186" s="44">
        <f t="shared" si="49"/>
        <v>0</v>
      </c>
      <c r="P186" s="44">
        <f t="shared" si="49"/>
        <v>0</v>
      </c>
      <c r="Q186" s="44">
        <f t="shared" si="49"/>
        <v>0</v>
      </c>
      <c r="R186" s="44">
        <f t="shared" si="49"/>
        <v>0</v>
      </c>
      <c r="S186" s="44">
        <f t="shared" si="49"/>
        <v>0</v>
      </c>
      <c r="T186" s="44">
        <f t="shared" si="49"/>
        <v>0</v>
      </c>
      <c r="U186" s="44">
        <f t="shared" si="49"/>
        <v>0</v>
      </c>
      <c r="V186" s="44">
        <f t="shared" si="49"/>
        <v>0</v>
      </c>
      <c r="W186" s="44">
        <f t="shared" si="49"/>
        <v>0</v>
      </c>
      <c r="X186" s="44">
        <f t="shared" si="50"/>
        <v>0</v>
      </c>
      <c r="Y186" s="44">
        <f t="shared" si="50"/>
        <v>0</v>
      </c>
      <c r="Z186" s="44">
        <f t="shared" si="50"/>
        <v>0</v>
      </c>
      <c r="AA186" s="44">
        <f t="shared" si="50"/>
        <v>0</v>
      </c>
      <c r="AB186" s="44">
        <f t="shared" si="50"/>
        <v>0</v>
      </c>
      <c r="AC186" s="44">
        <f t="shared" si="50"/>
        <v>0</v>
      </c>
      <c r="AD186" s="44">
        <f t="shared" si="50"/>
        <v>0</v>
      </c>
      <c r="AE186" s="44">
        <f t="shared" si="50"/>
        <v>0</v>
      </c>
    </row>
    <row r="187" spans="1:31" x14ac:dyDescent="0.2">
      <c r="A187" s="50"/>
      <c r="B187" s="22" t="s">
        <v>53</v>
      </c>
      <c r="C187" s="14">
        <f>+SAM!U12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50"/>
      <c r="B188" s="22" t="s">
        <v>54</v>
      </c>
      <c r="C188" s="14">
        <f>+SAM!U13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50"/>
      <c r="B189" s="22" t="s">
        <v>55</v>
      </c>
      <c r="C189" s="23">
        <f>+SAM!U14</f>
        <v>0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0</v>
      </c>
      <c r="H189" s="44">
        <f t="shared" si="51"/>
        <v>0</v>
      </c>
      <c r="I189" s="44">
        <f t="shared" si="51"/>
        <v>0</v>
      </c>
      <c r="J189" s="44">
        <f t="shared" si="51"/>
        <v>0</v>
      </c>
      <c r="K189" s="44">
        <f t="shared" si="51"/>
        <v>0</v>
      </c>
      <c r="L189" s="44">
        <f t="shared" si="51"/>
        <v>0</v>
      </c>
      <c r="M189" s="44">
        <f t="shared" si="51"/>
        <v>0</v>
      </c>
      <c r="N189" s="44">
        <f t="shared" si="52"/>
        <v>0</v>
      </c>
      <c r="O189" s="44">
        <f t="shared" si="52"/>
        <v>0</v>
      </c>
      <c r="P189" s="44">
        <f t="shared" si="52"/>
        <v>0</v>
      </c>
      <c r="Q189" s="44">
        <f t="shared" si="52"/>
        <v>0</v>
      </c>
      <c r="R189" s="44">
        <f t="shared" si="52"/>
        <v>0</v>
      </c>
      <c r="S189" s="44">
        <f t="shared" si="52"/>
        <v>0</v>
      </c>
      <c r="T189" s="44">
        <f t="shared" si="52"/>
        <v>0</v>
      </c>
      <c r="U189" s="44">
        <f t="shared" si="52"/>
        <v>0</v>
      </c>
      <c r="V189" s="44">
        <f t="shared" si="52"/>
        <v>0</v>
      </c>
      <c r="W189" s="44">
        <f t="shared" si="52"/>
        <v>0</v>
      </c>
      <c r="X189" s="44">
        <f t="shared" si="53"/>
        <v>0</v>
      </c>
      <c r="Y189" s="44">
        <f t="shared" si="53"/>
        <v>0</v>
      </c>
      <c r="Z189" s="44">
        <f t="shared" si="53"/>
        <v>0</v>
      </c>
      <c r="AA189" s="44">
        <f t="shared" si="53"/>
        <v>0</v>
      </c>
      <c r="AB189" s="44">
        <f t="shared" si="53"/>
        <v>0</v>
      </c>
      <c r="AC189" s="44">
        <f t="shared" si="53"/>
        <v>0</v>
      </c>
      <c r="AD189" s="44">
        <f t="shared" si="53"/>
        <v>0</v>
      </c>
      <c r="AE189" s="44">
        <f t="shared" si="53"/>
        <v>0</v>
      </c>
    </row>
    <row r="190" spans="1:31" x14ac:dyDescent="0.2">
      <c r="A190" s="50"/>
      <c r="B190" s="22" t="s">
        <v>56</v>
      </c>
      <c r="C190" s="14">
        <f>+SAM!U15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50"/>
      <c r="B191" s="22" t="s">
        <v>57</v>
      </c>
      <c r="C191" s="14">
        <f>+SAM!U16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50"/>
      <c r="B192" s="22" t="s">
        <v>58</v>
      </c>
      <c r="C192" s="23">
        <f>+SAM!U17</f>
        <v>0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0</v>
      </c>
      <c r="H192" s="44">
        <f t="shared" si="51"/>
        <v>0</v>
      </c>
      <c r="I192" s="44">
        <f t="shared" si="51"/>
        <v>0</v>
      </c>
      <c r="J192" s="44">
        <f t="shared" si="51"/>
        <v>0</v>
      </c>
      <c r="K192" s="44">
        <f t="shared" si="51"/>
        <v>0</v>
      </c>
      <c r="L192" s="44">
        <f t="shared" si="51"/>
        <v>0</v>
      </c>
      <c r="M192" s="44">
        <f t="shared" si="51"/>
        <v>0</v>
      </c>
      <c r="N192" s="44">
        <f t="shared" si="52"/>
        <v>0</v>
      </c>
      <c r="O192" s="44">
        <f t="shared" si="52"/>
        <v>0</v>
      </c>
      <c r="P192" s="44">
        <f t="shared" si="52"/>
        <v>0</v>
      </c>
      <c r="Q192" s="44">
        <f t="shared" si="52"/>
        <v>0</v>
      </c>
      <c r="R192" s="44">
        <f t="shared" si="52"/>
        <v>0</v>
      </c>
      <c r="S192" s="44">
        <f t="shared" si="52"/>
        <v>0</v>
      </c>
      <c r="T192" s="44">
        <f t="shared" si="52"/>
        <v>0</v>
      </c>
      <c r="U192" s="44">
        <f t="shared" si="52"/>
        <v>0</v>
      </c>
      <c r="V192" s="44">
        <f t="shared" si="52"/>
        <v>0</v>
      </c>
      <c r="W192" s="44">
        <f t="shared" si="52"/>
        <v>0</v>
      </c>
      <c r="X192" s="44">
        <f t="shared" si="53"/>
        <v>0</v>
      </c>
      <c r="Y192" s="44">
        <f t="shared" si="53"/>
        <v>0</v>
      </c>
      <c r="Z192" s="44">
        <f t="shared" si="53"/>
        <v>0</v>
      </c>
      <c r="AA192" s="44">
        <f t="shared" si="53"/>
        <v>0</v>
      </c>
      <c r="AB192" s="44">
        <f t="shared" si="53"/>
        <v>0</v>
      </c>
      <c r="AC192" s="44">
        <f t="shared" si="53"/>
        <v>0</v>
      </c>
      <c r="AD192" s="44">
        <f t="shared" si="53"/>
        <v>0</v>
      </c>
      <c r="AE192" s="44">
        <f t="shared" si="53"/>
        <v>0</v>
      </c>
    </row>
    <row r="193" spans="1:31" x14ac:dyDescent="0.2">
      <c r="A193" s="50"/>
      <c r="B193" s="22" t="s">
        <v>59</v>
      </c>
      <c r="C193" s="14">
        <f>+SAM!U18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50"/>
      <c r="B194" s="22" t="s">
        <v>60</v>
      </c>
      <c r="C194" s="14">
        <f>+SAM!U19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50"/>
      <c r="B195" s="22" t="s">
        <v>61</v>
      </c>
      <c r="C195" s="14">
        <f>+SAM!U20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50"/>
      <c r="B196" s="22" t="s">
        <v>62</v>
      </c>
      <c r="C196" s="14">
        <f>+SAM!U21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50"/>
      <c r="B197" s="22" t="s">
        <v>63</v>
      </c>
      <c r="C197" s="14">
        <f>+SAM!U22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50"/>
      <c r="B198" s="22" t="s">
        <v>64</v>
      </c>
      <c r="C198" s="14">
        <f>+SAM!U23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50"/>
      <c r="B199" s="22" t="s">
        <v>65</v>
      </c>
      <c r="C199" s="14">
        <f>+SAM!U24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50"/>
      <c r="B200" s="22" t="s">
        <v>66</v>
      </c>
      <c r="C200" s="14">
        <f>+SAM!U25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50"/>
      <c r="B201" s="22" t="s">
        <v>67</v>
      </c>
      <c r="C201" s="14">
        <f>+SAM!U26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50"/>
      <c r="B202" s="22" t="s">
        <v>68</v>
      </c>
      <c r="C202" s="14">
        <f>+SAM!U27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50"/>
      <c r="B203" s="22" t="s">
        <v>69</v>
      </c>
      <c r="C203" s="14">
        <f>+SAM!U28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50"/>
      <c r="B204" s="22" t="s">
        <v>70</v>
      </c>
      <c r="C204" s="14">
        <f>+SAM!U29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50"/>
      <c r="B205" s="22" t="s">
        <v>71</v>
      </c>
      <c r="C205" s="23">
        <f>+SAM!U30</f>
        <v>0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0</v>
      </c>
      <c r="H205" s="44">
        <f t="shared" si="54"/>
        <v>0</v>
      </c>
      <c r="I205" s="44">
        <f t="shared" si="54"/>
        <v>0</v>
      </c>
      <c r="J205" s="44">
        <f t="shared" si="54"/>
        <v>0</v>
      </c>
      <c r="K205" s="44">
        <f t="shared" si="54"/>
        <v>0</v>
      </c>
      <c r="L205" s="44">
        <f t="shared" si="54"/>
        <v>0</v>
      </c>
      <c r="M205" s="44">
        <f t="shared" si="54"/>
        <v>0</v>
      </c>
      <c r="N205" s="44">
        <f t="shared" si="55"/>
        <v>0</v>
      </c>
      <c r="O205" s="44">
        <f t="shared" si="55"/>
        <v>0</v>
      </c>
      <c r="P205" s="44">
        <f t="shared" si="55"/>
        <v>0</v>
      </c>
      <c r="Q205" s="44">
        <f t="shared" si="55"/>
        <v>0</v>
      </c>
      <c r="R205" s="44">
        <f t="shared" si="55"/>
        <v>0</v>
      </c>
      <c r="S205" s="44">
        <f t="shared" si="55"/>
        <v>0</v>
      </c>
      <c r="T205" s="44">
        <f t="shared" si="55"/>
        <v>0</v>
      </c>
      <c r="U205" s="44">
        <f t="shared" si="55"/>
        <v>0</v>
      </c>
      <c r="V205" s="44">
        <f t="shared" si="55"/>
        <v>0</v>
      </c>
      <c r="W205" s="44">
        <f t="shared" si="55"/>
        <v>0</v>
      </c>
      <c r="X205" s="44">
        <f t="shared" si="56"/>
        <v>0</v>
      </c>
      <c r="Y205" s="44">
        <f t="shared" si="56"/>
        <v>0</v>
      </c>
      <c r="Z205" s="44">
        <f t="shared" si="56"/>
        <v>0</v>
      </c>
      <c r="AA205" s="44">
        <f t="shared" si="56"/>
        <v>0</v>
      </c>
      <c r="AB205" s="44">
        <f t="shared" si="56"/>
        <v>0</v>
      </c>
      <c r="AC205" s="44">
        <f t="shared" si="56"/>
        <v>0</v>
      </c>
      <c r="AD205" s="44">
        <f t="shared" si="56"/>
        <v>0</v>
      </c>
      <c r="AE205" s="44">
        <f t="shared" si="56"/>
        <v>0</v>
      </c>
    </row>
    <row r="206" spans="1:31" x14ac:dyDescent="0.2">
      <c r="A206" s="50"/>
      <c r="B206" s="22" t="s">
        <v>72</v>
      </c>
      <c r="C206" s="14">
        <f>+SAM!U31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50"/>
      <c r="B207" s="22" t="s">
        <v>73</v>
      </c>
      <c r="C207" s="14">
        <f>+SAM!U32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50"/>
      <c r="B208" s="22" t="s">
        <v>74</v>
      </c>
      <c r="C208" s="14">
        <f>+SAM!U33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50"/>
      <c r="B209" s="22" t="s">
        <v>75</v>
      </c>
      <c r="C209" s="14">
        <f>+SAM!U34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50"/>
      <c r="B210" s="22" t="s">
        <v>76</v>
      </c>
      <c r="C210" s="14">
        <f>+SAM!U35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50"/>
      <c r="B211" s="22" t="s">
        <v>77</v>
      </c>
      <c r="C211" s="14">
        <f>+SAM!U36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50"/>
      <c r="B212" s="22" t="s">
        <v>78</v>
      </c>
      <c r="C212" s="23">
        <f>+SAM!U37</f>
        <v>0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0</v>
      </c>
      <c r="H212" s="44">
        <f t="shared" si="57"/>
        <v>0</v>
      </c>
      <c r="I212" s="44">
        <f t="shared" si="57"/>
        <v>0</v>
      </c>
      <c r="J212" s="44">
        <f t="shared" si="57"/>
        <v>0</v>
      </c>
      <c r="K212" s="44">
        <f t="shared" si="57"/>
        <v>0</v>
      </c>
      <c r="L212" s="44">
        <f t="shared" si="57"/>
        <v>0</v>
      </c>
      <c r="M212" s="44">
        <f t="shared" si="57"/>
        <v>0</v>
      </c>
      <c r="N212" s="44">
        <f t="shared" si="58"/>
        <v>0</v>
      </c>
      <c r="O212" s="44">
        <f t="shared" si="58"/>
        <v>0</v>
      </c>
      <c r="P212" s="44">
        <f t="shared" si="58"/>
        <v>0</v>
      </c>
      <c r="Q212" s="44">
        <f t="shared" si="58"/>
        <v>0</v>
      </c>
      <c r="R212" s="44">
        <f t="shared" si="58"/>
        <v>0</v>
      </c>
      <c r="S212" s="44">
        <f t="shared" si="58"/>
        <v>0</v>
      </c>
      <c r="T212" s="44">
        <f t="shared" si="58"/>
        <v>0</v>
      </c>
      <c r="U212" s="44">
        <f t="shared" si="58"/>
        <v>0</v>
      </c>
      <c r="V212" s="44">
        <f t="shared" si="58"/>
        <v>0</v>
      </c>
      <c r="W212" s="44">
        <f t="shared" si="58"/>
        <v>0</v>
      </c>
      <c r="X212" s="44">
        <f t="shared" si="59"/>
        <v>0</v>
      </c>
      <c r="Y212" s="44">
        <f t="shared" si="59"/>
        <v>0</v>
      </c>
      <c r="Z212" s="44">
        <f t="shared" si="59"/>
        <v>0</v>
      </c>
      <c r="AA212" s="44">
        <f t="shared" si="59"/>
        <v>0</v>
      </c>
      <c r="AB212" s="44">
        <f t="shared" si="59"/>
        <v>0</v>
      </c>
      <c r="AC212" s="44">
        <f t="shared" si="59"/>
        <v>0</v>
      </c>
      <c r="AD212" s="44">
        <f t="shared" si="59"/>
        <v>0</v>
      </c>
      <c r="AE212" s="44">
        <f t="shared" si="59"/>
        <v>0</v>
      </c>
    </row>
    <row r="213" spans="1:31" x14ac:dyDescent="0.2">
      <c r="A213" s="50"/>
      <c r="B213" s="22" t="s">
        <v>79</v>
      </c>
      <c r="C213" s="14">
        <f>+SAM!U38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50"/>
      <c r="B214" s="22" t="s">
        <v>80</v>
      </c>
      <c r="C214" s="14">
        <f>+SAM!U39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50"/>
      <c r="B215" s="22" t="s">
        <v>81</v>
      </c>
      <c r="C215" s="14">
        <f>+SAM!U40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51"/>
      <c r="B216" s="32" t="s">
        <v>82</v>
      </c>
      <c r="C216" s="34">
        <f>+SAM!U41</f>
        <v>0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0</v>
      </c>
      <c r="H216" s="45">
        <f t="shared" si="57"/>
        <v>0</v>
      </c>
      <c r="I216" s="45">
        <f t="shared" si="57"/>
        <v>0</v>
      </c>
      <c r="J216" s="45">
        <f t="shared" si="57"/>
        <v>0</v>
      </c>
      <c r="K216" s="45">
        <f t="shared" si="57"/>
        <v>0</v>
      </c>
      <c r="L216" s="45">
        <f t="shared" si="57"/>
        <v>0</v>
      </c>
      <c r="M216" s="45">
        <f t="shared" si="57"/>
        <v>0</v>
      </c>
      <c r="N216" s="45">
        <f t="shared" si="58"/>
        <v>0</v>
      </c>
      <c r="O216" s="45">
        <f t="shared" si="58"/>
        <v>0</v>
      </c>
      <c r="P216" s="45">
        <f t="shared" si="58"/>
        <v>0</v>
      </c>
      <c r="Q216" s="45">
        <f t="shared" si="58"/>
        <v>0</v>
      </c>
      <c r="R216" s="45">
        <f t="shared" si="58"/>
        <v>0</v>
      </c>
      <c r="S216" s="45">
        <f t="shared" si="58"/>
        <v>0</v>
      </c>
      <c r="T216" s="45">
        <f t="shared" si="58"/>
        <v>0</v>
      </c>
      <c r="U216" s="45">
        <f t="shared" si="58"/>
        <v>0</v>
      </c>
      <c r="V216" s="45">
        <f t="shared" si="58"/>
        <v>0</v>
      </c>
      <c r="W216" s="45">
        <f t="shared" si="58"/>
        <v>0</v>
      </c>
      <c r="X216" s="45">
        <f t="shared" si="59"/>
        <v>0</v>
      </c>
      <c r="Y216" s="45">
        <f t="shared" si="59"/>
        <v>0</v>
      </c>
      <c r="Z216" s="45">
        <f t="shared" si="59"/>
        <v>0</v>
      </c>
      <c r="AA216" s="45">
        <f t="shared" si="59"/>
        <v>0</v>
      </c>
      <c r="AB216" s="45">
        <f t="shared" si="59"/>
        <v>0</v>
      </c>
      <c r="AC216" s="45">
        <f t="shared" si="59"/>
        <v>0</v>
      </c>
      <c r="AD216" s="45">
        <f t="shared" si="59"/>
        <v>0</v>
      </c>
      <c r="AE216" s="45">
        <f t="shared" si="59"/>
        <v>0</v>
      </c>
    </row>
    <row r="217" spans="1:31" ht="16" customHeight="1" thickTop="1" x14ac:dyDescent="0.2">
      <c r="A217" s="54" t="s">
        <v>35</v>
      </c>
      <c r="B217" s="22" t="s">
        <v>43</v>
      </c>
      <c r="C217" s="14">
        <f>+SAM!Y2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50"/>
      <c r="B218" s="22" t="s">
        <v>44</v>
      </c>
      <c r="C218" s="14">
        <f>+SAM!Y3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50"/>
      <c r="B219" s="22" t="s">
        <v>45</v>
      </c>
      <c r="C219" s="14">
        <f>+SAM!Y4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50"/>
      <c r="B220" s="22" t="s">
        <v>46</v>
      </c>
      <c r="C220" s="14">
        <f>+SAM!Y5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50"/>
      <c r="B221" s="22" t="s">
        <v>47</v>
      </c>
      <c r="C221" s="14">
        <f>+SAM!Y6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50"/>
      <c r="B222" s="22" t="s">
        <v>48</v>
      </c>
      <c r="C222" s="14">
        <f>+SAM!Y7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50"/>
      <c r="B223" s="22" t="s">
        <v>49</v>
      </c>
      <c r="C223" s="14">
        <f>+SAM!Y8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50"/>
      <c r="B224" s="22" t="s">
        <v>50</v>
      </c>
      <c r="C224" s="14">
        <f>+SAM!Y9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50"/>
      <c r="B225" s="22" t="s">
        <v>51</v>
      </c>
      <c r="C225" s="14">
        <f>+SAM!Y10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50"/>
      <c r="B226" s="22" t="s">
        <v>52</v>
      </c>
      <c r="C226" s="14">
        <f>+SAM!Y11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50"/>
      <c r="B227" s="22" t="s">
        <v>53</v>
      </c>
      <c r="C227" s="14">
        <f>+SAM!Y12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50"/>
      <c r="B228" s="22" t="s">
        <v>54</v>
      </c>
      <c r="C228" s="14">
        <f>+SAM!Y13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50"/>
      <c r="B229" s="22" t="s">
        <v>55</v>
      </c>
      <c r="C229" s="14">
        <f>+SAM!Y14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50"/>
      <c r="B230" s="22" t="s">
        <v>56</v>
      </c>
      <c r="C230" s="14">
        <f>+SAM!Y15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50"/>
      <c r="B231" s="22" t="s">
        <v>57</v>
      </c>
      <c r="C231" s="14">
        <f>+SAM!Y16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50"/>
      <c r="B232" s="22" t="s">
        <v>58</v>
      </c>
      <c r="C232" s="23">
        <f>+SAM!Y17</f>
        <v>0</v>
      </c>
      <c r="D232" s="44">
        <f t="shared" si="63"/>
        <v>0</v>
      </c>
      <c r="E232" s="44">
        <f t="shared" si="63"/>
        <v>0</v>
      </c>
      <c r="F232" s="44">
        <f t="shared" si="63"/>
        <v>0</v>
      </c>
      <c r="G232" s="44">
        <f t="shared" si="63"/>
        <v>0</v>
      </c>
      <c r="H232" s="44">
        <f t="shared" si="63"/>
        <v>0</v>
      </c>
      <c r="I232" s="44">
        <f t="shared" si="63"/>
        <v>0</v>
      </c>
      <c r="J232" s="44">
        <f t="shared" si="63"/>
        <v>0</v>
      </c>
      <c r="K232" s="44">
        <f t="shared" si="63"/>
        <v>0</v>
      </c>
      <c r="L232" s="44">
        <f t="shared" si="63"/>
        <v>0</v>
      </c>
      <c r="M232" s="44">
        <f t="shared" si="63"/>
        <v>0</v>
      </c>
      <c r="N232" s="44">
        <f t="shared" si="64"/>
        <v>0</v>
      </c>
      <c r="O232" s="44">
        <f t="shared" si="64"/>
        <v>0</v>
      </c>
      <c r="P232" s="44">
        <f t="shared" si="64"/>
        <v>0</v>
      </c>
      <c r="Q232" s="44">
        <f t="shared" si="64"/>
        <v>0</v>
      </c>
      <c r="R232" s="44">
        <f t="shared" si="64"/>
        <v>0</v>
      </c>
      <c r="S232" s="44">
        <f t="shared" si="64"/>
        <v>0</v>
      </c>
      <c r="T232" s="44">
        <f t="shared" si="64"/>
        <v>0</v>
      </c>
      <c r="U232" s="44">
        <f t="shared" si="64"/>
        <v>0</v>
      </c>
      <c r="V232" s="44">
        <f t="shared" si="64"/>
        <v>0</v>
      </c>
      <c r="W232" s="44">
        <f t="shared" si="64"/>
        <v>0</v>
      </c>
      <c r="X232" s="44">
        <f t="shared" si="65"/>
        <v>0</v>
      </c>
      <c r="Y232" s="44">
        <f t="shared" si="65"/>
        <v>0</v>
      </c>
      <c r="Z232" s="44">
        <f t="shared" si="65"/>
        <v>0</v>
      </c>
      <c r="AA232" s="44">
        <f t="shared" si="65"/>
        <v>0</v>
      </c>
      <c r="AB232" s="44">
        <f t="shared" si="65"/>
        <v>0</v>
      </c>
      <c r="AC232" s="44">
        <f t="shared" si="65"/>
        <v>0</v>
      </c>
      <c r="AD232" s="44">
        <f t="shared" si="65"/>
        <v>0</v>
      </c>
      <c r="AE232" s="44">
        <f t="shared" si="65"/>
        <v>0</v>
      </c>
    </row>
    <row r="233" spans="1:31" x14ac:dyDescent="0.2">
      <c r="A233" s="50"/>
      <c r="B233" s="22" t="s">
        <v>59</v>
      </c>
      <c r="C233" s="23">
        <f>+SAM!Y18</f>
        <v>0</v>
      </c>
      <c r="D233" s="44">
        <f t="shared" si="63"/>
        <v>0</v>
      </c>
      <c r="E233" s="44">
        <f t="shared" si="63"/>
        <v>0</v>
      </c>
      <c r="F233" s="44">
        <f t="shared" si="63"/>
        <v>0</v>
      </c>
      <c r="G233" s="44">
        <f t="shared" si="63"/>
        <v>0</v>
      </c>
      <c r="H233" s="44">
        <f t="shared" si="63"/>
        <v>0</v>
      </c>
      <c r="I233" s="44">
        <f t="shared" si="63"/>
        <v>0</v>
      </c>
      <c r="J233" s="44">
        <f t="shared" si="63"/>
        <v>0</v>
      </c>
      <c r="K233" s="44">
        <f t="shared" si="63"/>
        <v>0</v>
      </c>
      <c r="L233" s="44">
        <f t="shared" si="63"/>
        <v>0</v>
      </c>
      <c r="M233" s="44">
        <f t="shared" si="63"/>
        <v>0</v>
      </c>
      <c r="N233" s="44">
        <f t="shared" si="64"/>
        <v>0</v>
      </c>
      <c r="O233" s="44">
        <f t="shared" si="64"/>
        <v>0</v>
      </c>
      <c r="P233" s="44">
        <f t="shared" si="64"/>
        <v>0</v>
      </c>
      <c r="Q233" s="44">
        <f t="shared" si="64"/>
        <v>0</v>
      </c>
      <c r="R233" s="44">
        <f t="shared" si="64"/>
        <v>0</v>
      </c>
      <c r="S233" s="44">
        <f t="shared" si="64"/>
        <v>0</v>
      </c>
      <c r="T233" s="44">
        <f t="shared" si="64"/>
        <v>0</v>
      </c>
      <c r="U233" s="44">
        <f t="shared" si="64"/>
        <v>0</v>
      </c>
      <c r="V233" s="44">
        <f t="shared" si="64"/>
        <v>0</v>
      </c>
      <c r="W233" s="44">
        <f t="shared" si="64"/>
        <v>0</v>
      </c>
      <c r="X233" s="44">
        <f t="shared" si="65"/>
        <v>0</v>
      </c>
      <c r="Y233" s="44">
        <f t="shared" si="65"/>
        <v>0</v>
      </c>
      <c r="Z233" s="44">
        <f t="shared" si="65"/>
        <v>0</v>
      </c>
      <c r="AA233" s="44">
        <f t="shared" si="65"/>
        <v>0</v>
      </c>
      <c r="AB233" s="44">
        <f t="shared" si="65"/>
        <v>0</v>
      </c>
      <c r="AC233" s="44">
        <f t="shared" si="65"/>
        <v>0</v>
      </c>
      <c r="AD233" s="44">
        <f t="shared" si="65"/>
        <v>0</v>
      </c>
      <c r="AE233" s="44">
        <f t="shared" si="65"/>
        <v>0</v>
      </c>
    </row>
    <row r="234" spans="1:31" x14ac:dyDescent="0.2">
      <c r="A234" s="50"/>
      <c r="B234" s="22" t="s">
        <v>60</v>
      </c>
      <c r="C234" s="14">
        <f>+SAM!Y19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50"/>
      <c r="B235" s="22" t="s">
        <v>61</v>
      </c>
      <c r="C235" s="14">
        <f>+SAM!Y20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50"/>
      <c r="B236" s="22" t="s">
        <v>62</v>
      </c>
      <c r="C236" s="14">
        <f>+SAM!Y21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50"/>
      <c r="B237" s="22" t="s">
        <v>63</v>
      </c>
      <c r="C237" s="14">
        <f>+SAM!Y22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50"/>
      <c r="B238" s="22" t="s">
        <v>64</v>
      </c>
      <c r="C238" s="14">
        <f>+SAM!Y23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50"/>
      <c r="B239" s="22" t="s">
        <v>65</v>
      </c>
      <c r="C239" s="14">
        <f>+SAM!Y24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50"/>
      <c r="B240" s="22" t="s">
        <v>66</v>
      </c>
      <c r="C240" s="14">
        <f>+SAM!Y25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50"/>
      <c r="B241" s="22" t="s">
        <v>67</v>
      </c>
      <c r="C241" s="14">
        <f>+SAM!Y26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50"/>
      <c r="B242" s="22" t="s">
        <v>68</v>
      </c>
      <c r="C242" s="14">
        <f>+SAM!Y27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50"/>
      <c r="B243" s="22" t="s">
        <v>69</v>
      </c>
      <c r="C243" s="14">
        <f>+SAM!Y28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50"/>
      <c r="B244" s="22" t="s">
        <v>70</v>
      </c>
      <c r="C244" s="14">
        <f>+SAM!Y29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50"/>
      <c r="B245" s="22" t="s">
        <v>71</v>
      </c>
      <c r="C245" s="23">
        <f>+SAM!Y30</f>
        <v>0</v>
      </c>
      <c r="D245" s="44">
        <f t="shared" si="66"/>
        <v>0</v>
      </c>
      <c r="E245" s="44">
        <f t="shared" si="66"/>
        <v>0</v>
      </c>
      <c r="F245" s="44">
        <f t="shared" si="66"/>
        <v>0</v>
      </c>
      <c r="G245" s="44">
        <f t="shared" si="66"/>
        <v>0</v>
      </c>
      <c r="H245" s="44">
        <f t="shared" si="66"/>
        <v>0</v>
      </c>
      <c r="I245" s="44">
        <f t="shared" si="66"/>
        <v>0</v>
      </c>
      <c r="J245" s="44">
        <f t="shared" si="66"/>
        <v>0</v>
      </c>
      <c r="K245" s="44">
        <f t="shared" si="66"/>
        <v>0</v>
      </c>
      <c r="L245" s="44">
        <f t="shared" si="66"/>
        <v>0</v>
      </c>
      <c r="M245" s="44">
        <f t="shared" si="66"/>
        <v>0</v>
      </c>
      <c r="N245" s="44">
        <f t="shared" si="67"/>
        <v>0</v>
      </c>
      <c r="O245" s="44">
        <f t="shared" si="67"/>
        <v>0</v>
      </c>
      <c r="P245" s="44">
        <f t="shared" si="67"/>
        <v>0</v>
      </c>
      <c r="Q245" s="44">
        <f t="shared" si="67"/>
        <v>0</v>
      </c>
      <c r="R245" s="44">
        <f t="shared" si="67"/>
        <v>0</v>
      </c>
      <c r="S245" s="44">
        <f t="shared" si="67"/>
        <v>0</v>
      </c>
      <c r="T245" s="44">
        <f t="shared" si="67"/>
        <v>0</v>
      </c>
      <c r="U245" s="44">
        <f t="shared" si="67"/>
        <v>0</v>
      </c>
      <c r="V245" s="44">
        <f t="shared" si="67"/>
        <v>0</v>
      </c>
      <c r="W245" s="44">
        <f t="shared" si="67"/>
        <v>0</v>
      </c>
      <c r="X245" s="44">
        <f t="shared" si="68"/>
        <v>0</v>
      </c>
      <c r="Y245" s="44">
        <f t="shared" si="68"/>
        <v>0</v>
      </c>
      <c r="Z245" s="44">
        <f t="shared" si="68"/>
        <v>0</v>
      </c>
      <c r="AA245" s="44">
        <f t="shared" si="68"/>
        <v>0</v>
      </c>
      <c r="AB245" s="44">
        <f t="shared" si="68"/>
        <v>0</v>
      </c>
      <c r="AC245" s="44">
        <f t="shared" si="68"/>
        <v>0</v>
      </c>
      <c r="AD245" s="44">
        <f t="shared" si="68"/>
        <v>0</v>
      </c>
      <c r="AE245" s="44">
        <f t="shared" si="68"/>
        <v>0</v>
      </c>
    </row>
    <row r="246" spans="1:31" x14ac:dyDescent="0.2">
      <c r="A246" s="50"/>
      <c r="B246" s="22" t="s">
        <v>72</v>
      </c>
      <c r="C246" s="14">
        <f>+SAM!Y31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50"/>
      <c r="B247" s="22" t="s">
        <v>73</v>
      </c>
      <c r="C247" s="14">
        <f>+SAM!Y32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50"/>
      <c r="B248" s="22" t="s">
        <v>74</v>
      </c>
      <c r="C248" s="14">
        <f>+SAM!Y33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50"/>
      <c r="B249" s="22" t="s">
        <v>75</v>
      </c>
      <c r="C249" s="14">
        <f>+SAM!Y34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50"/>
      <c r="B250" s="22" t="s">
        <v>76</v>
      </c>
      <c r="C250" s="14">
        <f>+SAM!Y35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50"/>
      <c r="B251" s="22" t="s">
        <v>77</v>
      </c>
      <c r="C251" s="14">
        <f>+SAM!Y36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50"/>
      <c r="B252" s="22" t="s">
        <v>78</v>
      </c>
      <c r="C252" s="23">
        <f>+SAM!Y37</f>
        <v>0</v>
      </c>
      <c r="D252" s="44">
        <f t="shared" si="69"/>
        <v>0</v>
      </c>
      <c r="E252" s="44">
        <f t="shared" si="69"/>
        <v>0</v>
      </c>
      <c r="F252" s="44">
        <f t="shared" si="69"/>
        <v>0</v>
      </c>
      <c r="G252" s="44">
        <f t="shared" si="69"/>
        <v>0</v>
      </c>
      <c r="H252" s="44">
        <f t="shared" si="69"/>
        <v>0</v>
      </c>
      <c r="I252" s="44">
        <f t="shared" si="69"/>
        <v>0</v>
      </c>
      <c r="J252" s="44">
        <f t="shared" si="69"/>
        <v>0</v>
      </c>
      <c r="K252" s="44">
        <f t="shared" si="69"/>
        <v>0</v>
      </c>
      <c r="L252" s="44">
        <f t="shared" si="69"/>
        <v>0</v>
      </c>
      <c r="M252" s="44">
        <f t="shared" si="69"/>
        <v>0</v>
      </c>
      <c r="N252" s="44">
        <f t="shared" si="70"/>
        <v>0</v>
      </c>
      <c r="O252" s="44">
        <f t="shared" si="70"/>
        <v>0</v>
      </c>
      <c r="P252" s="44">
        <f t="shared" si="70"/>
        <v>0</v>
      </c>
      <c r="Q252" s="44">
        <f t="shared" si="70"/>
        <v>0</v>
      </c>
      <c r="R252" s="44">
        <f t="shared" si="70"/>
        <v>0</v>
      </c>
      <c r="S252" s="44">
        <f t="shared" si="70"/>
        <v>0</v>
      </c>
      <c r="T252" s="44">
        <f t="shared" si="70"/>
        <v>0</v>
      </c>
      <c r="U252" s="44">
        <f t="shared" si="70"/>
        <v>0</v>
      </c>
      <c r="V252" s="44">
        <f t="shared" si="70"/>
        <v>0</v>
      </c>
      <c r="W252" s="44">
        <f t="shared" si="70"/>
        <v>0</v>
      </c>
      <c r="X252" s="44">
        <f t="shared" si="71"/>
        <v>0</v>
      </c>
      <c r="Y252" s="44">
        <f t="shared" si="71"/>
        <v>0</v>
      </c>
      <c r="Z252" s="44">
        <f t="shared" si="71"/>
        <v>0</v>
      </c>
      <c r="AA252" s="44">
        <f t="shared" si="71"/>
        <v>0</v>
      </c>
      <c r="AB252" s="44">
        <f t="shared" si="71"/>
        <v>0</v>
      </c>
      <c r="AC252" s="44">
        <f t="shared" si="71"/>
        <v>0</v>
      </c>
      <c r="AD252" s="44">
        <f t="shared" si="71"/>
        <v>0</v>
      </c>
      <c r="AE252" s="44">
        <f t="shared" si="71"/>
        <v>0</v>
      </c>
    </row>
    <row r="253" spans="1:31" x14ac:dyDescent="0.2">
      <c r="A253" s="50"/>
      <c r="B253" s="22" t="s">
        <v>79</v>
      </c>
      <c r="C253" s="14">
        <f>+SAM!Y38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50"/>
      <c r="B254" s="22" t="s">
        <v>80</v>
      </c>
      <c r="C254" s="14">
        <f>+SAM!Y39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50"/>
      <c r="B255" s="22" t="s">
        <v>81</v>
      </c>
      <c r="C255" s="23">
        <f>+SAM!Y40</f>
        <v>0</v>
      </c>
      <c r="D255" s="44">
        <f t="shared" si="69"/>
        <v>0</v>
      </c>
      <c r="E255" s="44">
        <f t="shared" si="69"/>
        <v>0</v>
      </c>
      <c r="F255" s="44">
        <f t="shared" si="69"/>
        <v>0</v>
      </c>
      <c r="G255" s="44">
        <f t="shared" si="69"/>
        <v>0</v>
      </c>
      <c r="H255" s="44">
        <f t="shared" si="69"/>
        <v>0</v>
      </c>
      <c r="I255" s="44">
        <f t="shared" si="69"/>
        <v>0</v>
      </c>
      <c r="J255" s="44">
        <f t="shared" si="69"/>
        <v>0</v>
      </c>
      <c r="K255" s="44">
        <f t="shared" si="69"/>
        <v>0</v>
      </c>
      <c r="L255" s="44">
        <f t="shared" si="69"/>
        <v>0</v>
      </c>
      <c r="M255" s="44">
        <f t="shared" si="69"/>
        <v>0</v>
      </c>
      <c r="N255" s="44">
        <f t="shared" si="70"/>
        <v>0</v>
      </c>
      <c r="O255" s="44">
        <f t="shared" si="70"/>
        <v>0</v>
      </c>
      <c r="P255" s="44">
        <f t="shared" si="70"/>
        <v>0</v>
      </c>
      <c r="Q255" s="44">
        <f t="shared" si="70"/>
        <v>0</v>
      </c>
      <c r="R255" s="44">
        <f t="shared" si="70"/>
        <v>0</v>
      </c>
      <c r="S255" s="44">
        <f t="shared" si="70"/>
        <v>0</v>
      </c>
      <c r="T255" s="44">
        <f t="shared" si="70"/>
        <v>0</v>
      </c>
      <c r="U255" s="44">
        <f t="shared" si="70"/>
        <v>0</v>
      </c>
      <c r="V255" s="44">
        <f t="shared" si="70"/>
        <v>0</v>
      </c>
      <c r="W255" s="44">
        <f t="shared" si="70"/>
        <v>0</v>
      </c>
      <c r="X255" s="44">
        <f t="shared" si="71"/>
        <v>0</v>
      </c>
      <c r="Y255" s="44">
        <f t="shared" si="71"/>
        <v>0</v>
      </c>
      <c r="Z255" s="44">
        <f t="shared" si="71"/>
        <v>0</v>
      </c>
      <c r="AA255" s="44">
        <f t="shared" si="71"/>
        <v>0</v>
      </c>
      <c r="AB255" s="44">
        <f t="shared" si="71"/>
        <v>0</v>
      </c>
      <c r="AC255" s="44">
        <f t="shared" si="71"/>
        <v>0</v>
      </c>
      <c r="AD255" s="44">
        <f t="shared" si="71"/>
        <v>0</v>
      </c>
      <c r="AE255" s="44">
        <f t="shared" si="71"/>
        <v>0</v>
      </c>
    </row>
    <row r="256" spans="1:31" ht="16" customHeight="1" thickBot="1" x14ac:dyDescent="0.25">
      <c r="A256" s="51"/>
      <c r="B256" s="32" t="s">
        <v>82</v>
      </c>
      <c r="C256" s="34">
        <f>+SAM!Y41</f>
        <v>0</v>
      </c>
      <c r="D256" s="45">
        <f t="shared" si="69"/>
        <v>0</v>
      </c>
      <c r="E256" s="45">
        <f t="shared" si="69"/>
        <v>0</v>
      </c>
      <c r="F256" s="45">
        <f t="shared" si="69"/>
        <v>0</v>
      </c>
      <c r="G256" s="45">
        <f t="shared" si="69"/>
        <v>0</v>
      </c>
      <c r="H256" s="45">
        <f t="shared" si="69"/>
        <v>0</v>
      </c>
      <c r="I256" s="45">
        <f t="shared" si="69"/>
        <v>0</v>
      </c>
      <c r="J256" s="45">
        <f t="shared" si="69"/>
        <v>0</v>
      </c>
      <c r="K256" s="45">
        <f t="shared" si="69"/>
        <v>0</v>
      </c>
      <c r="L256" s="45">
        <f t="shared" si="69"/>
        <v>0</v>
      </c>
      <c r="M256" s="45">
        <f t="shared" si="69"/>
        <v>0</v>
      </c>
      <c r="N256" s="45">
        <f t="shared" si="70"/>
        <v>0</v>
      </c>
      <c r="O256" s="45">
        <f t="shared" si="70"/>
        <v>0</v>
      </c>
      <c r="P256" s="45">
        <f t="shared" si="70"/>
        <v>0</v>
      </c>
      <c r="Q256" s="45">
        <f t="shared" si="70"/>
        <v>0</v>
      </c>
      <c r="R256" s="45">
        <f t="shared" si="70"/>
        <v>0</v>
      </c>
      <c r="S256" s="45">
        <f t="shared" si="70"/>
        <v>0</v>
      </c>
      <c r="T256" s="45">
        <f t="shared" si="70"/>
        <v>0</v>
      </c>
      <c r="U256" s="45">
        <f t="shared" si="70"/>
        <v>0</v>
      </c>
      <c r="V256" s="45">
        <f t="shared" si="70"/>
        <v>0</v>
      </c>
      <c r="W256" s="45">
        <f t="shared" si="70"/>
        <v>0</v>
      </c>
      <c r="X256" s="45">
        <f t="shared" si="71"/>
        <v>0</v>
      </c>
      <c r="Y256" s="45">
        <f t="shared" si="71"/>
        <v>0</v>
      </c>
      <c r="Z256" s="45">
        <f t="shared" si="71"/>
        <v>0</v>
      </c>
      <c r="AA256" s="45">
        <f t="shared" si="71"/>
        <v>0</v>
      </c>
      <c r="AB256" s="45">
        <f t="shared" si="71"/>
        <v>0</v>
      </c>
      <c r="AC256" s="45">
        <f t="shared" si="71"/>
        <v>0</v>
      </c>
      <c r="AD256" s="45">
        <f t="shared" si="71"/>
        <v>0</v>
      </c>
      <c r="AE256" s="45">
        <f t="shared" si="71"/>
        <v>0</v>
      </c>
    </row>
    <row r="257" spans="1:31" ht="16" customHeight="1" thickTop="1" x14ac:dyDescent="0.2">
      <c r="A257" s="54" t="s">
        <v>36</v>
      </c>
      <c r="B257" s="22" t="s">
        <v>43</v>
      </c>
      <c r="C257" s="14">
        <f>+SAM!AC2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50"/>
      <c r="B258" s="22" t="s">
        <v>44</v>
      </c>
      <c r="C258" s="14">
        <f>+SAM!AC3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50"/>
      <c r="B259" s="22" t="s">
        <v>45</v>
      </c>
      <c r="C259" s="14">
        <f>+SAM!AC4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50"/>
      <c r="B260" s="22" t="s">
        <v>46</v>
      </c>
      <c r="C260" s="14">
        <f>+SAM!AC5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50"/>
      <c r="B261" s="22" t="s">
        <v>47</v>
      </c>
      <c r="C261" s="14">
        <f>+SAM!AC6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50"/>
      <c r="B262" s="22" t="s">
        <v>48</v>
      </c>
      <c r="C262" s="14">
        <f>+SAM!AC7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50"/>
      <c r="B263" s="22" t="s">
        <v>49</v>
      </c>
      <c r="C263" s="14">
        <f>+SAM!AC8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50"/>
      <c r="B264" s="22" t="s">
        <v>50</v>
      </c>
      <c r="C264" s="14">
        <f>+SAM!AC9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50"/>
      <c r="B265" s="22" t="s">
        <v>51</v>
      </c>
      <c r="C265" s="14">
        <f>+SAM!AC10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50"/>
      <c r="B266" s="22" t="s">
        <v>52</v>
      </c>
      <c r="C266" s="23">
        <f>+SAM!AC11</f>
        <v>0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0</v>
      </c>
      <c r="H266" s="44">
        <f t="shared" si="72"/>
        <v>0</v>
      </c>
      <c r="I266" s="44">
        <f t="shared" si="72"/>
        <v>0</v>
      </c>
      <c r="J266" s="44">
        <f t="shared" si="72"/>
        <v>0</v>
      </c>
      <c r="K266" s="44">
        <f t="shared" si="72"/>
        <v>0</v>
      </c>
      <c r="L266" s="44">
        <f t="shared" si="72"/>
        <v>0</v>
      </c>
      <c r="M266" s="44">
        <f t="shared" si="72"/>
        <v>0</v>
      </c>
      <c r="N266" s="44">
        <f t="shared" si="73"/>
        <v>0</v>
      </c>
      <c r="O266" s="44">
        <f t="shared" si="73"/>
        <v>0</v>
      </c>
      <c r="P266" s="44">
        <f t="shared" si="73"/>
        <v>0</v>
      </c>
      <c r="Q266" s="44">
        <f t="shared" si="73"/>
        <v>0</v>
      </c>
      <c r="R266" s="44">
        <f t="shared" si="73"/>
        <v>0</v>
      </c>
      <c r="S266" s="44">
        <f t="shared" si="73"/>
        <v>0</v>
      </c>
      <c r="T266" s="44">
        <f t="shared" si="73"/>
        <v>0</v>
      </c>
      <c r="U266" s="44">
        <f t="shared" si="73"/>
        <v>0</v>
      </c>
      <c r="V266" s="44">
        <f t="shared" si="73"/>
        <v>0</v>
      </c>
      <c r="W266" s="44">
        <f t="shared" si="73"/>
        <v>0</v>
      </c>
      <c r="X266" s="44">
        <f t="shared" si="74"/>
        <v>0</v>
      </c>
      <c r="Y266" s="44">
        <f t="shared" si="74"/>
        <v>0</v>
      </c>
      <c r="Z266" s="44">
        <f t="shared" si="74"/>
        <v>0</v>
      </c>
      <c r="AA266" s="44">
        <f t="shared" si="74"/>
        <v>0</v>
      </c>
      <c r="AB266" s="44">
        <f t="shared" si="74"/>
        <v>0</v>
      </c>
      <c r="AC266" s="44">
        <f t="shared" si="74"/>
        <v>0</v>
      </c>
      <c r="AD266" s="44">
        <f t="shared" si="74"/>
        <v>0</v>
      </c>
      <c r="AE266" s="44">
        <f t="shared" si="74"/>
        <v>0</v>
      </c>
    </row>
    <row r="267" spans="1:31" x14ac:dyDescent="0.2">
      <c r="A267" s="50"/>
      <c r="B267" s="22" t="s">
        <v>53</v>
      </c>
      <c r="C267" s="14">
        <f>+SAM!AC12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50"/>
      <c r="B268" s="22" t="s">
        <v>54</v>
      </c>
      <c r="C268" s="14">
        <f>+SAM!AC13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50"/>
      <c r="B269" s="22" t="s">
        <v>55</v>
      </c>
      <c r="C269" s="14">
        <f>+SAM!AC14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50"/>
      <c r="B270" s="22" t="s">
        <v>56</v>
      </c>
      <c r="C270" s="14">
        <f>+SAM!AC15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50"/>
      <c r="B271" s="22" t="s">
        <v>57</v>
      </c>
      <c r="C271" s="14">
        <f>+SAM!AC16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50"/>
      <c r="B272" s="22" t="s">
        <v>58</v>
      </c>
      <c r="C272" s="23">
        <f>+SAM!AC17</f>
        <v>0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0</v>
      </c>
      <c r="H272" s="44">
        <f t="shared" si="75"/>
        <v>0</v>
      </c>
      <c r="I272" s="44">
        <f t="shared" si="75"/>
        <v>0</v>
      </c>
      <c r="J272" s="44">
        <f t="shared" si="75"/>
        <v>0</v>
      </c>
      <c r="K272" s="44">
        <f t="shared" si="75"/>
        <v>0</v>
      </c>
      <c r="L272" s="44">
        <f t="shared" si="75"/>
        <v>0</v>
      </c>
      <c r="M272" s="44">
        <f t="shared" si="75"/>
        <v>0</v>
      </c>
      <c r="N272" s="44">
        <f t="shared" si="76"/>
        <v>0</v>
      </c>
      <c r="O272" s="44">
        <f t="shared" si="76"/>
        <v>0</v>
      </c>
      <c r="P272" s="44">
        <f t="shared" si="76"/>
        <v>0</v>
      </c>
      <c r="Q272" s="44">
        <f t="shared" si="76"/>
        <v>0</v>
      </c>
      <c r="R272" s="44">
        <f t="shared" si="76"/>
        <v>0</v>
      </c>
      <c r="S272" s="44">
        <f t="shared" si="76"/>
        <v>0</v>
      </c>
      <c r="T272" s="44">
        <f t="shared" si="76"/>
        <v>0</v>
      </c>
      <c r="U272" s="44">
        <f t="shared" si="76"/>
        <v>0</v>
      </c>
      <c r="V272" s="44">
        <f t="shared" si="76"/>
        <v>0</v>
      </c>
      <c r="W272" s="44">
        <f t="shared" si="76"/>
        <v>0</v>
      </c>
      <c r="X272" s="44">
        <f t="shared" si="77"/>
        <v>0</v>
      </c>
      <c r="Y272" s="44">
        <f t="shared" si="77"/>
        <v>0</v>
      </c>
      <c r="Z272" s="44">
        <f t="shared" si="77"/>
        <v>0</v>
      </c>
      <c r="AA272" s="44">
        <f t="shared" si="77"/>
        <v>0</v>
      </c>
      <c r="AB272" s="44">
        <f t="shared" si="77"/>
        <v>0</v>
      </c>
      <c r="AC272" s="44">
        <f t="shared" si="77"/>
        <v>0</v>
      </c>
      <c r="AD272" s="44">
        <f t="shared" si="77"/>
        <v>0</v>
      </c>
      <c r="AE272" s="44">
        <f t="shared" si="77"/>
        <v>0</v>
      </c>
    </row>
    <row r="273" spans="1:31" x14ac:dyDescent="0.2">
      <c r="A273" s="50"/>
      <c r="B273" s="22" t="s">
        <v>59</v>
      </c>
      <c r="C273" s="14">
        <f>+SAM!AC18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50"/>
      <c r="B274" s="22" t="s">
        <v>60</v>
      </c>
      <c r="C274" s="14">
        <f>+SAM!AC19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50"/>
      <c r="B275" s="22" t="s">
        <v>61</v>
      </c>
      <c r="C275" s="14">
        <f>+SAM!AC20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50"/>
      <c r="B276" s="22" t="s">
        <v>62</v>
      </c>
      <c r="C276" s="14">
        <f>+SAM!AC21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50"/>
      <c r="B277" s="22" t="s">
        <v>63</v>
      </c>
      <c r="C277" s="14">
        <f>+SAM!AC22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50"/>
      <c r="B278" s="22" t="s">
        <v>64</v>
      </c>
      <c r="C278" s="14">
        <f>+SAM!AC23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50"/>
      <c r="B279" s="22" t="s">
        <v>65</v>
      </c>
      <c r="C279" s="14">
        <f>+SAM!AC24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50"/>
      <c r="B280" s="22" t="s">
        <v>66</v>
      </c>
      <c r="C280" s="14">
        <f>+SAM!AC25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50"/>
      <c r="B281" s="22" t="s">
        <v>67</v>
      </c>
      <c r="C281" s="14">
        <f>+SAM!AC26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50"/>
      <c r="B282" s="22" t="s">
        <v>68</v>
      </c>
      <c r="C282" s="14">
        <f>+SAM!AC27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50"/>
      <c r="B283" s="22" t="s">
        <v>69</v>
      </c>
      <c r="C283" s="14">
        <f>+SAM!AC28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50"/>
      <c r="B284" s="22" t="s">
        <v>70</v>
      </c>
      <c r="C284" s="23">
        <f>+SAM!AC29</f>
        <v>0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0</v>
      </c>
      <c r="H284" s="44">
        <f t="shared" si="78"/>
        <v>0</v>
      </c>
      <c r="I284" s="44">
        <f t="shared" si="78"/>
        <v>0</v>
      </c>
      <c r="J284" s="44">
        <f t="shared" si="78"/>
        <v>0</v>
      </c>
      <c r="K284" s="44">
        <f t="shared" si="78"/>
        <v>0</v>
      </c>
      <c r="L284" s="44">
        <f t="shared" si="78"/>
        <v>0</v>
      </c>
      <c r="M284" s="44">
        <f t="shared" si="78"/>
        <v>0</v>
      </c>
      <c r="N284" s="44">
        <f t="shared" si="79"/>
        <v>0</v>
      </c>
      <c r="O284" s="44">
        <f t="shared" si="79"/>
        <v>0</v>
      </c>
      <c r="P284" s="44">
        <f t="shared" si="79"/>
        <v>0</v>
      </c>
      <c r="Q284" s="44">
        <f t="shared" si="79"/>
        <v>0</v>
      </c>
      <c r="R284" s="44">
        <f t="shared" si="79"/>
        <v>0</v>
      </c>
      <c r="S284" s="44">
        <f t="shared" si="79"/>
        <v>0</v>
      </c>
      <c r="T284" s="44">
        <f t="shared" si="79"/>
        <v>0</v>
      </c>
      <c r="U284" s="44">
        <f t="shared" si="79"/>
        <v>0</v>
      </c>
      <c r="V284" s="44">
        <f t="shared" si="79"/>
        <v>0</v>
      </c>
      <c r="W284" s="44">
        <f t="shared" si="79"/>
        <v>0</v>
      </c>
      <c r="X284" s="44">
        <f t="shared" si="80"/>
        <v>0</v>
      </c>
      <c r="Y284" s="44">
        <f t="shared" si="80"/>
        <v>0</v>
      </c>
      <c r="Z284" s="44">
        <f t="shared" si="80"/>
        <v>0</v>
      </c>
      <c r="AA284" s="44">
        <f t="shared" si="80"/>
        <v>0</v>
      </c>
      <c r="AB284" s="44">
        <f t="shared" si="80"/>
        <v>0</v>
      </c>
      <c r="AC284" s="44">
        <f t="shared" si="80"/>
        <v>0</v>
      </c>
      <c r="AD284" s="44">
        <f t="shared" si="80"/>
        <v>0</v>
      </c>
      <c r="AE284" s="44">
        <f t="shared" si="80"/>
        <v>0</v>
      </c>
    </row>
    <row r="285" spans="1:31" x14ac:dyDescent="0.2">
      <c r="A285" s="50"/>
      <c r="B285" s="22" t="s">
        <v>71</v>
      </c>
      <c r="C285" s="23">
        <f>+SAM!AC30</f>
        <v>0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0</v>
      </c>
      <c r="H285" s="44">
        <f t="shared" si="78"/>
        <v>0</v>
      </c>
      <c r="I285" s="44">
        <f t="shared" si="78"/>
        <v>0</v>
      </c>
      <c r="J285" s="44">
        <f t="shared" si="78"/>
        <v>0</v>
      </c>
      <c r="K285" s="44">
        <f t="shared" si="78"/>
        <v>0</v>
      </c>
      <c r="L285" s="44">
        <f t="shared" si="78"/>
        <v>0</v>
      </c>
      <c r="M285" s="44">
        <f t="shared" si="78"/>
        <v>0</v>
      </c>
      <c r="N285" s="44">
        <f t="shared" si="79"/>
        <v>0</v>
      </c>
      <c r="O285" s="44">
        <f t="shared" si="79"/>
        <v>0</v>
      </c>
      <c r="P285" s="44">
        <f t="shared" si="79"/>
        <v>0</v>
      </c>
      <c r="Q285" s="44">
        <f t="shared" si="79"/>
        <v>0</v>
      </c>
      <c r="R285" s="44">
        <f t="shared" si="79"/>
        <v>0</v>
      </c>
      <c r="S285" s="44">
        <f t="shared" si="79"/>
        <v>0</v>
      </c>
      <c r="T285" s="44">
        <f t="shared" si="79"/>
        <v>0</v>
      </c>
      <c r="U285" s="44">
        <f t="shared" si="79"/>
        <v>0</v>
      </c>
      <c r="V285" s="44">
        <f t="shared" si="79"/>
        <v>0</v>
      </c>
      <c r="W285" s="44">
        <f t="shared" si="79"/>
        <v>0</v>
      </c>
      <c r="X285" s="44">
        <f t="shared" si="80"/>
        <v>0</v>
      </c>
      <c r="Y285" s="44">
        <f t="shared" si="80"/>
        <v>0</v>
      </c>
      <c r="Z285" s="44">
        <f t="shared" si="80"/>
        <v>0</v>
      </c>
      <c r="AA285" s="44">
        <f t="shared" si="80"/>
        <v>0</v>
      </c>
      <c r="AB285" s="44">
        <f t="shared" si="80"/>
        <v>0</v>
      </c>
      <c r="AC285" s="44">
        <f t="shared" si="80"/>
        <v>0</v>
      </c>
      <c r="AD285" s="44">
        <f t="shared" si="80"/>
        <v>0</v>
      </c>
      <c r="AE285" s="44">
        <f t="shared" si="80"/>
        <v>0</v>
      </c>
    </row>
    <row r="286" spans="1:31" x14ac:dyDescent="0.2">
      <c r="A286" s="50"/>
      <c r="B286" s="22" t="s">
        <v>72</v>
      </c>
      <c r="C286" s="14">
        <f>+SAM!AC31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50"/>
      <c r="B287" s="22" t="s">
        <v>73</v>
      </c>
      <c r="C287" s="14">
        <f>+SAM!AC32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50"/>
      <c r="B288" s="22" t="s">
        <v>74</v>
      </c>
      <c r="C288" s="14">
        <f>+SAM!AC33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50"/>
      <c r="B289" s="22" t="s">
        <v>75</v>
      </c>
      <c r="C289" s="14">
        <f>+SAM!AC34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50"/>
      <c r="B290" s="22" t="s">
        <v>76</v>
      </c>
      <c r="C290" s="14">
        <f>+SAM!AC35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50"/>
      <c r="B291" s="22" t="s">
        <v>77</v>
      </c>
      <c r="C291" s="14">
        <f>+SAM!AC36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50"/>
      <c r="B292" s="22" t="s">
        <v>78</v>
      </c>
      <c r="C292" s="23">
        <f>+SAM!AC37</f>
        <v>0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0</v>
      </c>
      <c r="H292" s="44">
        <f t="shared" si="81"/>
        <v>0</v>
      </c>
      <c r="I292" s="44">
        <f t="shared" si="81"/>
        <v>0</v>
      </c>
      <c r="J292" s="44">
        <f t="shared" si="81"/>
        <v>0</v>
      </c>
      <c r="K292" s="44">
        <f t="shared" si="81"/>
        <v>0</v>
      </c>
      <c r="L292" s="44">
        <f t="shared" si="81"/>
        <v>0</v>
      </c>
      <c r="M292" s="44">
        <f t="shared" si="81"/>
        <v>0</v>
      </c>
      <c r="N292" s="44">
        <f t="shared" si="82"/>
        <v>0</v>
      </c>
      <c r="O292" s="44">
        <f t="shared" si="82"/>
        <v>0</v>
      </c>
      <c r="P292" s="44">
        <f t="shared" si="82"/>
        <v>0</v>
      </c>
      <c r="Q292" s="44">
        <f t="shared" si="82"/>
        <v>0</v>
      </c>
      <c r="R292" s="44">
        <f t="shared" si="82"/>
        <v>0</v>
      </c>
      <c r="S292" s="44">
        <f t="shared" si="82"/>
        <v>0</v>
      </c>
      <c r="T292" s="44">
        <f t="shared" si="82"/>
        <v>0</v>
      </c>
      <c r="U292" s="44">
        <f t="shared" si="82"/>
        <v>0</v>
      </c>
      <c r="V292" s="44">
        <f t="shared" si="82"/>
        <v>0</v>
      </c>
      <c r="W292" s="44">
        <f t="shared" si="82"/>
        <v>0</v>
      </c>
      <c r="X292" s="44">
        <f t="shared" si="83"/>
        <v>0</v>
      </c>
      <c r="Y292" s="44">
        <f t="shared" si="83"/>
        <v>0</v>
      </c>
      <c r="Z292" s="44">
        <f t="shared" si="83"/>
        <v>0</v>
      </c>
      <c r="AA292" s="44">
        <f t="shared" si="83"/>
        <v>0</v>
      </c>
      <c r="AB292" s="44">
        <f t="shared" si="83"/>
        <v>0</v>
      </c>
      <c r="AC292" s="44">
        <f t="shared" si="83"/>
        <v>0</v>
      </c>
      <c r="AD292" s="44">
        <f t="shared" si="83"/>
        <v>0</v>
      </c>
      <c r="AE292" s="44">
        <f t="shared" si="83"/>
        <v>0</v>
      </c>
    </row>
    <row r="293" spans="1:31" x14ac:dyDescent="0.2">
      <c r="A293" s="50"/>
      <c r="B293" s="22" t="s">
        <v>79</v>
      </c>
      <c r="C293" s="14">
        <f>+SAM!AC38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50"/>
      <c r="B294" s="22" t="s">
        <v>80</v>
      </c>
      <c r="C294" s="14">
        <f>+SAM!AC39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50"/>
      <c r="B295" s="22" t="s">
        <v>81</v>
      </c>
      <c r="C295" s="14">
        <f>+SAM!AC40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51"/>
      <c r="B296" s="32" t="s">
        <v>82</v>
      </c>
      <c r="C296" s="34">
        <f>+SAM!AC41</f>
        <v>0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0</v>
      </c>
      <c r="H296" s="45">
        <f t="shared" si="81"/>
        <v>0</v>
      </c>
      <c r="I296" s="45">
        <f t="shared" si="81"/>
        <v>0</v>
      </c>
      <c r="J296" s="45">
        <f t="shared" si="81"/>
        <v>0</v>
      </c>
      <c r="K296" s="45">
        <f t="shared" si="81"/>
        <v>0</v>
      </c>
      <c r="L296" s="45">
        <f t="shared" si="81"/>
        <v>0</v>
      </c>
      <c r="M296" s="45">
        <f t="shared" si="81"/>
        <v>0</v>
      </c>
      <c r="N296" s="45">
        <f t="shared" si="82"/>
        <v>0</v>
      </c>
      <c r="O296" s="45">
        <f t="shared" si="82"/>
        <v>0</v>
      </c>
      <c r="P296" s="45">
        <f t="shared" si="82"/>
        <v>0</v>
      </c>
      <c r="Q296" s="45">
        <f t="shared" si="82"/>
        <v>0</v>
      </c>
      <c r="R296" s="45">
        <f t="shared" si="82"/>
        <v>0</v>
      </c>
      <c r="S296" s="45">
        <f t="shared" si="82"/>
        <v>0</v>
      </c>
      <c r="T296" s="45">
        <f t="shared" si="82"/>
        <v>0</v>
      </c>
      <c r="U296" s="45">
        <f t="shared" si="82"/>
        <v>0</v>
      </c>
      <c r="V296" s="45">
        <f t="shared" si="82"/>
        <v>0</v>
      </c>
      <c r="W296" s="45">
        <f t="shared" si="82"/>
        <v>0</v>
      </c>
      <c r="X296" s="45">
        <f t="shared" si="83"/>
        <v>0</v>
      </c>
      <c r="Y296" s="45">
        <f t="shared" si="83"/>
        <v>0</v>
      </c>
      <c r="Z296" s="45">
        <f t="shared" si="83"/>
        <v>0</v>
      </c>
      <c r="AA296" s="45">
        <f t="shared" si="83"/>
        <v>0</v>
      </c>
      <c r="AB296" s="45">
        <f t="shared" si="83"/>
        <v>0</v>
      </c>
      <c r="AC296" s="45">
        <f t="shared" si="83"/>
        <v>0</v>
      </c>
      <c r="AD296" s="45">
        <f t="shared" si="83"/>
        <v>0</v>
      </c>
      <c r="AE296" s="45">
        <f t="shared" si="83"/>
        <v>0</v>
      </c>
    </row>
    <row r="297" spans="1:31" ht="16" customHeight="1" thickTop="1" x14ac:dyDescent="0.2">
      <c r="A297" s="54" t="s">
        <v>37</v>
      </c>
      <c r="B297" s="22" t="s">
        <v>43</v>
      </c>
      <c r="C297" s="14">
        <f>+SAM!AG2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50"/>
      <c r="B298" s="22" t="s">
        <v>44</v>
      </c>
      <c r="C298" s="14">
        <f>+SAM!AG3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50"/>
      <c r="B299" s="22" t="s">
        <v>45</v>
      </c>
      <c r="C299" s="14">
        <f>+SAM!AG4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50"/>
      <c r="B300" s="22" t="s">
        <v>46</v>
      </c>
      <c r="C300" s="14">
        <f>+SAM!AG5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50"/>
      <c r="B301" s="22" t="s">
        <v>47</v>
      </c>
      <c r="C301" s="14">
        <f>+SAM!AG6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50"/>
      <c r="B302" s="22" t="s">
        <v>48</v>
      </c>
      <c r="C302" s="14">
        <f>+SAM!AG7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50"/>
      <c r="B303" s="22" t="s">
        <v>49</v>
      </c>
      <c r="C303" s="14">
        <f>+SAM!AG8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50"/>
      <c r="B304" s="22" t="s">
        <v>50</v>
      </c>
      <c r="C304" s="14">
        <f>+SAM!AG9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50"/>
      <c r="B305" s="22" t="s">
        <v>51</v>
      </c>
      <c r="C305" s="14">
        <f>+SAM!AG10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50"/>
      <c r="B306" s="22" t="s">
        <v>52</v>
      </c>
      <c r="C306" s="23">
        <f>+SAM!AG11</f>
        <v>0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50"/>
      <c r="B307" s="22" t="s">
        <v>53</v>
      </c>
      <c r="C307" s="14">
        <f>+SAM!AG12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50"/>
      <c r="B308" s="22" t="s">
        <v>54</v>
      </c>
      <c r="C308" s="14">
        <f>+SAM!AG13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50"/>
      <c r="B309" s="22" t="s">
        <v>55</v>
      </c>
      <c r="C309" s="14">
        <f>+SAM!AG14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50"/>
      <c r="B310" s="22" t="s">
        <v>56</v>
      </c>
      <c r="C310" s="14">
        <f>+SAM!AG15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50"/>
      <c r="B311" s="22" t="s">
        <v>57</v>
      </c>
      <c r="C311" s="14">
        <f>+SAM!AG16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50"/>
      <c r="B312" s="22" t="s">
        <v>58</v>
      </c>
      <c r="C312" s="23">
        <f>+SAM!AG17</f>
        <v>0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50"/>
      <c r="B313" s="22" t="s">
        <v>59</v>
      </c>
      <c r="C313" s="14">
        <f>+SAM!AG18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50"/>
      <c r="B314" s="22" t="s">
        <v>60</v>
      </c>
      <c r="C314" s="14">
        <f>+SAM!AG19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50"/>
      <c r="B315" s="22" t="s">
        <v>61</v>
      </c>
      <c r="C315" s="14">
        <f>+SAM!AG20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50"/>
      <c r="B316" s="22" t="s">
        <v>62</v>
      </c>
      <c r="C316" s="14">
        <f>+SAM!AG21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50"/>
      <c r="B317" s="22" t="s">
        <v>63</v>
      </c>
      <c r="C317" s="14">
        <f>+SAM!AG22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50"/>
      <c r="B318" s="22" t="s">
        <v>64</v>
      </c>
      <c r="C318" s="14">
        <f>+SAM!AG23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50"/>
      <c r="B319" s="22" t="s">
        <v>65</v>
      </c>
      <c r="C319" s="14">
        <f>+SAM!AG24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50"/>
      <c r="B320" s="22" t="s">
        <v>66</v>
      </c>
      <c r="C320" s="14">
        <f>+SAM!AG25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50"/>
      <c r="B321" s="22" t="s">
        <v>67</v>
      </c>
      <c r="C321" s="14">
        <f>+SAM!AG26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50"/>
      <c r="B322" s="22" t="s">
        <v>68</v>
      </c>
      <c r="C322" s="14">
        <f>+SAM!AG27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50"/>
      <c r="B323" s="22" t="s">
        <v>69</v>
      </c>
      <c r="C323" s="14">
        <f>+SAM!AG28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50"/>
      <c r="B324" s="22" t="s">
        <v>70</v>
      </c>
      <c r="C324" s="23">
        <f>+SAM!AG29</f>
        <v>0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50"/>
      <c r="B325" s="22" t="s">
        <v>71</v>
      </c>
      <c r="C325" s="23">
        <f>+SAM!AG30</f>
        <v>0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50"/>
      <c r="B326" s="22" t="s">
        <v>72</v>
      </c>
      <c r="C326" s="14">
        <f>+SAM!AG31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50"/>
      <c r="B327" s="22" t="s">
        <v>73</v>
      </c>
      <c r="C327" s="14">
        <f>+SAM!AG32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50"/>
      <c r="B328" s="22" t="s">
        <v>74</v>
      </c>
      <c r="C328" s="14">
        <f>+SAM!AG33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50"/>
      <c r="B329" s="22" t="s">
        <v>75</v>
      </c>
      <c r="C329" s="14">
        <f>+SAM!AG34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50"/>
      <c r="B330" s="22" t="s">
        <v>76</v>
      </c>
      <c r="C330" s="14">
        <f>+SAM!AG35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50"/>
      <c r="B331" s="22" t="s">
        <v>77</v>
      </c>
      <c r="C331" s="14">
        <f>+SAM!AG36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50"/>
      <c r="B332" s="22" t="s">
        <v>78</v>
      </c>
      <c r="C332" s="23">
        <f>+SAM!AG37</f>
        <v>0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50"/>
      <c r="B333" s="22" t="s">
        <v>79</v>
      </c>
      <c r="C333" s="14">
        <f>+SAM!AG38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50"/>
      <c r="B334" s="22" t="s">
        <v>80</v>
      </c>
      <c r="C334" s="14">
        <f>+SAM!AG39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50"/>
      <c r="B335" s="22" t="s">
        <v>81</v>
      </c>
      <c r="C335" s="14">
        <f>+SAM!AG40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51"/>
      <c r="B336" s="32" t="s">
        <v>82</v>
      </c>
      <c r="C336" s="34">
        <f>+SAM!AG41</f>
        <v>0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54" t="s">
        <v>38</v>
      </c>
      <c r="B337" s="22" t="s">
        <v>43</v>
      </c>
      <c r="C337" s="14">
        <f>+SAM!AK2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50"/>
      <c r="B338" s="22" t="s">
        <v>44</v>
      </c>
      <c r="C338" s="14">
        <f>+SAM!AK3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50"/>
      <c r="B339" s="22" t="s">
        <v>45</v>
      </c>
      <c r="C339" s="14">
        <f>+SAM!AK4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50"/>
      <c r="B340" s="22" t="s">
        <v>46</v>
      </c>
      <c r="C340" s="14">
        <f>+SAM!AK5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50"/>
      <c r="B341" s="22" t="s">
        <v>47</v>
      </c>
      <c r="C341" s="14">
        <f>+SAM!AK6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50"/>
      <c r="B342" s="22" t="s">
        <v>48</v>
      </c>
      <c r="C342" s="14">
        <f>+SAM!AK7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50"/>
      <c r="B343" s="22" t="s">
        <v>49</v>
      </c>
      <c r="C343" s="14">
        <f>+SAM!AK8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50"/>
      <c r="B344" s="22" t="s">
        <v>50</v>
      </c>
      <c r="C344" s="14">
        <f>+SAM!AK9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50"/>
      <c r="B345" s="22" t="s">
        <v>51</v>
      </c>
      <c r="C345" s="14">
        <f>+SAM!AK10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50"/>
      <c r="B346" s="22" t="s">
        <v>52</v>
      </c>
      <c r="C346" s="14">
        <f>+SAM!AK11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50"/>
      <c r="B347" s="22" t="s">
        <v>53</v>
      </c>
      <c r="C347" s="14">
        <f>+SAM!AK12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50"/>
      <c r="B348" s="22" t="s">
        <v>54</v>
      </c>
      <c r="C348" s="14">
        <f>+SAM!AK13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50"/>
      <c r="B349" s="22" t="s">
        <v>55</v>
      </c>
      <c r="C349" s="14">
        <f>+SAM!AK14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50"/>
      <c r="B350" s="22" t="s">
        <v>56</v>
      </c>
      <c r="C350" s="14">
        <f>+SAM!AK15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50"/>
      <c r="B351" s="22" t="s">
        <v>57</v>
      </c>
      <c r="C351" s="14">
        <f>+SAM!AK16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50"/>
      <c r="B352" s="22" t="s">
        <v>58</v>
      </c>
      <c r="C352" s="14">
        <f>+SAM!AK17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50"/>
      <c r="B353" s="22" t="s">
        <v>59</v>
      </c>
      <c r="C353" s="14">
        <f>+SAM!AK18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50"/>
      <c r="B354" s="22" t="s">
        <v>60</v>
      </c>
      <c r="C354" s="14">
        <f>+SAM!AK19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50"/>
      <c r="B355" s="22" t="s">
        <v>61</v>
      </c>
      <c r="C355" s="14">
        <f>+SAM!AK20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50"/>
      <c r="B356" s="22" t="s">
        <v>62</v>
      </c>
      <c r="C356" s="14">
        <f>+SAM!AK21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50"/>
      <c r="B357" s="22" t="s">
        <v>63</v>
      </c>
      <c r="C357" s="14">
        <f>+SAM!AK22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50"/>
      <c r="B358" s="22" t="s">
        <v>64</v>
      </c>
      <c r="C358" s="14">
        <f>+SAM!AK23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50"/>
      <c r="B359" s="22" t="s">
        <v>65</v>
      </c>
      <c r="C359" s="14">
        <f>+SAM!AK24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50"/>
      <c r="B360" s="22" t="s">
        <v>66</v>
      </c>
      <c r="C360" s="14">
        <f>+SAM!AK25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50"/>
      <c r="B361" s="22" t="s">
        <v>67</v>
      </c>
      <c r="C361" s="14">
        <f>+SAM!AK26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50"/>
      <c r="B362" s="22" t="s">
        <v>68</v>
      </c>
      <c r="C362" s="14">
        <f>+SAM!AK27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50"/>
      <c r="B363" s="22" t="s">
        <v>69</v>
      </c>
      <c r="C363" s="14">
        <f>+SAM!AK28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50"/>
      <c r="B364" s="22" t="s">
        <v>70</v>
      </c>
      <c r="C364" s="14">
        <f>+SAM!AK29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50"/>
      <c r="B365" s="22" t="s">
        <v>71</v>
      </c>
      <c r="C365" s="23">
        <f>+SAM!AK30</f>
        <v>0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50"/>
      <c r="B366" s="22" t="s">
        <v>72</v>
      </c>
      <c r="C366" s="14">
        <f>+SAM!AK31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50"/>
      <c r="B367" s="22" t="s">
        <v>73</v>
      </c>
      <c r="C367" s="14">
        <f>+SAM!AK32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50"/>
      <c r="B368" s="22" t="s">
        <v>74</v>
      </c>
      <c r="C368" s="14">
        <f>+SAM!AK33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50"/>
      <c r="B369" s="22" t="s">
        <v>75</v>
      </c>
      <c r="C369" s="14">
        <f>+SAM!AK34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50"/>
      <c r="B370" s="22" t="s">
        <v>76</v>
      </c>
      <c r="C370" s="14">
        <f>+SAM!AK35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50"/>
      <c r="B371" s="22" t="s">
        <v>77</v>
      </c>
      <c r="C371" s="14">
        <f>+SAM!AK36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50"/>
      <c r="B372" s="22" t="s">
        <v>78</v>
      </c>
      <c r="C372" s="14">
        <f>+SAM!AK37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50"/>
      <c r="B373" s="22" t="s">
        <v>79</v>
      </c>
      <c r="C373" s="14">
        <f>+SAM!AK38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50"/>
      <c r="B374" s="22" t="s">
        <v>80</v>
      </c>
      <c r="C374" s="14">
        <f>+SAM!AK39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50"/>
      <c r="B375" s="22" t="s">
        <v>81</v>
      </c>
      <c r="C375" s="14">
        <f>+SAM!AK40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51"/>
      <c r="B376" s="32" t="s">
        <v>82</v>
      </c>
      <c r="C376" s="36">
        <f>+SAM!AK41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54" t="s">
        <v>39</v>
      </c>
      <c r="B377" s="22" t="s">
        <v>43</v>
      </c>
      <c r="C377" s="23">
        <f>+SAM!AO2</f>
        <v>7.4999999999999997E-3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7.3913542937723937E-3</v>
      </c>
      <c r="G377" s="46">
        <f t="shared" si="108"/>
        <v>9.1322322979881364E-3</v>
      </c>
      <c r="H377" s="46">
        <f t="shared" si="108"/>
        <v>1.0687325295812745E-2</v>
      </c>
      <c r="I377" s="46">
        <f t="shared" si="108"/>
        <v>1.2029929017905963E-2</v>
      </c>
      <c r="J377" s="46">
        <f t="shared" si="108"/>
        <v>1.3192151922170258E-2</v>
      </c>
      <c r="K377" s="46">
        <f t="shared" si="108"/>
        <v>1.4175321048687043E-2</v>
      </c>
      <c r="L377" s="46">
        <f t="shared" si="108"/>
        <v>1.5066103680872174E-2</v>
      </c>
      <c r="M377" s="46">
        <f t="shared" si="108"/>
        <v>1.5891064317751259E-2</v>
      </c>
      <c r="N377" s="46">
        <f t="shared" ref="N377:W386" si="109">+$C377*N$12</f>
        <v>1.666540151054649E-2</v>
      </c>
      <c r="O377" s="46">
        <f t="shared" si="109"/>
        <v>1.7404971207785998E-2</v>
      </c>
      <c r="P377" s="46">
        <f t="shared" si="109"/>
        <v>1.8123907562526239E-2</v>
      </c>
      <c r="Q377" s="46">
        <f t="shared" si="109"/>
        <v>1.8831144008958304E-2</v>
      </c>
      <c r="R377" s="46">
        <f t="shared" si="109"/>
        <v>1.9528585259546323E-2</v>
      </c>
      <c r="S377" s="46">
        <f t="shared" si="109"/>
        <v>2.0208052062873419E-2</v>
      </c>
      <c r="T377" s="46">
        <f t="shared" si="109"/>
        <v>2.0861133941437102E-2</v>
      </c>
      <c r="U377" s="46">
        <f t="shared" si="109"/>
        <v>2.1476366647320336E-2</v>
      </c>
      <c r="V377" s="46">
        <f t="shared" si="109"/>
        <v>2.2039548681517859E-2</v>
      </c>
      <c r="W377" s="46">
        <f t="shared" si="109"/>
        <v>2.2550916813687562E-2</v>
      </c>
      <c r="X377" s="46">
        <f t="shared" ref="X377:AE386" si="110">+$C377*X$12</f>
        <v>2.2981485762042307E-2</v>
      </c>
      <c r="Y377" s="46">
        <f t="shared" si="110"/>
        <v>2.3282022955552612E-2</v>
      </c>
      <c r="Z377" s="46">
        <f t="shared" si="110"/>
        <v>2.3510967702273268E-2</v>
      </c>
      <c r="AA377" s="46">
        <f t="shared" si="110"/>
        <v>2.3667123602112004E-2</v>
      </c>
      <c r="AB377" s="46">
        <f t="shared" si="110"/>
        <v>2.3743290603890618E-2</v>
      </c>
      <c r="AC377" s="46">
        <f t="shared" si="110"/>
        <v>2.3731326283669085E-2</v>
      </c>
      <c r="AD377" s="46">
        <f t="shared" si="110"/>
        <v>2.3484104965942065E-2</v>
      </c>
      <c r="AE377" s="46">
        <f t="shared" si="110"/>
        <v>2.4580795932142328E-2</v>
      </c>
    </row>
    <row r="378" spans="1:31" x14ac:dyDescent="0.2">
      <c r="A378" s="50"/>
      <c r="B378" s="22" t="s">
        <v>44</v>
      </c>
      <c r="C378" s="23">
        <f>+SAM!AO3</f>
        <v>1.7499999999999998E-2</v>
      </c>
      <c r="D378" s="44">
        <f t="shared" si="108"/>
        <v>0</v>
      </c>
      <c r="E378" s="44">
        <f t="shared" si="108"/>
        <v>0</v>
      </c>
      <c r="F378" s="44">
        <f t="shared" si="108"/>
        <v>1.7246493352135583E-2</v>
      </c>
      <c r="G378" s="44">
        <f t="shared" si="108"/>
        <v>2.1308542028638983E-2</v>
      </c>
      <c r="H378" s="44">
        <f t="shared" si="108"/>
        <v>2.4937092356896402E-2</v>
      </c>
      <c r="I378" s="44">
        <f t="shared" si="108"/>
        <v>2.8069834375113911E-2</v>
      </c>
      <c r="J378" s="44">
        <f t="shared" si="108"/>
        <v>3.0781687818397265E-2</v>
      </c>
      <c r="K378" s="44">
        <f t="shared" si="108"/>
        <v>3.3075749113603101E-2</v>
      </c>
      <c r="L378" s="44">
        <f t="shared" si="108"/>
        <v>3.5154241922035069E-2</v>
      </c>
      <c r="M378" s="44">
        <f t="shared" si="108"/>
        <v>3.7079150074752938E-2</v>
      </c>
      <c r="N378" s="44">
        <f t="shared" si="109"/>
        <v>3.8885936857941804E-2</v>
      </c>
      <c r="O378" s="44">
        <f t="shared" si="109"/>
        <v>4.0611599484833991E-2</v>
      </c>
      <c r="P378" s="44">
        <f t="shared" si="109"/>
        <v>4.2289117645894554E-2</v>
      </c>
      <c r="Q378" s="44">
        <f t="shared" si="109"/>
        <v>4.3939336020902713E-2</v>
      </c>
      <c r="R378" s="44">
        <f t="shared" si="109"/>
        <v>4.556669893894142E-2</v>
      </c>
      <c r="S378" s="44">
        <f t="shared" si="109"/>
        <v>4.7152121480037973E-2</v>
      </c>
      <c r="T378" s="44">
        <f t="shared" si="109"/>
        <v>4.8675979196686564E-2</v>
      </c>
      <c r="U378" s="44">
        <f t="shared" si="109"/>
        <v>5.0111522177080779E-2</v>
      </c>
      <c r="V378" s="44">
        <f t="shared" si="109"/>
        <v>5.1425613590208336E-2</v>
      </c>
      <c r="W378" s="44">
        <f t="shared" si="109"/>
        <v>5.2618805898604307E-2</v>
      </c>
      <c r="X378" s="44">
        <f t="shared" si="110"/>
        <v>5.3623466778098712E-2</v>
      </c>
      <c r="Y378" s="44">
        <f t="shared" si="110"/>
        <v>5.4324720229622758E-2</v>
      </c>
      <c r="Z378" s="44">
        <f t="shared" si="110"/>
        <v>5.4858924638637618E-2</v>
      </c>
      <c r="AA378" s="44">
        <f t="shared" si="110"/>
        <v>5.522328840492801E-2</v>
      </c>
      <c r="AB378" s="44">
        <f t="shared" si="110"/>
        <v>5.5401011409078105E-2</v>
      </c>
      <c r="AC378" s="44">
        <f t="shared" si="110"/>
        <v>5.537309466189453E-2</v>
      </c>
      <c r="AD378" s="44">
        <f t="shared" si="110"/>
        <v>5.4796244920531485E-2</v>
      </c>
      <c r="AE378" s="44">
        <f t="shared" si="110"/>
        <v>5.7355190508332092E-2</v>
      </c>
    </row>
    <row r="379" spans="1:31" x14ac:dyDescent="0.2">
      <c r="A379" s="50"/>
      <c r="B379" s="22" t="s">
        <v>45</v>
      </c>
      <c r="C379" s="14">
        <f>+SAM!AO4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50"/>
      <c r="B380" s="22" t="s">
        <v>46</v>
      </c>
      <c r="C380" s="14">
        <f>+SAM!AO5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50"/>
      <c r="B381" s="22" t="s">
        <v>47</v>
      </c>
      <c r="C381" s="14">
        <f>+SAM!AO6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50"/>
      <c r="B382" s="22" t="s">
        <v>48</v>
      </c>
      <c r="C382" s="14">
        <f>+SAM!AO7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50"/>
      <c r="B383" s="22" t="s">
        <v>49</v>
      </c>
      <c r="C383" s="14">
        <f>+SAM!AO8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50"/>
      <c r="B384" s="22" t="s">
        <v>50</v>
      </c>
      <c r="C384" s="14">
        <f>+SAM!AO9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50"/>
      <c r="B385" s="22" t="s">
        <v>51</v>
      </c>
      <c r="C385" s="14">
        <f>+SAM!AO10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50"/>
      <c r="B386" s="22" t="s">
        <v>52</v>
      </c>
      <c r="C386" s="14">
        <f>+SAM!AO11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50"/>
      <c r="B387" s="22" t="s">
        <v>53</v>
      </c>
      <c r="C387" s="14">
        <f>+SAM!AO12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50"/>
      <c r="B388" s="22" t="s">
        <v>54</v>
      </c>
      <c r="C388" s="14">
        <f>+SAM!AO13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50"/>
      <c r="B389" s="22" t="s">
        <v>55</v>
      </c>
      <c r="C389" s="14">
        <f>+SAM!AO14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50"/>
      <c r="B390" s="22" t="s">
        <v>56</v>
      </c>
      <c r="C390" s="14">
        <f>+SAM!AO15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50"/>
      <c r="B391" s="22" t="s">
        <v>57</v>
      </c>
      <c r="C391" s="14">
        <f>+SAM!AO16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50"/>
      <c r="B392" s="22" t="s">
        <v>58</v>
      </c>
      <c r="C392" s="14">
        <f>+SAM!AO17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50"/>
      <c r="B393" s="22" t="s">
        <v>59</v>
      </c>
      <c r="C393" s="14">
        <f>+SAM!AO18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50"/>
      <c r="B394" s="22" t="s">
        <v>60</v>
      </c>
      <c r="C394" s="14">
        <f>+SAM!AO19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50"/>
      <c r="B395" s="22" t="s">
        <v>61</v>
      </c>
      <c r="C395" s="14">
        <f>+SAM!AO20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50"/>
      <c r="B396" s="22" t="s">
        <v>62</v>
      </c>
      <c r="C396" s="14">
        <f>+SAM!AO21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50"/>
      <c r="B397" s="22" t="s">
        <v>63</v>
      </c>
      <c r="C397" s="14">
        <f>+SAM!AO22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50"/>
      <c r="B398" s="22" t="s">
        <v>64</v>
      </c>
      <c r="C398" s="14">
        <f>+SAM!AO23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50"/>
      <c r="B399" s="22" t="s">
        <v>65</v>
      </c>
      <c r="C399" s="14">
        <f>+SAM!AO24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50"/>
      <c r="B400" s="22" t="s">
        <v>66</v>
      </c>
      <c r="C400" s="14">
        <f>+SAM!AO25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50"/>
      <c r="B401" s="22" t="s">
        <v>67</v>
      </c>
      <c r="C401" s="14">
        <f>+SAM!AO26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50"/>
      <c r="B402" s="22" t="s">
        <v>68</v>
      </c>
      <c r="C402" s="14">
        <f>+SAM!AO27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50"/>
      <c r="B403" s="22" t="s">
        <v>69</v>
      </c>
      <c r="C403" s="14">
        <f>+SAM!AO28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50"/>
      <c r="B404" s="22" t="s">
        <v>70</v>
      </c>
      <c r="C404" s="14">
        <f>+SAM!AO29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50"/>
      <c r="B405" s="22" t="s">
        <v>71</v>
      </c>
      <c r="C405" s="23">
        <f>+SAM!AO30</f>
        <v>4.0000000000000001E-3</v>
      </c>
      <c r="D405" s="44">
        <f t="shared" si="114"/>
        <v>0</v>
      </c>
      <c r="E405" s="44">
        <f t="shared" si="114"/>
        <v>0</v>
      </c>
      <c r="F405" s="44">
        <f t="shared" si="114"/>
        <v>3.9420556233452763E-3</v>
      </c>
      <c r="G405" s="44">
        <f t="shared" si="114"/>
        <v>4.8705238922603401E-3</v>
      </c>
      <c r="H405" s="44">
        <f t="shared" si="114"/>
        <v>5.6999068244334644E-3</v>
      </c>
      <c r="I405" s="44">
        <f t="shared" si="114"/>
        <v>6.4159621428831809E-3</v>
      </c>
      <c r="J405" s="44">
        <f t="shared" si="114"/>
        <v>7.0358143584908044E-3</v>
      </c>
      <c r="K405" s="44">
        <f t="shared" si="114"/>
        <v>7.5601712259664236E-3</v>
      </c>
      <c r="L405" s="44">
        <f t="shared" si="114"/>
        <v>8.0352552964651595E-3</v>
      </c>
      <c r="M405" s="44">
        <f t="shared" si="114"/>
        <v>8.4752343028006716E-3</v>
      </c>
      <c r="N405" s="44">
        <f t="shared" si="115"/>
        <v>8.8882141389581282E-3</v>
      </c>
      <c r="O405" s="44">
        <f t="shared" si="115"/>
        <v>9.2826513108191996E-3</v>
      </c>
      <c r="P405" s="44">
        <f t="shared" si="115"/>
        <v>9.6660840333473285E-3</v>
      </c>
      <c r="Q405" s="44">
        <f t="shared" si="115"/>
        <v>1.0043276804777764E-2</v>
      </c>
      <c r="R405" s="44">
        <f t="shared" si="115"/>
        <v>1.0415245471758039E-2</v>
      </c>
      <c r="S405" s="44">
        <f t="shared" si="115"/>
        <v>1.0777627766865824E-2</v>
      </c>
      <c r="T405" s="44">
        <f t="shared" si="115"/>
        <v>1.1125938102099789E-2</v>
      </c>
      <c r="U405" s="44">
        <f t="shared" si="115"/>
        <v>1.1454062211904181E-2</v>
      </c>
      <c r="V405" s="44">
        <f t="shared" si="115"/>
        <v>1.1754425963476194E-2</v>
      </c>
      <c r="W405" s="44">
        <f t="shared" si="115"/>
        <v>1.20271556339667E-2</v>
      </c>
      <c r="X405" s="44">
        <f t="shared" si="116"/>
        <v>1.2256792406422565E-2</v>
      </c>
      <c r="Y405" s="44">
        <f t="shared" si="116"/>
        <v>1.241707890962806E-2</v>
      </c>
      <c r="Z405" s="44">
        <f t="shared" si="116"/>
        <v>1.2539182774545743E-2</v>
      </c>
      <c r="AA405" s="44">
        <f t="shared" si="116"/>
        <v>1.2622465921126404E-2</v>
      </c>
      <c r="AB405" s="44">
        <f t="shared" si="116"/>
        <v>1.2663088322074996E-2</v>
      </c>
      <c r="AC405" s="44">
        <f t="shared" si="116"/>
        <v>1.2656707351290181E-2</v>
      </c>
      <c r="AD405" s="44">
        <f t="shared" si="116"/>
        <v>1.2524855981835769E-2</v>
      </c>
      <c r="AE405" s="44">
        <f t="shared" si="116"/>
        <v>1.3109757830475908E-2</v>
      </c>
    </row>
    <row r="406" spans="1:31" x14ac:dyDescent="0.2">
      <c r="A406" s="50"/>
      <c r="B406" s="22" t="s">
        <v>72</v>
      </c>
      <c r="C406" s="14">
        <f>+SAM!AO31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50"/>
      <c r="B407" s="22" t="s">
        <v>73</v>
      </c>
      <c r="C407" s="23">
        <f>+SAM!AO32</f>
        <v>3.5000000000000005E-3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3.4492986704271174E-3</v>
      </c>
      <c r="G407" s="44">
        <f t="shared" si="117"/>
        <v>4.261708405727798E-3</v>
      </c>
      <c r="H407" s="44">
        <f t="shared" si="117"/>
        <v>4.9874184713792815E-3</v>
      </c>
      <c r="I407" s="44">
        <f t="shared" si="117"/>
        <v>5.613966875022784E-3</v>
      </c>
      <c r="J407" s="44">
        <f t="shared" si="117"/>
        <v>6.1563375636794551E-3</v>
      </c>
      <c r="K407" s="44">
        <f t="shared" si="117"/>
        <v>6.6151498227206215E-3</v>
      </c>
      <c r="L407" s="44">
        <f t="shared" si="117"/>
        <v>7.030848384407015E-3</v>
      </c>
      <c r="M407" s="44">
        <f t="shared" si="117"/>
        <v>7.4158300149505894E-3</v>
      </c>
      <c r="N407" s="44">
        <f t="shared" ref="N407:W416" si="118">+$C407*N$12</f>
        <v>7.777187371588363E-3</v>
      </c>
      <c r="O407" s="44">
        <f t="shared" si="118"/>
        <v>8.1223198969668006E-3</v>
      </c>
      <c r="P407" s="44">
        <f t="shared" si="118"/>
        <v>8.457823529178914E-3</v>
      </c>
      <c r="Q407" s="44">
        <f t="shared" si="118"/>
        <v>8.7878672041805436E-3</v>
      </c>
      <c r="R407" s="44">
        <f t="shared" si="118"/>
        <v>9.1133397877882858E-3</v>
      </c>
      <c r="S407" s="44">
        <f t="shared" si="118"/>
        <v>9.4304242960075967E-3</v>
      </c>
      <c r="T407" s="44">
        <f t="shared" si="118"/>
        <v>9.7351958393373152E-3</v>
      </c>
      <c r="U407" s="44">
        <f t="shared" si="118"/>
        <v>1.0022304435416159E-2</v>
      </c>
      <c r="V407" s="44">
        <f t="shared" si="118"/>
        <v>1.028512271804167E-2</v>
      </c>
      <c r="W407" s="44">
        <f t="shared" si="118"/>
        <v>1.0523761179720864E-2</v>
      </c>
      <c r="X407" s="44">
        <f t="shared" ref="X407:AE416" si="119">+$C407*X$12</f>
        <v>1.0724693355619746E-2</v>
      </c>
      <c r="Y407" s="44">
        <f t="shared" si="119"/>
        <v>1.0864944045924554E-2</v>
      </c>
      <c r="Z407" s="44">
        <f t="shared" si="119"/>
        <v>1.0971784927727527E-2</v>
      </c>
      <c r="AA407" s="44">
        <f t="shared" si="119"/>
        <v>1.1044657680985604E-2</v>
      </c>
      <c r="AB407" s="44">
        <f t="shared" si="119"/>
        <v>1.1080202281815624E-2</v>
      </c>
      <c r="AC407" s="44">
        <f t="shared" si="119"/>
        <v>1.107461893237891E-2</v>
      </c>
      <c r="AD407" s="44">
        <f t="shared" si="119"/>
        <v>1.0959248984106299E-2</v>
      </c>
      <c r="AE407" s="44">
        <f t="shared" si="119"/>
        <v>1.1471038101666421E-2</v>
      </c>
    </row>
    <row r="408" spans="1:31" x14ac:dyDescent="0.2">
      <c r="A408" s="50"/>
      <c r="B408" s="22" t="s">
        <v>74</v>
      </c>
      <c r="C408" s="14">
        <f>+SAM!AO33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50"/>
      <c r="B409" s="22" t="s">
        <v>75</v>
      </c>
      <c r="C409" s="14">
        <f>+SAM!AO34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50"/>
      <c r="B410" s="22" t="s">
        <v>76</v>
      </c>
      <c r="C410" s="14">
        <f>+SAM!AO35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50"/>
      <c r="B411" s="22" t="s">
        <v>77</v>
      </c>
      <c r="C411" s="14">
        <f>+SAM!AO36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50"/>
      <c r="B412" s="22" t="s">
        <v>78</v>
      </c>
      <c r="C412" s="23">
        <f>+SAM!AO37</f>
        <v>7.4999999999999997E-3</v>
      </c>
      <c r="D412" s="44">
        <f t="shared" si="117"/>
        <v>0</v>
      </c>
      <c r="E412" s="44">
        <f t="shared" si="117"/>
        <v>0</v>
      </c>
      <c r="F412" s="44">
        <f t="shared" si="117"/>
        <v>7.3913542937723937E-3</v>
      </c>
      <c r="G412" s="44">
        <f t="shared" si="117"/>
        <v>9.1322322979881364E-3</v>
      </c>
      <c r="H412" s="44">
        <f t="shared" si="117"/>
        <v>1.0687325295812745E-2</v>
      </c>
      <c r="I412" s="44">
        <f t="shared" si="117"/>
        <v>1.2029929017905963E-2</v>
      </c>
      <c r="J412" s="44">
        <f t="shared" si="117"/>
        <v>1.3192151922170258E-2</v>
      </c>
      <c r="K412" s="44">
        <f t="shared" si="117"/>
        <v>1.4175321048687043E-2</v>
      </c>
      <c r="L412" s="44">
        <f t="shared" si="117"/>
        <v>1.5066103680872174E-2</v>
      </c>
      <c r="M412" s="44">
        <f t="shared" si="117"/>
        <v>1.5891064317751259E-2</v>
      </c>
      <c r="N412" s="44">
        <f t="shared" si="118"/>
        <v>1.666540151054649E-2</v>
      </c>
      <c r="O412" s="44">
        <f t="shared" si="118"/>
        <v>1.7404971207785998E-2</v>
      </c>
      <c r="P412" s="44">
        <f t="shared" si="118"/>
        <v>1.8123907562526239E-2</v>
      </c>
      <c r="Q412" s="44">
        <f t="shared" si="118"/>
        <v>1.8831144008958304E-2</v>
      </c>
      <c r="R412" s="44">
        <f t="shared" si="118"/>
        <v>1.9528585259546323E-2</v>
      </c>
      <c r="S412" s="44">
        <f t="shared" si="118"/>
        <v>2.0208052062873419E-2</v>
      </c>
      <c r="T412" s="44">
        <f t="shared" si="118"/>
        <v>2.0861133941437102E-2</v>
      </c>
      <c r="U412" s="44">
        <f t="shared" si="118"/>
        <v>2.1476366647320336E-2</v>
      </c>
      <c r="V412" s="44">
        <f t="shared" si="118"/>
        <v>2.2039548681517859E-2</v>
      </c>
      <c r="W412" s="44">
        <f t="shared" si="118"/>
        <v>2.2550916813687562E-2</v>
      </c>
      <c r="X412" s="44">
        <f t="shared" si="119"/>
        <v>2.2981485762042307E-2</v>
      </c>
      <c r="Y412" s="44">
        <f t="shared" si="119"/>
        <v>2.3282022955552612E-2</v>
      </c>
      <c r="Z412" s="44">
        <f t="shared" si="119"/>
        <v>2.3510967702273268E-2</v>
      </c>
      <c r="AA412" s="44">
        <f t="shared" si="119"/>
        <v>2.3667123602112004E-2</v>
      </c>
      <c r="AB412" s="44">
        <f t="shared" si="119"/>
        <v>2.3743290603890618E-2</v>
      </c>
      <c r="AC412" s="44">
        <f t="shared" si="119"/>
        <v>2.3731326283669085E-2</v>
      </c>
      <c r="AD412" s="44">
        <f t="shared" si="119"/>
        <v>2.3484104965942065E-2</v>
      </c>
      <c r="AE412" s="44">
        <f t="shared" si="119"/>
        <v>2.4580795932142328E-2</v>
      </c>
    </row>
    <row r="413" spans="1:31" x14ac:dyDescent="0.2">
      <c r="A413" s="50"/>
      <c r="B413" s="22" t="s">
        <v>79</v>
      </c>
      <c r="C413" s="23">
        <f>+SAM!AO38</f>
        <v>5.000000000000001E-3</v>
      </c>
      <c r="D413" s="44">
        <f t="shared" si="117"/>
        <v>0</v>
      </c>
      <c r="E413" s="44">
        <f t="shared" si="117"/>
        <v>0</v>
      </c>
      <c r="F413" s="44">
        <f t="shared" si="117"/>
        <v>4.9275695291815967E-3</v>
      </c>
      <c r="G413" s="44">
        <f t="shared" si="117"/>
        <v>6.088154865325426E-3</v>
      </c>
      <c r="H413" s="44">
        <f t="shared" si="117"/>
        <v>7.1248835305418312E-3</v>
      </c>
      <c r="I413" s="44">
        <f t="shared" si="117"/>
        <v>8.0199526786039772E-3</v>
      </c>
      <c r="J413" s="44">
        <f t="shared" si="117"/>
        <v>8.7947679481135081E-3</v>
      </c>
      <c r="K413" s="44">
        <f t="shared" si="117"/>
        <v>9.4502140324580312E-3</v>
      </c>
      <c r="L413" s="44">
        <f t="shared" si="117"/>
        <v>1.004406912058145E-2</v>
      </c>
      <c r="M413" s="44">
        <f t="shared" si="117"/>
        <v>1.0594042878500843E-2</v>
      </c>
      <c r="N413" s="44">
        <f t="shared" si="118"/>
        <v>1.1110267673697662E-2</v>
      </c>
      <c r="O413" s="44">
        <f t="shared" si="118"/>
        <v>1.1603314138524001E-2</v>
      </c>
      <c r="P413" s="44">
        <f t="shared" si="118"/>
        <v>1.2082605041684163E-2</v>
      </c>
      <c r="Q413" s="44">
        <f t="shared" si="118"/>
        <v>1.2554096005972206E-2</v>
      </c>
      <c r="R413" s="44">
        <f t="shared" si="118"/>
        <v>1.3019056839697552E-2</v>
      </c>
      <c r="S413" s="44">
        <f t="shared" si="118"/>
        <v>1.3472034708582282E-2</v>
      </c>
      <c r="T413" s="44">
        <f t="shared" si="118"/>
        <v>1.3907422627624738E-2</v>
      </c>
      <c r="U413" s="44">
        <f t="shared" si="118"/>
        <v>1.4317577764880228E-2</v>
      </c>
      <c r="V413" s="44">
        <f t="shared" si="118"/>
        <v>1.4693032454345244E-2</v>
      </c>
      <c r="W413" s="44">
        <f t="shared" si="118"/>
        <v>1.5033944542458377E-2</v>
      </c>
      <c r="X413" s="44">
        <f t="shared" si="119"/>
        <v>1.5320990508028208E-2</v>
      </c>
      <c r="Y413" s="44">
        <f t="shared" si="119"/>
        <v>1.5521348637035078E-2</v>
      </c>
      <c r="Z413" s="44">
        <f t="shared" si="119"/>
        <v>1.5673978468182182E-2</v>
      </c>
      <c r="AA413" s="44">
        <f t="shared" si="119"/>
        <v>1.5778082401408006E-2</v>
      </c>
      <c r="AB413" s="44">
        <f t="shared" si="119"/>
        <v>1.5828860402593747E-2</v>
      </c>
      <c r="AC413" s="44">
        <f t="shared" si="119"/>
        <v>1.5820884189112729E-2</v>
      </c>
      <c r="AD413" s="44">
        <f t="shared" si="119"/>
        <v>1.5656069977294716E-2</v>
      </c>
      <c r="AE413" s="44">
        <f t="shared" si="119"/>
        <v>1.6387197288094887E-2</v>
      </c>
    </row>
    <row r="414" spans="1:31" x14ac:dyDescent="0.2">
      <c r="A414" s="50"/>
      <c r="B414" s="22" t="s">
        <v>80</v>
      </c>
      <c r="C414" s="14">
        <f>+SAM!AO39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50"/>
      <c r="B415" s="22" t="s">
        <v>81</v>
      </c>
      <c r="C415" s="23">
        <f>+SAM!AO40</f>
        <v>5.000000000000001E-3</v>
      </c>
      <c r="D415" s="44">
        <f t="shared" si="117"/>
        <v>0</v>
      </c>
      <c r="E415" s="44">
        <f t="shared" si="117"/>
        <v>0</v>
      </c>
      <c r="F415" s="44">
        <f t="shared" si="117"/>
        <v>4.9275695291815967E-3</v>
      </c>
      <c r="G415" s="44">
        <f t="shared" si="117"/>
        <v>6.088154865325426E-3</v>
      </c>
      <c r="H415" s="44">
        <f t="shared" si="117"/>
        <v>7.1248835305418312E-3</v>
      </c>
      <c r="I415" s="44">
        <f t="shared" si="117"/>
        <v>8.0199526786039772E-3</v>
      </c>
      <c r="J415" s="44">
        <f t="shared" si="117"/>
        <v>8.7947679481135081E-3</v>
      </c>
      <c r="K415" s="44">
        <f t="shared" si="117"/>
        <v>9.4502140324580312E-3</v>
      </c>
      <c r="L415" s="44">
        <f t="shared" si="117"/>
        <v>1.004406912058145E-2</v>
      </c>
      <c r="M415" s="44">
        <f t="shared" si="117"/>
        <v>1.0594042878500843E-2</v>
      </c>
      <c r="N415" s="44">
        <f t="shared" si="118"/>
        <v>1.1110267673697662E-2</v>
      </c>
      <c r="O415" s="44">
        <f t="shared" si="118"/>
        <v>1.1603314138524001E-2</v>
      </c>
      <c r="P415" s="44">
        <f t="shared" si="118"/>
        <v>1.2082605041684163E-2</v>
      </c>
      <c r="Q415" s="44">
        <f t="shared" si="118"/>
        <v>1.2554096005972206E-2</v>
      </c>
      <c r="R415" s="44">
        <f t="shared" si="118"/>
        <v>1.3019056839697552E-2</v>
      </c>
      <c r="S415" s="44">
        <f t="shared" si="118"/>
        <v>1.3472034708582282E-2</v>
      </c>
      <c r="T415" s="44">
        <f t="shared" si="118"/>
        <v>1.3907422627624738E-2</v>
      </c>
      <c r="U415" s="44">
        <f t="shared" si="118"/>
        <v>1.4317577764880228E-2</v>
      </c>
      <c r="V415" s="44">
        <f t="shared" si="118"/>
        <v>1.4693032454345244E-2</v>
      </c>
      <c r="W415" s="44">
        <f t="shared" si="118"/>
        <v>1.5033944542458377E-2</v>
      </c>
      <c r="X415" s="44">
        <f t="shared" si="119"/>
        <v>1.5320990508028208E-2</v>
      </c>
      <c r="Y415" s="44">
        <f t="shared" si="119"/>
        <v>1.5521348637035078E-2</v>
      </c>
      <c r="Z415" s="44">
        <f t="shared" si="119"/>
        <v>1.5673978468182182E-2</v>
      </c>
      <c r="AA415" s="44">
        <f t="shared" si="119"/>
        <v>1.5778082401408006E-2</v>
      </c>
      <c r="AB415" s="44">
        <f t="shared" si="119"/>
        <v>1.5828860402593747E-2</v>
      </c>
      <c r="AC415" s="44">
        <f t="shared" si="119"/>
        <v>1.5820884189112729E-2</v>
      </c>
      <c r="AD415" s="44">
        <f t="shared" si="119"/>
        <v>1.5656069977294716E-2</v>
      </c>
      <c r="AE415" s="44">
        <f t="shared" si="119"/>
        <v>1.6387197288094887E-2</v>
      </c>
    </row>
    <row r="416" spans="1:31" ht="16" customHeight="1" thickBot="1" x14ac:dyDescent="0.25">
      <c r="A416" s="51"/>
      <c r="B416" s="32" t="s">
        <v>82</v>
      </c>
      <c r="C416" s="36">
        <f>+SAM!AO41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SAM</vt:lpstr>
      <vt:lpstr>Government</vt:lpstr>
      <vt:lpstr>Firms</vt:lpstr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2026-07-30T00:42:33Z</dcterms:created>
  <dcterms:modified xsi:type="dcterms:W3CDTF">2026-08-26T00:27:58Z</dcterms:modified>
</cp:coreProperties>
</file>