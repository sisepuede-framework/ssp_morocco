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"/>
    </mc:Choice>
  </mc:AlternateContent>
  <xr:revisionPtr revIDLastSave="0" documentId="8_{DA3D30AB-30CE-A642-89A9-B198077BC605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Sheet 1" sheetId="1" r:id="rId1"/>
    <sheet name="fuel_cost_sav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" l="1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D54" i="2"/>
</calcChain>
</file>

<file path=xl/sharedStrings.xml><?xml version="1.0" encoding="utf-8"?>
<sst xmlns="http://schemas.openxmlformats.org/spreadsheetml/2006/main" count="187" uniqueCount="75">
  <si>
    <t>Avoided Production Costs (IPPU)</t>
  </si>
  <si>
    <t>Crop value</t>
  </si>
  <si>
    <t>Ecosystem services</t>
  </si>
  <si>
    <t>Food consumer savings</t>
  </si>
  <si>
    <t>Fuel cost savings (industry, buldings &amp; transport)</t>
  </si>
  <si>
    <t>Fuel cost savings (power sector)</t>
  </si>
  <si>
    <t>Human Health (air quality)</t>
  </si>
  <si>
    <t>Human Health (diets and Sanitation)</t>
  </si>
  <si>
    <t>Livestock value</t>
  </si>
  <si>
    <t>Net Reduction in Capital Costs</t>
  </si>
  <si>
    <t>O&amp;M savings</t>
  </si>
  <si>
    <t>Reduce Environmental Damage (fertilizers)</t>
  </si>
  <si>
    <t>Reduce Environmental Damage (waste pollution)</t>
  </si>
  <si>
    <t>Reduce Environmental Damage (water pollution)</t>
  </si>
  <si>
    <t>Transporation Infrastructure Costs Savings</t>
  </si>
  <si>
    <t>Transport (congestion)</t>
  </si>
  <si>
    <t>Transport (road safety)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</si>
  <si>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</si>
  <si>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</si>
  <si>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</si>
  <si>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</si>
  <si>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</si>
  <si>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</si>
  <si>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</si>
  <si>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</si>
  <si>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</si>
  <si>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</si>
  <si>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</si>
  <si>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</si>
  <si>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</si>
  <si>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</si>
  <si>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</si>
  <si>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</si>
  <si>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</si>
  <si>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</si>
  <si>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</si>
  <si>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</si>
  <si>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</si>
  <si>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</si>
  <si>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</si>
  <si>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</si>
  <si>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</si>
  <si>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</si>
  <si>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</si>
  <si>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</si>
  <si>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LTS</t>
  </si>
  <si>
    <t>CB Type</t>
  </si>
  <si>
    <t>units: billion 2019 USD</t>
  </si>
  <si>
    <t>landfill</t>
  </si>
  <si>
    <t>anaerobic</t>
  </si>
  <si>
    <t>waste_to_energy_value</t>
  </si>
  <si>
    <t>natural_gas</t>
  </si>
  <si>
    <t>kerosene</t>
  </si>
  <si>
    <t>hydrogen</t>
  </si>
  <si>
    <t>hydrocarbon_gas_liquids</t>
  </si>
  <si>
    <t>gasoline</t>
  </si>
  <si>
    <t>electricity</t>
  </si>
  <si>
    <t>diesel</t>
  </si>
  <si>
    <t>biofuels</t>
  </si>
  <si>
    <t>trns</t>
  </si>
  <si>
    <t>coal</t>
  </si>
  <si>
    <t>biomass</t>
  </si>
  <si>
    <t>scoe</t>
  </si>
  <si>
    <t>oil</t>
  </si>
  <si>
    <t>coke</t>
  </si>
  <si>
    <t>inen</t>
  </si>
  <si>
    <t>waste</t>
  </si>
  <si>
    <t>other</t>
  </si>
  <si>
    <t>nuclear</t>
  </si>
  <si>
    <t>biogas</t>
  </si>
  <si>
    <t>entc</t>
  </si>
  <si>
    <t>ccsq</t>
  </si>
  <si>
    <t>Sector</t>
  </si>
  <si>
    <t>Fuel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</si>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</sst>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3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4"/>
  </cellStyleXfs>
  <cellXfs count="1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vertical="top"/>
    </xf>
    <xf numFmtId="0" fontId="2" fillId="0" borderId="4" xfId="1"/>
    <xf numFmtId="4" fontId="1" fillId="0" borderId="4" xfId="1" applyNumberFormat="1" applyFont="1" applyAlignment="1">
      <alignment vertical="center"/>
    </xf>
    <xf numFmtId="0" fontId="1" fillId="0" borderId="4" xfId="1" applyFont="1" applyAlignment="1">
      <alignment horizontal="left" vertical="top"/>
    </xf>
    <xf numFmtId="0" fontId="1" fillId="0" borderId="4" xfId="1" applyFont="1" applyAlignment="1">
      <alignment horizontal="center"/>
    </xf>
    <xf numFmtId="0" fontId="1" fillId="0" borderId="4" xfId="1" applyFont="1" applyAlignment="1">
      <alignment horizontal="left"/>
    </xf>
    <xf numFmtId="164" fontId="2" fillId="0" borderId="4" xfId="1" applyNumberFormat="1"/>
    <xf numFmtId="0" fontId="1" fillId="0" borderId="4" xfId="1" applyFont="1" applyAlignment="1">
      <alignment horizontal="left" vertical="top"/>
    </xf>
    <xf numFmtId="0" fontId="1" fillId="0" borderId="4" xfId="1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Normal" xfId="0" builtinId="0"/>
    <cellStyle name="Normal 2" xfId="1" xr:uid="{C2F33BFB-EA36-0C40-98ED-42E9203018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workbookViewId="0">
      <selection activeCell="C25" sqref="C25"/>
    </sheetView>
  </sheetViews>
  <sheetFormatPr baseColWidth="10" defaultColWidth="8.83203125" defaultRowHeight="15" x14ac:dyDescent="0.2"/>
  <cols>
    <col min="1" max="1" width="35.83203125" bestFit="1" customWidth="1"/>
  </cols>
  <sheetData>
    <row r="1" spans="1:29" x14ac:dyDescent="0.2">
      <c r="B1" s="14" t="s">
        <v>45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x14ac:dyDescent="0.2">
      <c r="A2" s="3" t="s">
        <v>46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  <c r="Z2" s="2" t="s">
        <v>41</v>
      </c>
      <c r="AA2" s="2" t="s">
        <v>42</v>
      </c>
      <c r="AB2" s="2" t="s">
        <v>43</v>
      </c>
      <c r="AC2" s="2" t="s">
        <v>44</v>
      </c>
    </row>
    <row r="3" spans="1:29" x14ac:dyDescent="0.2">
      <c r="A3" s="1" t="s">
        <v>0</v>
      </c>
      <c r="B3" s="4">
        <v>0</v>
      </c>
      <c r="C3" s="4">
        <v>0</v>
      </c>
      <c r="D3" s="4">
        <v>0</v>
      </c>
      <c r="E3" s="4">
        <v>7.8373616475921684E-3</v>
      </c>
      <c r="F3" s="4">
        <v>1.5908461925593285E-2</v>
      </c>
      <c r="G3" s="4">
        <v>2.4216916348334158E-2</v>
      </c>
      <c r="H3" s="4">
        <v>3.2772873562904883E-2</v>
      </c>
      <c r="I3" s="4">
        <v>4.1573130308034389E-2</v>
      </c>
      <c r="J3" s="4">
        <v>5.0618976834058096E-2</v>
      </c>
      <c r="K3" s="4">
        <v>5.9911568991776909E-2</v>
      </c>
      <c r="L3" s="4">
        <v>6.9451924648217464E-2</v>
      </c>
      <c r="M3" s="4">
        <v>7.9240920179440594E-2</v>
      </c>
      <c r="N3" s="4">
        <v>8.9279287048969647E-2</v>
      </c>
      <c r="O3" s="4">
        <v>9.9567608443378808E-2</v>
      </c>
      <c r="P3" s="4">
        <v>0.11010631603141852</v>
      </c>
      <c r="Q3" s="4">
        <v>0.12089568677545043</v>
      </c>
      <c r="R3" s="4">
        <v>0.13193583987552204</v>
      </c>
      <c r="S3" s="4">
        <v>0.14322673375923312</v>
      </c>
      <c r="T3" s="4">
        <v>0.15479317415099769</v>
      </c>
      <c r="U3" s="4">
        <v>0.16664053635344522</v>
      </c>
      <c r="V3" s="4">
        <v>0.17877429135216955</v>
      </c>
      <c r="W3" s="4">
        <v>0.19120000740956505</v>
      </c>
      <c r="X3" s="4">
        <v>0.20392335176678286</v>
      </c>
      <c r="Y3" s="4">
        <v>0.21695009227981368</v>
      </c>
      <c r="Z3" s="4">
        <v>0.23028609910304929</v>
      </c>
      <c r="AA3" s="4">
        <v>0.2439373465053073</v>
      </c>
      <c r="AB3" s="4">
        <v>0.25790991456069456</v>
      </c>
      <c r="AC3" s="4">
        <v>0.27220999098142995</v>
      </c>
    </row>
    <row r="4" spans="1:29" x14ac:dyDescent="0.2">
      <c r="A4" s="1" t="s">
        <v>1</v>
      </c>
      <c r="B4" s="4">
        <v>0</v>
      </c>
      <c r="C4" s="4">
        <v>0</v>
      </c>
      <c r="D4" s="4">
        <v>-0.13491357222195494</v>
      </c>
      <c r="E4" s="4">
        <v>-0.1429514558653632</v>
      </c>
      <c r="F4" s="4">
        <v>-0.13609067647690196</v>
      </c>
      <c r="G4" s="4">
        <v>-0.11369818011797869</v>
      </c>
      <c r="H4" s="4">
        <v>-7.7448324711139965E-2</v>
      </c>
      <c r="I4" s="4">
        <v>-2.7433592993467995E-2</v>
      </c>
      <c r="J4" s="4">
        <v>3.6124137506619011E-2</v>
      </c>
      <c r="K4" s="4">
        <v>0.1131697683323003</v>
      </c>
      <c r="L4" s="4">
        <v>0.20405888013267348</v>
      </c>
      <c r="M4" s="4">
        <v>0.3095275073041619</v>
      </c>
      <c r="N4" s="4">
        <v>0.43002515430427474</v>
      </c>
      <c r="O4" s="4">
        <v>0.56451290967324996</v>
      </c>
      <c r="P4" s="4">
        <v>0.70986994208792775</v>
      </c>
      <c r="Q4" s="4">
        <v>0.86185574088702532</v>
      </c>
      <c r="R4" s="4">
        <v>1.0167591670511693</v>
      </c>
      <c r="S4" s="4">
        <v>1.1723417444995456</v>
      </c>
      <c r="T4" s="4">
        <v>1.3282160701220942</v>
      </c>
      <c r="U4" s="4">
        <v>1.4850272810746306</v>
      </c>
      <c r="V4" s="4">
        <v>1.6440302409493739</v>
      </c>
      <c r="W4" s="4">
        <v>1.8067930021086669</v>
      </c>
      <c r="X4" s="4">
        <v>1.9750302325182203</v>
      </c>
      <c r="Y4" s="4">
        <v>2.1505157273685782</v>
      </c>
      <c r="Z4" s="4">
        <v>2.3350295000691661</v>
      </c>
      <c r="AA4" s="4">
        <v>2.5304490122332921</v>
      </c>
      <c r="AB4" s="4">
        <v>2.7254676870412728</v>
      </c>
      <c r="AC4" s="4">
        <v>2.9276560636097768</v>
      </c>
    </row>
    <row r="5" spans="1:29" x14ac:dyDescent="0.2">
      <c r="A5" s="1" t="s">
        <v>2</v>
      </c>
      <c r="B5" s="4">
        <v>0</v>
      </c>
      <c r="C5" s="4">
        <v>0</v>
      </c>
      <c r="D5" s="4">
        <v>7.3090448938549005E-2</v>
      </c>
      <c r="E5" s="4">
        <v>9.0305389265784283E-2</v>
      </c>
      <c r="F5" s="4">
        <v>0.10568565406353199</v>
      </c>
      <c r="G5" s="4">
        <v>0.11896713794653022</v>
      </c>
      <c r="H5" s="4">
        <v>0.13046737031117583</v>
      </c>
      <c r="I5" s="4">
        <v>0.14019944776599044</v>
      </c>
      <c r="J5" s="4">
        <v>0.14902040245477605</v>
      </c>
      <c r="K5" s="4">
        <v>0.15719292816680663</v>
      </c>
      <c r="L5" s="4">
        <v>0.16486732331209558</v>
      </c>
      <c r="M5" s="4">
        <v>0.1722003692423679</v>
      </c>
      <c r="N5" s="4">
        <v>0.17933182656127003</v>
      </c>
      <c r="O5" s="4">
        <v>0.18635002520747682</v>
      </c>
      <c r="P5" s="4">
        <v>0.19327379578521209</v>
      </c>
      <c r="Q5" s="4">
        <v>0.20002224407096297</v>
      </c>
      <c r="R5" s="4">
        <v>0.20651218949163694</v>
      </c>
      <c r="S5" s="4">
        <v>0.21263024222528606</v>
      </c>
      <c r="T5" s="4">
        <v>0.21823594019907996</v>
      </c>
      <c r="U5" s="4">
        <v>0.2233316216508052</v>
      </c>
      <c r="V5" s="4">
        <v>0.22763065768566668</v>
      </c>
      <c r="W5" s="4">
        <v>0.23064630674554237</v>
      </c>
      <c r="X5" s="4">
        <v>0.23295634733922185</v>
      </c>
      <c r="Y5" s="4">
        <v>0.23454893005103486</v>
      </c>
      <c r="Z5" s="4">
        <v>0.23535283866313189</v>
      </c>
      <c r="AA5" s="4">
        <v>0.23528776749144728</v>
      </c>
      <c r="AB5" s="4">
        <v>0.23289847185617896</v>
      </c>
      <c r="AC5" s="4">
        <v>0.24379574088735845</v>
      </c>
    </row>
    <row r="6" spans="1:29" x14ac:dyDescent="0.2">
      <c r="A6" s="1" t="s">
        <v>3</v>
      </c>
      <c r="B6" s="4">
        <v>0</v>
      </c>
      <c r="C6" s="4">
        <v>0</v>
      </c>
      <c r="D6" s="4">
        <v>0.10635271735603131</v>
      </c>
      <c r="E6" s="4">
        <v>0.2786148090672263</v>
      </c>
      <c r="F6" s="4">
        <v>0.45339473708671013</v>
      </c>
      <c r="G6" s="4">
        <v>0.63065577833216335</v>
      </c>
      <c r="H6" s="4">
        <v>0.81036015245095361</v>
      </c>
      <c r="I6" s="4">
        <v>0.99245862667607976</v>
      </c>
      <c r="J6" s="4">
        <v>1.1769056590202411</v>
      </c>
      <c r="K6" s="4">
        <v>1.3636614278351109</v>
      </c>
      <c r="L6" s="4">
        <v>1.5526970551547907</v>
      </c>
      <c r="M6" s="4">
        <v>1.7439936354542784</v>
      </c>
      <c r="N6" s="4">
        <v>1.9375273897519625</v>
      </c>
      <c r="O6" s="4">
        <v>2.1332513187272548</v>
      </c>
      <c r="P6" s="4">
        <v>2.3310929040705717</v>
      </c>
      <c r="Q6" s="4">
        <v>2.530980543528234</v>
      </c>
      <c r="R6" s="4">
        <v>2.7328742570305589</v>
      </c>
      <c r="S6" s="4">
        <v>2.9367644546546749</v>
      </c>
      <c r="T6" s="4">
        <v>3.1426795316797551</v>
      </c>
      <c r="U6" s="4">
        <v>3.3506470522258525</v>
      </c>
      <c r="V6" s="4">
        <v>3.5607016459838015</v>
      </c>
      <c r="W6" s="4">
        <v>3.7728934305627346</v>
      </c>
      <c r="X6" s="4">
        <v>3.9872846440787222</v>
      </c>
      <c r="Y6" s="4">
        <v>4.203950649690662</v>
      </c>
      <c r="Z6" s="4">
        <v>4.4229557863066713</v>
      </c>
      <c r="AA6" s="4">
        <v>4.6443879082471504</v>
      </c>
      <c r="AB6" s="4">
        <v>4.8678675875695676</v>
      </c>
      <c r="AC6" s="4">
        <v>5.0939114234343794</v>
      </c>
    </row>
    <row r="7" spans="1:29" x14ac:dyDescent="0.2">
      <c r="A7" s="1" t="s">
        <v>4</v>
      </c>
      <c r="B7" s="4">
        <v>0</v>
      </c>
      <c r="C7" s="4">
        <v>0</v>
      </c>
      <c r="D7" s="4">
        <v>-0.97251180047301566</v>
      </c>
      <c r="E7" s="4">
        <v>-0.53297072452484506</v>
      </c>
      <c r="F7" s="4">
        <v>6.480020823552788E-3</v>
      </c>
      <c r="G7" s="4">
        <v>0.57833618507415918</v>
      </c>
      <c r="H7" s="4">
        <v>1.3164489487342432</v>
      </c>
      <c r="I7" s="4">
        <v>2.1310154423684255</v>
      </c>
      <c r="J7" s="4">
        <v>2.6942708341380923</v>
      </c>
      <c r="K7" s="4">
        <v>3.416973426198791</v>
      </c>
      <c r="L7" s="4">
        <v>4.6546798403099405</v>
      </c>
      <c r="M7" s="4">
        <v>6.2850393851867148</v>
      </c>
      <c r="N7" s="4">
        <v>8.6209068023708824</v>
      </c>
      <c r="O7" s="4">
        <v>11.705033020425873</v>
      </c>
      <c r="P7" s="4">
        <v>15.315597254172239</v>
      </c>
      <c r="Q7" s="4">
        <v>18.560851036650913</v>
      </c>
      <c r="R7" s="4">
        <v>20.962077617938011</v>
      </c>
      <c r="S7" s="4">
        <v>22.668715034173154</v>
      </c>
      <c r="T7" s="4">
        <v>24.022834949460989</v>
      </c>
      <c r="U7" s="4">
        <v>25.223428550209871</v>
      </c>
      <c r="V7" s="4">
        <v>26.376868260047075</v>
      </c>
      <c r="W7" s="4">
        <v>27.531059241283369</v>
      </c>
      <c r="X7" s="4">
        <v>28.607686737199366</v>
      </c>
      <c r="Y7" s="4">
        <v>29.703722620759539</v>
      </c>
      <c r="Z7" s="4">
        <v>30.838913372907349</v>
      </c>
      <c r="AA7" s="4">
        <v>32.013603069561746</v>
      </c>
      <c r="AB7" s="4">
        <v>33.225861199113361</v>
      </c>
      <c r="AC7" s="4">
        <v>34.477708745109979</v>
      </c>
    </row>
    <row r="8" spans="1:29" x14ac:dyDescent="0.2">
      <c r="A8" s="1" t="s">
        <v>5</v>
      </c>
      <c r="B8" s="4">
        <v>0</v>
      </c>
      <c r="C8" s="4">
        <v>0</v>
      </c>
      <c r="D8" s="4">
        <v>-6.954076974905167E-2</v>
      </c>
      <c r="E8" s="4">
        <v>-4.4595680226076614E-2</v>
      </c>
      <c r="F8" s="4">
        <v>1.100280054005285E-2</v>
      </c>
      <c r="G8" s="4">
        <v>0.10658076584216108</v>
      </c>
      <c r="H8" s="4">
        <v>0.24592445734523544</v>
      </c>
      <c r="I8" s="4">
        <v>0.33160312254790564</v>
      </c>
      <c r="J8" s="4">
        <v>0.30959197360751539</v>
      </c>
      <c r="K8" s="4">
        <v>0.34785052824578744</v>
      </c>
      <c r="L8" s="4">
        <v>0.38820520538856967</v>
      </c>
      <c r="M8" s="4">
        <v>0.43138830751498392</v>
      </c>
      <c r="N8" s="4">
        <v>0.46942485020293351</v>
      </c>
      <c r="O8" s="4">
        <v>0.47142696598463224</v>
      </c>
      <c r="P8" s="4">
        <v>0.45848653896377911</v>
      </c>
      <c r="Q8" s="4">
        <v>0.44790401249702089</v>
      </c>
      <c r="R8" s="4">
        <v>0.43974495530422142</v>
      </c>
      <c r="S8" s="4">
        <v>0.43004035018010817</v>
      </c>
      <c r="T8" s="4">
        <v>0.42644805583409851</v>
      </c>
      <c r="U8" s="4">
        <v>0.42462423092637713</v>
      </c>
      <c r="V8" s="4">
        <v>0.42451204854464303</v>
      </c>
      <c r="W8" s="4">
        <v>0.51959501416988974</v>
      </c>
      <c r="X8" s="4">
        <v>0.52062709498915982</v>
      </c>
      <c r="Y8" s="4">
        <v>0.52302882211326573</v>
      </c>
      <c r="Z8" s="4">
        <v>0.52640395490023928</v>
      </c>
      <c r="AA8" s="4">
        <v>0.53186258735376479</v>
      </c>
      <c r="AB8" s="4">
        <v>0.54081362886695028</v>
      </c>
      <c r="AC8" s="4">
        <v>0.54925081716409729</v>
      </c>
    </row>
    <row r="9" spans="1:29" x14ac:dyDescent="0.2">
      <c r="A9" s="1" t="s">
        <v>6</v>
      </c>
      <c r="B9" s="4">
        <v>0</v>
      </c>
      <c r="C9" s="4">
        <v>0</v>
      </c>
      <c r="D9" s="4">
        <v>-7.7440342485275843E-3</v>
      </c>
      <c r="E9" s="4">
        <v>4.337133073746504E-2</v>
      </c>
      <c r="F9" s="4">
        <v>0.10637861433814361</v>
      </c>
      <c r="G9" s="4">
        <v>0.20183512347768548</v>
      </c>
      <c r="H9" s="4">
        <v>0.33766338666814494</v>
      </c>
      <c r="I9" s="4">
        <v>0.47595554956523478</v>
      </c>
      <c r="J9" s="4">
        <v>0.57899763185708975</v>
      </c>
      <c r="K9" s="4">
        <v>0.66142016439109552</v>
      </c>
      <c r="L9" s="4">
        <v>0.83081029819163865</v>
      </c>
      <c r="M9" s="4">
        <v>1.0036750134610988</v>
      </c>
      <c r="N9" s="4">
        <v>1.1819836390192264</v>
      </c>
      <c r="O9" s="4">
        <v>1.3534544791634235</v>
      </c>
      <c r="P9" s="4">
        <v>1.5295015734424056</v>
      </c>
      <c r="Q9" s="4">
        <v>1.7099752668452781</v>
      </c>
      <c r="R9" s="4">
        <v>1.8947213608125499</v>
      </c>
      <c r="S9" s="4">
        <v>2.0835755724401643</v>
      </c>
      <c r="T9" s="4">
        <v>2.2772470439404242</v>
      </c>
      <c r="U9" s="4">
        <v>2.4757961169168157</v>
      </c>
      <c r="V9" s="4">
        <v>2.6792721944404745</v>
      </c>
      <c r="W9" s="4">
        <v>2.8877118589902224</v>
      </c>
      <c r="X9" s="4">
        <v>3.1011390058072634</v>
      </c>
      <c r="Y9" s="4">
        <v>3.319564164668491</v>
      </c>
      <c r="Z9" s="4">
        <v>3.5429878122508565</v>
      </c>
      <c r="AA9" s="4">
        <v>3.7713945578070991</v>
      </c>
      <c r="AB9" s="4">
        <v>4.0047480624749241</v>
      </c>
      <c r="AC9" s="4">
        <v>4.243020161084476</v>
      </c>
    </row>
    <row r="10" spans="1:29" x14ac:dyDescent="0.2">
      <c r="A10" s="1" t="s">
        <v>7</v>
      </c>
      <c r="B10" s="4">
        <v>0</v>
      </c>
      <c r="C10" s="4">
        <v>0</v>
      </c>
      <c r="D10" s="4">
        <v>8.5082173884825071E-2</v>
      </c>
      <c r="E10" s="4">
        <v>0.17127499540754468</v>
      </c>
      <c r="F10" s="4">
        <v>0.25855413221743939</v>
      </c>
      <c r="G10" s="4">
        <v>0.34689105142831228</v>
      </c>
      <c r="H10" s="4">
        <v>0.43625377438437929</v>
      </c>
      <c r="I10" s="4">
        <v>0.52660772014464108</v>
      </c>
      <c r="J10" s="4">
        <v>0.61791663538162978</v>
      </c>
      <c r="K10" s="4">
        <v>0.71014381866054621</v>
      </c>
      <c r="L10" s="4">
        <v>0.80325362517154364</v>
      </c>
      <c r="M10" s="4">
        <v>0.89721218597083097</v>
      </c>
      <c r="N10" s="4">
        <v>0.99198698444197375</v>
      </c>
      <c r="O10" s="4">
        <v>1.0875483921348388</v>
      </c>
      <c r="P10" s="4">
        <v>1.1838696963600002</v>
      </c>
      <c r="Q10" s="4">
        <v>1.2809258649044035</v>
      </c>
      <c r="R10" s="4">
        <v>1.3786955660180156</v>
      </c>
      <c r="S10" s="4">
        <v>1.4771604118651096</v>
      </c>
      <c r="T10" s="4">
        <v>1.5763059626867584</v>
      </c>
      <c r="U10" s="4">
        <v>1.6761228501508376</v>
      </c>
      <c r="V10" s="4">
        <v>1.7766053406775817</v>
      </c>
      <c r="W10" s="4">
        <v>1.8777556570931406</v>
      </c>
      <c r="X10" s="4">
        <v>1.9795817600093226</v>
      </c>
      <c r="Y10" s="4">
        <v>2.0820973776572615</v>
      </c>
      <c r="Z10" s="4">
        <v>2.1853094098882693</v>
      </c>
      <c r="AA10" s="4">
        <v>2.2892350779958988</v>
      </c>
      <c r="AB10" s="4">
        <v>2.393895601419767</v>
      </c>
      <c r="AC10" s="4">
        <v>2.4993126513000012</v>
      </c>
    </row>
    <row r="11" spans="1:29" x14ac:dyDescent="0.2">
      <c r="A11" s="1" t="s">
        <v>8</v>
      </c>
      <c r="B11" s="4">
        <v>0</v>
      </c>
      <c r="C11" s="4">
        <v>0</v>
      </c>
      <c r="D11" s="4">
        <v>-3.3880204000000004E-2</v>
      </c>
      <c r="E11" s="4">
        <v>-4.2680187999999994E-2</v>
      </c>
      <c r="F11" s="4">
        <v>-4.9429132000000008E-2</v>
      </c>
      <c r="G11" s="4">
        <v>-5.4759131999999995E-2</v>
      </c>
      <c r="H11" s="4">
        <v>-5.8772852000000014E-2</v>
      </c>
      <c r="I11" s="4">
        <v>-6.2012947999999998E-2</v>
      </c>
      <c r="J11" s="4">
        <v>-6.5266699999999997E-2</v>
      </c>
      <c r="K11" s="4">
        <v>-6.9709404000000003E-2</v>
      </c>
      <c r="L11" s="4">
        <v>-7.6990840000000005E-2</v>
      </c>
      <c r="M11" s="4">
        <v>-8.8965991999999994E-2</v>
      </c>
      <c r="N11" s="4">
        <v>-0.10672861</v>
      </c>
      <c r="O11" s="4">
        <v>-0.12931379600000004</v>
      </c>
      <c r="P11" s="4">
        <v>-0.15360224599999994</v>
      </c>
      <c r="Q11" s="4">
        <v>-0.17602778799999996</v>
      </c>
      <c r="R11" s="4">
        <v>-0.19424854399999994</v>
      </c>
      <c r="S11" s="4">
        <v>-0.20741167399999999</v>
      </c>
      <c r="T11" s="4">
        <v>-0.21555140399999997</v>
      </c>
      <c r="U11" s="4">
        <v>-0.21910827599999999</v>
      </c>
      <c r="V11" s="4">
        <v>-0.21859965799999992</v>
      </c>
      <c r="W11" s="4">
        <v>-0.21442191999999999</v>
      </c>
      <c r="X11" s="4">
        <v>-0.20688203600000002</v>
      </c>
      <c r="Y11" s="4">
        <v>-0.19612354000000001</v>
      </c>
      <c r="Z11" s="4">
        <v>-0.18211381199999996</v>
      </c>
      <c r="AA11" s="4">
        <v>-0.16471218999999998</v>
      </c>
      <c r="AB11" s="4">
        <v>-0.12908798999999999</v>
      </c>
      <c r="AC11" s="4">
        <v>-8.4850374000000034E-2</v>
      </c>
    </row>
    <row r="12" spans="1:29" x14ac:dyDescent="0.2">
      <c r="A12" s="1" t="s">
        <v>9</v>
      </c>
      <c r="B12" s="4">
        <v>0</v>
      </c>
      <c r="C12" s="4">
        <v>0</v>
      </c>
      <c r="D12" s="4">
        <v>-2.7280552296972371</v>
      </c>
      <c r="E12" s="4">
        <v>-2.6614720142343171</v>
      </c>
      <c r="F12" s="4">
        <v>-4.7300426771678081</v>
      </c>
      <c r="G12" s="4">
        <v>-5.8981799510841322</v>
      </c>
      <c r="H12" s="4">
        <v>-11.198122095640828</v>
      </c>
      <c r="I12" s="4">
        <v>-16.617731278181449</v>
      </c>
      <c r="J12" s="4">
        <v>-15.2762595164691</v>
      </c>
      <c r="K12" s="4">
        <v>-7.7725217897337773</v>
      </c>
      <c r="L12" s="4">
        <v>-5.86428220074185</v>
      </c>
      <c r="M12" s="4">
        <v>-6.5224478241759947</v>
      </c>
      <c r="N12" s="4">
        <v>-7.2559440440552487</v>
      </c>
      <c r="O12" s="4">
        <v>-7.9885692771614467</v>
      </c>
      <c r="P12" s="4">
        <v>-10.154020636528426</v>
      </c>
      <c r="Q12" s="4">
        <v>-10.589343670146347</v>
      </c>
      <c r="R12" s="4">
        <v>-10.82001827015775</v>
      </c>
      <c r="S12" s="4">
        <v>-10.210429077134652</v>
      </c>
      <c r="T12" s="4">
        <v>-11.468967098964846</v>
      </c>
      <c r="U12" s="4">
        <v>-11.739624400807759</v>
      </c>
      <c r="V12" s="4">
        <v>-12.02214150514758</v>
      </c>
      <c r="W12" s="4">
        <v>-11.205242947360519</v>
      </c>
      <c r="X12" s="4">
        <v>-13.490683340238201</v>
      </c>
      <c r="Y12" s="4">
        <v>-12.901062066439705</v>
      </c>
      <c r="Z12" s="4">
        <v>-14.021307237146029</v>
      </c>
      <c r="AA12" s="4">
        <v>-14.135801847438492</v>
      </c>
      <c r="AB12" s="4">
        <v>-15.948710844197938</v>
      </c>
      <c r="AC12" s="4">
        <v>-20.148944428982251</v>
      </c>
    </row>
    <row r="13" spans="1:29" x14ac:dyDescent="0.2">
      <c r="A13" s="1" t="s">
        <v>10</v>
      </c>
      <c r="B13" s="4">
        <v>0</v>
      </c>
      <c r="C13" s="4">
        <v>0</v>
      </c>
      <c r="D13" s="4">
        <v>4.6039399216656301E-4</v>
      </c>
      <c r="E13" s="4">
        <v>1.2348757364119723E-3</v>
      </c>
      <c r="F13" s="4">
        <v>2.0134498701581613E-3</v>
      </c>
      <c r="G13" s="4">
        <v>2.8891175902840535E-3</v>
      </c>
      <c r="H13" s="4">
        <v>3.7681265516616136E-3</v>
      </c>
      <c r="I13" s="4">
        <v>4.6621331739629566E-3</v>
      </c>
      <c r="J13" s="4">
        <v>5.5645414442812464E-3</v>
      </c>
      <c r="K13" s="4">
        <v>6.4808733440765501E-3</v>
      </c>
      <c r="L13" s="4">
        <v>6.1758800232429363E-2</v>
      </c>
      <c r="M13" s="4">
        <v>0.11975533730605079</v>
      </c>
      <c r="N13" s="4">
        <v>0.1804823988948242</v>
      </c>
      <c r="O13" s="4">
        <v>0.24392573296890957</v>
      </c>
      <c r="P13" s="4">
        <v>0.31000298007687083</v>
      </c>
      <c r="Q13" s="4">
        <v>0.37858025732170059</v>
      </c>
      <c r="R13" s="4">
        <v>0.44955077753839706</v>
      </c>
      <c r="S13" s="4">
        <v>0.52284429164482571</v>
      </c>
      <c r="T13" s="4">
        <v>0.5986793109829297</v>
      </c>
      <c r="U13" s="4">
        <v>0.67707033128809302</v>
      </c>
      <c r="V13" s="4">
        <v>0.75801286702587323</v>
      </c>
      <c r="W13" s="4">
        <v>0.84148554715595669</v>
      </c>
      <c r="X13" s="4">
        <v>0.92744374341672897</v>
      </c>
      <c r="Y13" s="4">
        <v>1.0158424924084621</v>
      </c>
      <c r="Z13" s="4">
        <v>1.1066184912248056</v>
      </c>
      <c r="AA13" s="4">
        <v>1.1996892815166484</v>
      </c>
      <c r="AB13" s="4">
        <v>1.2949476039842738</v>
      </c>
      <c r="AC13" s="4">
        <v>1.392281862489344</v>
      </c>
    </row>
    <row r="14" spans="1:29" x14ac:dyDescent="0.2">
      <c r="A14" s="1" t="s">
        <v>11</v>
      </c>
      <c r="B14" s="4">
        <v>0</v>
      </c>
      <c r="C14" s="4">
        <v>0</v>
      </c>
      <c r="D14" s="4">
        <v>2.2912110323960501E-4</v>
      </c>
      <c r="E14" s="4">
        <v>4.47162275991671E-4</v>
      </c>
      <c r="F14" s="4">
        <v>6.4589645363843798E-4</v>
      </c>
      <c r="G14" s="4">
        <v>8.2576445200996797E-4</v>
      </c>
      <c r="H14" s="4">
        <v>9.8961590762309897E-4</v>
      </c>
      <c r="I14" s="4">
        <v>1.1386251853268249E-3</v>
      </c>
      <c r="J14" s="4">
        <v>1.274345276064099E-3</v>
      </c>
      <c r="K14" s="4">
        <v>1.3984586933434491E-3</v>
      </c>
      <c r="L14" s="4">
        <v>1.512587236424506E-3</v>
      </c>
      <c r="M14" s="4">
        <v>1.6181945409193029E-3</v>
      </c>
      <c r="N14" s="4">
        <v>1.716662055935422E-3</v>
      </c>
      <c r="O14" s="4">
        <v>1.8095013217599831E-3</v>
      </c>
      <c r="P14" s="4">
        <v>1.8984378562729341E-3</v>
      </c>
      <c r="Q14" s="4">
        <v>1.9851581393641521E-3</v>
      </c>
      <c r="R14" s="4">
        <v>2.070916710713851E-3</v>
      </c>
      <c r="S14" s="4">
        <v>2.156325192805415E-3</v>
      </c>
      <c r="T14" s="4">
        <v>2.2409422591072128E-3</v>
      </c>
      <c r="U14" s="4">
        <v>2.3238839660996318E-3</v>
      </c>
      <c r="V14" s="4">
        <v>2.4039220982036459E-3</v>
      </c>
      <c r="W14" s="4">
        <v>2.4795130674953102E-3</v>
      </c>
      <c r="X14" s="4">
        <v>2.5489039898649339E-3</v>
      </c>
      <c r="Y14" s="4">
        <v>2.6101131394457768E-3</v>
      </c>
      <c r="Z14" s="4">
        <v>2.6609478476531932E-3</v>
      </c>
      <c r="AA14" s="4">
        <v>2.6989374321291569E-3</v>
      </c>
      <c r="AB14" s="4">
        <v>2.7240376204814118E-3</v>
      </c>
      <c r="AC14" s="4">
        <v>2.7319682347299078E-3</v>
      </c>
    </row>
    <row r="15" spans="1:29" x14ac:dyDescent="0.2">
      <c r="A15" s="1" t="s">
        <v>12</v>
      </c>
      <c r="B15" s="4">
        <v>0</v>
      </c>
      <c r="C15" s="4">
        <v>0</v>
      </c>
      <c r="D15" s="4">
        <v>9.1904725422027239E-2</v>
      </c>
      <c r="E15" s="4">
        <v>0.1260404237244461</v>
      </c>
      <c r="F15" s="4">
        <v>0.16011395792561267</v>
      </c>
      <c r="G15" s="4">
        <v>0.19142971634051295</v>
      </c>
      <c r="H15" s="4">
        <v>0.21840888823490881</v>
      </c>
      <c r="I15" s="4">
        <v>0.24082804310572825</v>
      </c>
      <c r="J15" s="4">
        <v>0.25936107643390593</v>
      </c>
      <c r="K15" s="4">
        <v>0.27497427721136081</v>
      </c>
      <c r="L15" s="4">
        <v>0.28855511259157907</v>
      </c>
      <c r="M15" s="4">
        <v>0.30078240114354898</v>
      </c>
      <c r="N15" s="4">
        <v>0.31213047881829054</v>
      </c>
      <c r="O15" s="4">
        <v>0.32268893812411414</v>
      </c>
      <c r="P15" s="4">
        <v>0.33288375555559852</v>
      </c>
      <c r="Q15" s="4">
        <v>0.34284416941675727</v>
      </c>
      <c r="R15" s="4">
        <v>0.35264460525467228</v>
      </c>
      <c r="S15" s="4">
        <v>0.36232580409634457</v>
      </c>
      <c r="T15" s="4">
        <v>0.37191749222558779</v>
      </c>
      <c r="U15" s="4">
        <v>0.3814337370906235</v>
      </c>
      <c r="V15" s="4">
        <v>0.38562572968097802</v>
      </c>
      <c r="W15" s="4">
        <v>0.38982664784269461</v>
      </c>
      <c r="X15" s="4">
        <v>0.39404023238857289</v>
      </c>
      <c r="Y15" s="4">
        <v>0.39827082179162615</v>
      </c>
      <c r="Z15" s="4">
        <v>0.40252101180005895</v>
      </c>
      <c r="AA15" s="4">
        <v>0.40679481646837451</v>
      </c>
      <c r="AB15" s="4">
        <v>0.41113611150290741</v>
      </c>
      <c r="AC15" s="4">
        <v>0.41550968293160562</v>
      </c>
    </row>
    <row r="16" spans="1:29" x14ac:dyDescent="0.2">
      <c r="A16" s="1" t="s">
        <v>13</v>
      </c>
      <c r="B16" s="4">
        <v>0</v>
      </c>
      <c r="C16" s="4">
        <v>0</v>
      </c>
      <c r="D16" s="4">
        <v>-3.4807150642658817E-2</v>
      </c>
      <c r="E16" s="4">
        <v>-5.7694877440637504E-2</v>
      </c>
      <c r="F16" s="4">
        <v>-5.8060519258852597E-2</v>
      </c>
      <c r="G16" s="4">
        <v>-3.3681646880595231E-2</v>
      </c>
      <c r="H16" s="4">
        <v>1.7693428548912437E-2</v>
      </c>
      <c r="I16" s="4">
        <v>9.8130915674812372E-2</v>
      </c>
      <c r="J16" s="4">
        <v>0.20934445136126228</v>
      </c>
      <c r="K16" s="4">
        <v>0.35249918072871866</v>
      </c>
      <c r="L16" s="4">
        <v>0.52825274884450224</v>
      </c>
      <c r="M16" s="4">
        <v>0.73761853588852377</v>
      </c>
      <c r="N16" s="4">
        <v>0.98403197778407625</v>
      </c>
      <c r="O16" s="4">
        <v>0.96184799217818673</v>
      </c>
      <c r="P16" s="4">
        <v>0.94207134002810822</v>
      </c>
      <c r="Q16" s="4">
        <v>0.92943946278831846</v>
      </c>
      <c r="R16" s="4">
        <v>0.92476915845659424</v>
      </c>
      <c r="S16" s="4">
        <v>0.92641475423924879</v>
      </c>
      <c r="T16" s="4">
        <v>0.93278259413665698</v>
      </c>
      <c r="U16" s="4">
        <v>0.94224523762099344</v>
      </c>
      <c r="V16" s="4">
        <v>0.95376085703290325</v>
      </c>
      <c r="W16" s="4">
        <v>0.9667242126467086</v>
      </c>
      <c r="X16" s="4">
        <v>0.98080725395596446</v>
      </c>
      <c r="Y16" s="4">
        <v>0.99583644096169421</v>
      </c>
      <c r="Z16" s="4">
        <v>1.0117438444678624</v>
      </c>
      <c r="AA16" s="4">
        <v>1.0284983722061471</v>
      </c>
      <c r="AB16" s="4">
        <v>1.0711195628086707</v>
      </c>
      <c r="AC16" s="4">
        <v>1.1153512520627524</v>
      </c>
    </row>
    <row r="17" spans="1:29" x14ac:dyDescent="0.2">
      <c r="A17" s="1" t="s">
        <v>14</v>
      </c>
      <c r="B17" s="4">
        <v>0</v>
      </c>
      <c r="C17" s="4">
        <v>0</v>
      </c>
      <c r="D17" s="4">
        <v>0</v>
      </c>
      <c r="E17" s="4">
        <v>0.25825781763873967</v>
      </c>
      <c r="F17" s="4">
        <v>0.53953760755023816</v>
      </c>
      <c r="G17" s="4">
        <v>0.84524395732855095</v>
      </c>
      <c r="H17" s="4">
        <v>1.1775682519521662</v>
      </c>
      <c r="I17" s="4">
        <v>1.5373498716099205</v>
      </c>
      <c r="J17" s="4">
        <v>1.9259383577508071</v>
      </c>
      <c r="K17" s="4">
        <v>2.34471184754682</v>
      </c>
      <c r="L17" s="4">
        <v>2.7950736331900443</v>
      </c>
      <c r="M17" s="4">
        <v>3.2784489514872615</v>
      </c>
      <c r="N17" s="4">
        <v>3.7962830609914668</v>
      </c>
      <c r="O17" s="4">
        <v>4.3500364078683109</v>
      </c>
      <c r="P17" s="4">
        <v>4.9411814017179312</v>
      </c>
      <c r="Q17" s="4">
        <v>5.5712007322933381</v>
      </c>
      <c r="R17" s="4">
        <v>6.241580859349714</v>
      </c>
      <c r="S17" s="4">
        <v>6.9538090987767047</v>
      </c>
      <c r="T17" s="4">
        <v>7.7131789748711705</v>
      </c>
      <c r="U17" s="4">
        <v>8.5223564879701588</v>
      </c>
      <c r="V17" s="4">
        <v>9.3841405384253793</v>
      </c>
      <c r="W17" s="4">
        <v>10.301460460121845</v>
      </c>
      <c r="X17" s="4">
        <v>11.277384705170086</v>
      </c>
      <c r="Y17" s="4">
        <v>12.315126137841755</v>
      </c>
      <c r="Z17" s="4">
        <v>13.418074472385406</v>
      </c>
      <c r="AA17" s="4">
        <v>14.589768589229029</v>
      </c>
      <c r="AB17" s="4">
        <v>15.833915084253572</v>
      </c>
      <c r="AC17" s="4">
        <v>17.15440369597663</v>
      </c>
    </row>
    <row r="18" spans="1:29" x14ac:dyDescent="0.2">
      <c r="A18" s="1" t="s">
        <v>15</v>
      </c>
      <c r="B18" s="4">
        <v>0</v>
      </c>
      <c r="C18" s="4">
        <v>0</v>
      </c>
      <c r="D18" s="4">
        <v>0</v>
      </c>
      <c r="E18" s="4">
        <v>1.9913441730765778E-2</v>
      </c>
      <c r="F18" s="4">
        <v>4.1239026355329125E-2</v>
      </c>
      <c r="G18" s="4">
        <v>6.4041703886129175E-2</v>
      </c>
      <c r="H18" s="4">
        <v>8.8441874491017328E-2</v>
      </c>
      <c r="I18" s="4">
        <v>0.11445565804618416</v>
      </c>
      <c r="J18" s="4">
        <v>0.14213506321603955</v>
      </c>
      <c r="K18" s="4">
        <v>0.17153161905036557</v>
      </c>
      <c r="L18" s="4">
        <v>0.27794620634028644</v>
      </c>
      <c r="M18" s="4">
        <v>0.38857577726847103</v>
      </c>
      <c r="N18" s="4">
        <v>0.50336297939870145</v>
      </c>
      <c r="O18" s="4">
        <v>0.62223605928710812</v>
      </c>
      <c r="P18" s="4">
        <v>0.74510825528366587</v>
      </c>
      <c r="Q18" s="4">
        <v>0.87187753641688537</v>
      </c>
      <c r="R18" s="4">
        <v>1.0024257695666139</v>
      </c>
      <c r="S18" s="4">
        <v>1.1366184521112308</v>
      </c>
      <c r="T18" s="4">
        <v>1.274927032265841</v>
      </c>
      <c r="U18" s="4">
        <v>1.4173907443655942</v>
      </c>
      <c r="V18" s="4">
        <v>1.5640421945650893</v>
      </c>
      <c r="W18" s="4">
        <v>1.7149054977771763</v>
      </c>
      <c r="X18" s="4">
        <v>1.8699960619487008</v>
      </c>
      <c r="Y18" s="4">
        <v>2.0293198289067487</v>
      </c>
      <c r="Z18" s="4">
        <v>2.1928765324939214</v>
      </c>
      <c r="AA18" s="4">
        <v>2.3606537581110896</v>
      </c>
      <c r="AB18" s="4">
        <v>2.5326279860134928</v>
      </c>
      <c r="AC18" s="4">
        <v>2.7087649996506631</v>
      </c>
    </row>
    <row r="19" spans="1:29" x14ac:dyDescent="0.2">
      <c r="A19" s="1" t="s">
        <v>16</v>
      </c>
      <c r="B19" s="4">
        <v>0</v>
      </c>
      <c r="C19" s="4">
        <v>0</v>
      </c>
      <c r="D19" s="4">
        <v>0</v>
      </c>
      <c r="E19" s="4">
        <v>2.5316437577104271E-2</v>
      </c>
      <c r="F19" s="4">
        <v>5.2441447093641985E-2</v>
      </c>
      <c r="G19" s="4">
        <v>8.1459047323533762E-2</v>
      </c>
      <c r="H19" s="4">
        <v>0.11252428349340972</v>
      </c>
      <c r="I19" s="4">
        <v>0.14565890499582868</v>
      </c>
      <c r="J19" s="4">
        <v>0.18093061990850173</v>
      </c>
      <c r="K19" s="4">
        <v>0.21840658233476834</v>
      </c>
      <c r="L19" s="4">
        <v>0.35254514335708159</v>
      </c>
      <c r="M19" s="4">
        <v>0.49211192010533544</v>
      </c>
      <c r="N19" s="4">
        <v>0.63703685188703785</v>
      </c>
      <c r="O19" s="4">
        <v>0.78723138774260726</v>
      </c>
      <c r="P19" s="4">
        <v>0.9425876937648886</v>
      </c>
      <c r="Q19" s="4">
        <v>1.1029783164172562</v>
      </c>
      <c r="R19" s="4">
        <v>1.2682550895128819</v>
      </c>
      <c r="S19" s="4">
        <v>1.438248787709018</v>
      </c>
      <c r="T19" s="4">
        <v>1.6135607451717877</v>
      </c>
      <c r="U19" s="4">
        <v>1.7942426876461863</v>
      </c>
      <c r="V19" s="4">
        <v>1.9803379318748839</v>
      </c>
      <c r="W19" s="4">
        <v>2.1718789540629708</v>
      </c>
      <c r="X19" s="4">
        <v>2.3688871354431891</v>
      </c>
      <c r="Y19" s="4">
        <v>2.571371791882537</v>
      </c>
      <c r="Z19" s="4">
        <v>2.7793345118152111</v>
      </c>
      <c r="AA19" s="4">
        <v>2.9927613540378974</v>
      </c>
      <c r="AB19" s="4">
        <v>3.2116242657682648</v>
      </c>
      <c r="AC19" s="4">
        <v>3.4358816708251982</v>
      </c>
    </row>
    <row r="21" spans="1:29" x14ac:dyDescent="0.2">
      <c r="A21" s="5" t="s">
        <v>47</v>
      </c>
    </row>
  </sheetData>
  <mergeCells count="1">
    <mergeCell ref="B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8063-E120-1A49-8ED6-8D01666AE265}">
  <dimension ref="A1:AE54"/>
  <sheetViews>
    <sheetView tabSelected="1" workbookViewId="0">
      <pane xSplit="3" ySplit="2" topLeftCell="D4" activePane="bottomRight" state="frozen"/>
      <selection pane="topRight" activeCell="D1" sqref="D1"/>
      <selection pane="bottomLeft" activeCell="A3" sqref="A3"/>
      <selection pane="bottomRight"/>
    </sheetView>
  </sheetViews>
  <sheetFormatPr baseColWidth="10" defaultColWidth="8.83203125" defaultRowHeight="15" x14ac:dyDescent="0.2"/>
  <cols>
    <col min="1" max="1" width="17.5" style="6" bestFit="1" customWidth="1"/>
    <col min="2" max="2" width="8.83203125" style="6"/>
    <col min="3" max="3" width="35.83203125" style="6" bestFit="1" customWidth="1"/>
    <col min="4" max="16384" width="8.83203125" style="6"/>
  </cols>
  <sheetData>
    <row r="1" spans="1:31" x14ac:dyDescent="0.2">
      <c r="D1" s="13" t="s">
        <v>45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x14ac:dyDescent="0.2">
      <c r="A2" s="10" t="s">
        <v>72</v>
      </c>
      <c r="B2" s="10" t="s">
        <v>73</v>
      </c>
      <c r="C2" s="10" t="s">
        <v>46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  <c r="P2" s="9" t="s">
        <v>29</v>
      </c>
      <c r="Q2" s="9" t="s">
        <v>30</v>
      </c>
      <c r="R2" s="9" t="s">
        <v>31</v>
      </c>
      <c r="S2" s="9" t="s">
        <v>32</v>
      </c>
      <c r="T2" s="9" t="s">
        <v>33</v>
      </c>
      <c r="U2" s="9" t="s">
        <v>34</v>
      </c>
      <c r="V2" s="9" t="s">
        <v>35</v>
      </c>
      <c r="W2" s="9" t="s">
        <v>36</v>
      </c>
      <c r="X2" s="9" t="s">
        <v>37</v>
      </c>
      <c r="Y2" s="9" t="s">
        <v>38</v>
      </c>
      <c r="Z2" s="9" t="s">
        <v>39</v>
      </c>
      <c r="AA2" s="9" t="s">
        <v>40</v>
      </c>
      <c r="AB2" s="9" t="s">
        <v>41</v>
      </c>
      <c r="AC2" s="9" t="s">
        <v>42</v>
      </c>
      <c r="AD2" s="9" t="s">
        <v>43</v>
      </c>
      <c r="AE2" s="9" t="s">
        <v>44</v>
      </c>
    </row>
    <row r="3" spans="1:31" x14ac:dyDescent="0.2">
      <c r="A3" s="12" t="s">
        <v>71</v>
      </c>
      <c r="B3" s="8" t="s">
        <v>56</v>
      </c>
      <c r="C3" s="8" t="s">
        <v>4</v>
      </c>
      <c r="D3" s="7">
        <v>0</v>
      </c>
      <c r="E3" s="7">
        <v>0</v>
      </c>
      <c r="F3" s="7">
        <v>-0.58717331132151274</v>
      </c>
      <c r="G3" s="7">
        <v>-0.65049147928240736</v>
      </c>
      <c r="H3" s="7">
        <v>-0.69329744423140172</v>
      </c>
      <c r="I3" s="7">
        <v>-0.72842891302815371</v>
      </c>
      <c r="J3" s="7">
        <v>-0.76088522236265332</v>
      </c>
      <c r="K3" s="7">
        <v>-0.79243158504183342</v>
      </c>
      <c r="L3" s="7">
        <v>-0.82367099390817966</v>
      </c>
      <c r="M3" s="7">
        <v>-0.85480714720754714</v>
      </c>
      <c r="N3" s="7">
        <v>-0.85480714720754714</v>
      </c>
      <c r="O3" s="7">
        <v>-0.85480714720754714</v>
      </c>
      <c r="P3" s="7">
        <v>-0.85480714720754714</v>
      </c>
      <c r="Q3" s="7">
        <v>-0.85480714720754714</v>
      </c>
      <c r="R3" s="7">
        <v>-0.85480714720754714</v>
      </c>
      <c r="S3" s="7">
        <v>-0.85480714720754714</v>
      </c>
      <c r="T3" s="7">
        <v>-0.85480714720754714</v>
      </c>
      <c r="U3" s="7">
        <v>-0.85480714720754714</v>
      </c>
      <c r="V3" s="7">
        <v>-0.85480714720754714</v>
      </c>
      <c r="W3" s="7">
        <v>-0.85480714720754714</v>
      </c>
      <c r="X3" s="7">
        <v>-0.85480714720754714</v>
      </c>
      <c r="Y3" s="7">
        <v>-0.85480714720754714</v>
      </c>
      <c r="Z3" s="7">
        <v>-0.85480714720754714</v>
      </c>
      <c r="AA3" s="7">
        <v>-0.85480714720754714</v>
      </c>
      <c r="AB3" s="7">
        <v>-0.85480714720754714</v>
      </c>
      <c r="AC3" s="7">
        <v>-0.85480714720754714</v>
      </c>
      <c r="AD3" s="7">
        <v>-0.85480714720754714</v>
      </c>
      <c r="AE3" s="7">
        <v>-0.85480714720754714</v>
      </c>
    </row>
    <row r="4" spans="1:31" x14ac:dyDescent="0.2">
      <c r="A4" s="12"/>
      <c r="B4" s="8" t="s">
        <v>53</v>
      </c>
      <c r="C4" s="8" t="s">
        <v>4</v>
      </c>
      <c r="D4" s="7">
        <v>0</v>
      </c>
      <c r="E4" s="7">
        <v>0</v>
      </c>
      <c r="F4" s="7">
        <v>-3.2489811254864477E-2</v>
      </c>
      <c r="G4" s="7">
        <v>-3.5993368528990717E-2</v>
      </c>
      <c r="H4" s="7">
        <v>-3.8361932792657739E-2</v>
      </c>
      <c r="I4" s="7">
        <v>-4.0305847422809654E-2</v>
      </c>
      <c r="J4" s="7">
        <v>-4.2101738591524551E-2</v>
      </c>
      <c r="K4" s="7">
        <v>-4.384728006873731E-2</v>
      </c>
      <c r="L4" s="7">
        <v>-4.5575837001096554E-2</v>
      </c>
      <c r="M4" s="7">
        <v>-4.7298680537057367E-2</v>
      </c>
      <c r="N4" s="7">
        <v>-4.7298680537057367E-2</v>
      </c>
      <c r="O4" s="7">
        <v>-4.7298680537057367E-2</v>
      </c>
      <c r="P4" s="7">
        <v>-4.7298680537057367E-2</v>
      </c>
      <c r="Q4" s="7">
        <v>-4.7298680537057367E-2</v>
      </c>
      <c r="R4" s="7">
        <v>-4.7298680537057367E-2</v>
      </c>
      <c r="S4" s="7">
        <v>-4.7298680537057367E-2</v>
      </c>
      <c r="T4" s="7">
        <v>-4.7298680537057367E-2</v>
      </c>
      <c r="U4" s="7">
        <v>-4.7298680537057367E-2</v>
      </c>
      <c r="V4" s="7">
        <v>-4.7298680537057367E-2</v>
      </c>
      <c r="W4" s="7">
        <v>-4.7298680537057367E-2</v>
      </c>
      <c r="X4" s="7">
        <v>-4.7298680537057367E-2</v>
      </c>
      <c r="Y4" s="7">
        <v>-4.7298680537057367E-2</v>
      </c>
      <c r="Z4" s="7">
        <v>-4.7298680537057367E-2</v>
      </c>
      <c r="AA4" s="7">
        <v>-4.7298680537057367E-2</v>
      </c>
      <c r="AB4" s="7">
        <v>-4.7298680537057367E-2</v>
      </c>
      <c r="AC4" s="7">
        <v>-4.7298680537057367E-2</v>
      </c>
      <c r="AD4" s="7">
        <v>-4.7298680537057367E-2</v>
      </c>
      <c r="AE4" s="7">
        <v>-4.7298680537057367E-2</v>
      </c>
    </row>
    <row r="5" spans="1:31" x14ac:dyDescent="0.2">
      <c r="A5" s="12"/>
      <c r="B5" s="8" t="s">
        <v>51</v>
      </c>
      <c r="C5" s="8" t="s">
        <v>4</v>
      </c>
      <c r="D5" s="7">
        <v>0</v>
      </c>
      <c r="E5" s="7">
        <v>0</v>
      </c>
      <c r="F5" s="7">
        <v>-0.3804143787119838</v>
      </c>
      <c r="G5" s="7">
        <v>-0.42143657958792879</v>
      </c>
      <c r="H5" s="7">
        <v>-0.44916945546505133</v>
      </c>
      <c r="I5" s="7">
        <v>-0.47193022407947832</v>
      </c>
      <c r="J5" s="7">
        <v>-0.49295782617361877</v>
      </c>
      <c r="K5" s="7">
        <v>-0.51339589740034763</v>
      </c>
      <c r="L5" s="7">
        <v>-0.53363510120284041</v>
      </c>
      <c r="M5" s="7">
        <v>-0.55380740839814202</v>
      </c>
      <c r="N5" s="7">
        <v>-0.55380740839814202</v>
      </c>
      <c r="O5" s="7">
        <v>-0.55380740839814202</v>
      </c>
      <c r="P5" s="7">
        <v>-0.55380740839814202</v>
      </c>
      <c r="Q5" s="7">
        <v>-0.55380740839814202</v>
      </c>
      <c r="R5" s="7">
        <v>-0.55380740839814202</v>
      </c>
      <c r="S5" s="7">
        <v>-0.55380740839814202</v>
      </c>
      <c r="T5" s="7">
        <v>-0.55380740839814202</v>
      </c>
      <c r="U5" s="7">
        <v>-0.55380740839814202</v>
      </c>
      <c r="V5" s="7">
        <v>-0.55380740839814202</v>
      </c>
      <c r="W5" s="7">
        <v>-0.55380740839814202</v>
      </c>
      <c r="X5" s="7">
        <v>-0.55380740839814202</v>
      </c>
      <c r="Y5" s="7">
        <v>-0.55380740839814202</v>
      </c>
      <c r="Z5" s="7">
        <v>-0.55380740839814202</v>
      </c>
      <c r="AA5" s="7">
        <v>-0.55380740839814202</v>
      </c>
      <c r="AB5" s="7">
        <v>-0.55380740839814202</v>
      </c>
      <c r="AC5" s="7">
        <v>-0.55380740839814202</v>
      </c>
      <c r="AD5" s="7">
        <v>-0.55380740839814202</v>
      </c>
      <c r="AE5" s="7">
        <v>-0.55380740839814202</v>
      </c>
    </row>
    <row r="6" spans="1:31" x14ac:dyDescent="0.2">
      <c r="A6" s="12" t="s">
        <v>70</v>
      </c>
      <c r="B6" s="8" t="s">
        <v>58</v>
      </c>
      <c r="C6" s="8" t="s">
        <v>4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</row>
    <row r="7" spans="1:31" x14ac:dyDescent="0.2">
      <c r="A7" s="12"/>
      <c r="B7" s="8" t="s">
        <v>69</v>
      </c>
      <c r="C7" s="8" t="s">
        <v>4</v>
      </c>
      <c r="D7" s="7">
        <v>0</v>
      </c>
      <c r="E7" s="7">
        <v>0</v>
      </c>
      <c r="F7" s="7">
        <v>-4.0772474087385802E-4</v>
      </c>
      <c r="G7" s="7">
        <v>-3.1275929854740849E-3</v>
      </c>
      <c r="H7" s="7">
        <v>-6.2504267722715478E-3</v>
      </c>
      <c r="I7" s="7">
        <v>-9.7953934527202358E-3</v>
      </c>
      <c r="J7" s="7">
        <v>-1.3791323202899768E-2</v>
      </c>
      <c r="K7" s="7">
        <v>-1.8268897670228771E-2</v>
      </c>
      <c r="L7" s="7">
        <v>-2.3265801722414808E-2</v>
      </c>
      <c r="M7" s="7">
        <v>-2.8822259161928092E-2</v>
      </c>
      <c r="N7" s="7">
        <v>-3.4979402629059644E-2</v>
      </c>
      <c r="O7" s="7">
        <v>-4.1778684569652641E-2</v>
      </c>
      <c r="P7" s="7">
        <v>-4.9261833095167601E-2</v>
      </c>
      <c r="Q7" s="7">
        <v>-5.0541143627075021E-2</v>
      </c>
      <c r="R7" s="7">
        <v>-5.1836890863052279E-2</v>
      </c>
      <c r="S7" s="7">
        <v>-5.3149399242876441E-2</v>
      </c>
      <c r="T7" s="7">
        <v>-5.4478832386597509E-2</v>
      </c>
      <c r="U7" s="7">
        <v>-5.5825242538860009E-2</v>
      </c>
      <c r="V7" s="7">
        <v>-5.720202789710558E-2</v>
      </c>
      <c r="W7" s="7">
        <v>-5.8610230939442412E-2</v>
      </c>
      <c r="X7" s="7">
        <v>-6.0027800104816405E-2</v>
      </c>
      <c r="Y7" s="7">
        <v>-6.1479269954994337E-2</v>
      </c>
      <c r="Z7" s="7">
        <v>-6.2965776378520591E-2</v>
      </c>
      <c r="AA7" s="7">
        <v>-6.4488503759223936E-2</v>
      </c>
      <c r="AB7" s="7">
        <v>-6.6048557397132043E-2</v>
      </c>
      <c r="AC7" s="7">
        <v>-6.7647151496576352E-2</v>
      </c>
      <c r="AD7" s="7">
        <v>-6.9285243152351336E-2</v>
      </c>
      <c r="AE7" s="7">
        <v>-7.0964384946240966E-2</v>
      </c>
    </row>
    <row r="8" spans="1:31" x14ac:dyDescent="0.2">
      <c r="A8" s="12"/>
      <c r="B8" s="8" t="s">
        <v>61</v>
      </c>
      <c r="C8" s="8" t="s">
        <v>4</v>
      </c>
      <c r="D8" s="7">
        <v>0</v>
      </c>
      <c r="E8" s="7">
        <v>0</v>
      </c>
      <c r="F8" s="7">
        <v>-1.7209269212497701E-4</v>
      </c>
      <c r="G8" s="7">
        <v>-2.6482967514595188E-3</v>
      </c>
      <c r="H8" s="7">
        <v>1.4269957499306081E-2</v>
      </c>
      <c r="I8" s="7">
        <v>1.9676051047656865E-2</v>
      </c>
      <c r="J8" s="7">
        <v>2.8167253538848563E-2</v>
      </c>
      <c r="K8" s="7">
        <v>2.8190007335858115E-2</v>
      </c>
      <c r="L8" s="7">
        <v>2.7263451559324459E-2</v>
      </c>
      <c r="M8" s="7">
        <v>2.6131425743829623E-2</v>
      </c>
      <c r="N8" s="7">
        <v>2.5171038096128223E-2</v>
      </c>
      <c r="O8" s="7">
        <v>2.4200959859068449E-2</v>
      </c>
      <c r="P8" s="7">
        <v>2.3221440692230449E-2</v>
      </c>
      <c r="Q8" s="7">
        <v>2.2264683350820304E-2</v>
      </c>
      <c r="R8" s="7">
        <v>2.1234891164278773E-2</v>
      </c>
      <c r="S8" s="7">
        <v>2.0527848110520251E-2</v>
      </c>
      <c r="T8" s="7">
        <v>1.8774843033496989E-2</v>
      </c>
      <c r="U8" s="7">
        <v>2.0838570115126469E-3</v>
      </c>
      <c r="V8" s="7">
        <v>2.2091988024561292E-3</v>
      </c>
      <c r="W8" s="7">
        <v>2.3370687019580701E-3</v>
      </c>
      <c r="X8" s="7">
        <v>2.4675344091437791E-3</v>
      </c>
      <c r="Y8" s="7">
        <v>1.66931247877233E-3</v>
      </c>
      <c r="Z8" s="7">
        <v>7.7240063546847799E-4</v>
      </c>
      <c r="AA8" s="7">
        <v>7.7240063546847799E-4</v>
      </c>
      <c r="AB8" s="7">
        <v>7.7240063546847799E-4</v>
      </c>
      <c r="AC8" s="7">
        <v>7.7240063546847799E-4</v>
      </c>
      <c r="AD8" s="7">
        <v>7.7240063546847799E-4</v>
      </c>
      <c r="AE8" s="7">
        <v>7.7240063546847799E-4</v>
      </c>
    </row>
    <row r="9" spans="1:31" x14ac:dyDescent="0.2">
      <c r="A9" s="12"/>
      <c r="B9" s="8" t="s">
        <v>60</v>
      </c>
      <c r="C9" s="8" t="s">
        <v>4</v>
      </c>
      <c r="D9" s="7">
        <v>0</v>
      </c>
      <c r="E9" s="7">
        <v>0</v>
      </c>
      <c r="F9" s="7">
        <v>-4.0756494308251602E-2</v>
      </c>
      <c r="G9" s="7">
        <v>-1.4793344784879989E-3</v>
      </c>
      <c r="H9" s="7">
        <v>7.0606905867200448E-2</v>
      </c>
      <c r="I9" s="7">
        <v>0.21406641132314089</v>
      </c>
      <c r="J9" s="7">
        <v>0.47788890909398224</v>
      </c>
      <c r="K9" s="7">
        <v>0.73950306583232761</v>
      </c>
      <c r="L9" s="7">
        <v>0.89118765122576626</v>
      </c>
      <c r="M9" s="7">
        <v>0.97610767230682405</v>
      </c>
      <c r="N9" s="7">
        <v>1.0342298122894167</v>
      </c>
      <c r="O9" s="7">
        <v>1.0883303637019939</v>
      </c>
      <c r="P9" s="7">
        <v>1.1444740652235881</v>
      </c>
      <c r="Q9" s="7">
        <v>1.1665635174025124</v>
      </c>
      <c r="R9" s="7">
        <v>1.1888536593174515</v>
      </c>
      <c r="S9" s="7">
        <v>1.211338717828945</v>
      </c>
      <c r="T9" s="7">
        <v>1.2340127030514674</v>
      </c>
      <c r="U9" s="7">
        <v>1.256869184540639</v>
      </c>
      <c r="V9" s="7">
        <v>1.2801830548735056</v>
      </c>
      <c r="W9" s="7">
        <v>1.3039671331816711</v>
      </c>
      <c r="X9" s="7">
        <v>1.3282340091706253</v>
      </c>
      <c r="Y9" s="7">
        <v>1.3529965700224205</v>
      </c>
      <c r="Z9" s="7">
        <v>1.3782674945849223</v>
      </c>
      <c r="AA9" s="7">
        <v>1.4040591262162085</v>
      </c>
      <c r="AB9" s="7">
        <v>1.4303820636743541</v>
      </c>
      <c r="AC9" s="7">
        <v>1.457247023801185</v>
      </c>
      <c r="AD9" s="7">
        <v>1.4846636550642314</v>
      </c>
      <c r="AE9" s="7">
        <v>1.5126402392543254</v>
      </c>
    </row>
    <row r="10" spans="1:31" x14ac:dyDescent="0.2">
      <c r="A10" s="12"/>
      <c r="B10" s="8" t="s">
        <v>64</v>
      </c>
      <c r="C10" s="8" t="s">
        <v>4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</row>
    <row r="11" spans="1:31" x14ac:dyDescent="0.2">
      <c r="A11" s="12"/>
      <c r="B11" s="8" t="s">
        <v>57</v>
      </c>
      <c r="C11" s="8" t="s">
        <v>4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</row>
    <row r="12" spans="1:31" x14ac:dyDescent="0.2">
      <c r="A12" s="12"/>
      <c r="B12" s="8" t="s">
        <v>56</v>
      </c>
      <c r="C12" s="8" t="s">
        <v>4</v>
      </c>
      <c r="D12" s="7">
        <v>0</v>
      </c>
      <c r="E12" s="7">
        <v>0</v>
      </c>
      <c r="F12" s="7">
        <v>0</v>
      </c>
      <c r="G12" s="7">
        <v>-6.7913571510900997E-4</v>
      </c>
      <c r="H12" s="7">
        <v>-1.4619704742893219E-3</v>
      </c>
      <c r="I12" s="7">
        <v>-6.4050992604300118E-3</v>
      </c>
      <c r="J12" s="7">
        <v>-1.3887186526020962E-2</v>
      </c>
      <c r="K12" s="7">
        <v>-8.0821810847434547E-2</v>
      </c>
      <c r="L12" s="7">
        <v>-0.31323305124700701</v>
      </c>
      <c r="M12" s="7">
        <v>-0.37347928277469911</v>
      </c>
      <c r="N12" s="7">
        <v>-0.48266475472453291</v>
      </c>
      <c r="O12" s="7">
        <v>-0.58978000077161508</v>
      </c>
      <c r="P12" s="7">
        <v>-0.69477865439441722</v>
      </c>
      <c r="Q12" s="7">
        <v>-0.79760723243324605</v>
      </c>
      <c r="R12" s="7">
        <v>-0.89820521019780242</v>
      </c>
      <c r="S12" s="7">
        <v>-0.99650511793472341</v>
      </c>
      <c r="T12" s="7">
        <v>-1.092432584626633</v>
      </c>
      <c r="U12" s="7">
        <v>-1.1859064231295833</v>
      </c>
      <c r="V12" s="7">
        <v>-1.2771880946183043</v>
      </c>
      <c r="W12" s="7">
        <v>-1.3662781434180478</v>
      </c>
      <c r="X12" s="7">
        <v>-1.4531690078327542</v>
      </c>
      <c r="Y12" s="7">
        <v>-1.5378446929593421</v>
      </c>
      <c r="Z12" s="7">
        <v>-1.6202805151367732</v>
      </c>
      <c r="AA12" s="7">
        <v>-1.7004427692666262</v>
      </c>
      <c r="AB12" s="7">
        <v>-1.7782885998562954</v>
      </c>
      <c r="AC12" s="7">
        <v>-1.8537652335756145</v>
      </c>
      <c r="AD12" s="7">
        <v>-1.9268096227514921</v>
      </c>
      <c r="AE12" s="7">
        <v>-1.9973479823573119</v>
      </c>
    </row>
    <row r="13" spans="1:31" x14ac:dyDescent="0.2">
      <c r="A13" s="12"/>
      <c r="B13" s="8" t="s">
        <v>55</v>
      </c>
      <c r="C13" s="8" t="s">
        <v>4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</row>
    <row r="14" spans="1:31" x14ac:dyDescent="0.2">
      <c r="A14" s="12"/>
      <c r="B14" s="8" t="s">
        <v>54</v>
      </c>
      <c r="C14" s="8" t="s">
        <v>4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</row>
    <row r="15" spans="1:31" x14ac:dyDescent="0.2">
      <c r="A15" s="12"/>
      <c r="B15" s="8" t="s">
        <v>53</v>
      </c>
      <c r="C15" s="8" t="s">
        <v>4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</row>
    <row r="16" spans="1:31" x14ac:dyDescent="0.2">
      <c r="A16" s="12"/>
      <c r="B16" s="8" t="s">
        <v>52</v>
      </c>
      <c r="C16" s="8" t="s">
        <v>4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</row>
    <row r="17" spans="1:31" x14ac:dyDescent="0.2">
      <c r="A17" s="12"/>
      <c r="B17" s="8" t="s">
        <v>51</v>
      </c>
      <c r="C17" s="8" t="s">
        <v>4</v>
      </c>
      <c r="D17" s="7">
        <v>0</v>
      </c>
      <c r="E17" s="7">
        <v>0</v>
      </c>
      <c r="F17" s="7">
        <v>-7.551916745778286E-3</v>
      </c>
      <c r="G17" s="7">
        <v>3.1812751645377002E-4</v>
      </c>
      <c r="H17" s="7">
        <v>9.2252878515957232E-3</v>
      </c>
      <c r="I17" s="7">
        <v>2.2729367740864159E-2</v>
      </c>
      <c r="J17" s="7">
        <v>4.4845911002525253E-2</v>
      </c>
      <c r="K17" s="7">
        <v>7.6992357870961939E-2</v>
      </c>
      <c r="L17" s="7">
        <v>0.1097327192805327</v>
      </c>
      <c r="M17" s="7">
        <v>0.1202100747402836</v>
      </c>
      <c r="N17" s="7">
        <v>0.12740330849337286</v>
      </c>
      <c r="O17" s="7">
        <v>0.13410648758828653</v>
      </c>
      <c r="P17" s="7">
        <v>0.14106365014629341</v>
      </c>
      <c r="Q17" s="7">
        <v>0.14384675241721212</v>
      </c>
      <c r="R17" s="7">
        <v>0.14665795130799122</v>
      </c>
      <c r="S17" s="7">
        <v>0.14949659843676191</v>
      </c>
      <c r="T17" s="7">
        <v>0.15236201494526691</v>
      </c>
      <c r="U17" s="7">
        <v>0.15525346364752821</v>
      </c>
      <c r="V17" s="7">
        <v>0.15820523046467022</v>
      </c>
      <c r="W17" s="7">
        <v>0.16121905814307713</v>
      </c>
      <c r="X17" s="7">
        <v>0.16429666759751496</v>
      </c>
      <c r="Y17" s="7">
        <v>0.16743982236688926</v>
      </c>
      <c r="Z17" s="7">
        <v>0.17065026686696885</v>
      </c>
      <c r="AA17" s="7">
        <v>0.17392971099607535</v>
      </c>
      <c r="AB17" s="7">
        <v>0.17727965809469873</v>
      </c>
      <c r="AC17" s="7">
        <v>0.18070163331764733</v>
      </c>
      <c r="AD17" s="7">
        <v>0.18419703767249984</v>
      </c>
      <c r="AE17" s="7">
        <v>0.18776711256879519</v>
      </c>
    </row>
    <row r="18" spans="1:31" x14ac:dyDescent="0.2">
      <c r="A18" s="12"/>
      <c r="B18" s="8" t="s">
        <v>68</v>
      </c>
      <c r="C18" s="8" t="s">
        <v>4</v>
      </c>
      <c r="D18" s="7">
        <v>0</v>
      </c>
      <c r="E18" s="7">
        <v>0</v>
      </c>
      <c r="F18" s="7">
        <v>-6.9224680250664901E-4</v>
      </c>
      <c r="G18" s="7">
        <v>-6.5210883213802796E-4</v>
      </c>
      <c r="H18" s="7">
        <v>-5.77616889266336E-4</v>
      </c>
      <c r="I18" s="7">
        <v>-5.09939538121276E-4</v>
      </c>
      <c r="J18" s="7">
        <v>-4.2526706732753998E-4</v>
      </c>
      <c r="K18" s="7">
        <v>9.4372179752190831E-5</v>
      </c>
      <c r="L18" s="7">
        <v>2.7955648215230601E-4</v>
      </c>
      <c r="M18" s="7">
        <v>6.2546577190526103E-4</v>
      </c>
      <c r="N18" s="7">
        <v>6.5054294880510799E-4</v>
      </c>
      <c r="O18" s="7">
        <v>-3.6438039535564002E-4</v>
      </c>
      <c r="P18" s="7">
        <v>-6.9437238362169947E-3</v>
      </c>
      <c r="Q18" s="7">
        <v>-7.1526979618279363E-3</v>
      </c>
      <c r="R18" s="7">
        <v>-7.671827754165624E-3</v>
      </c>
      <c r="S18" s="7">
        <v>-8.1691382901560809E-3</v>
      </c>
      <c r="T18" s="7">
        <v>-8.6242948884563565E-3</v>
      </c>
      <c r="U18" s="7">
        <v>-4.9125018055913581E-3</v>
      </c>
      <c r="V18" s="7">
        <v>-5.4351150007585468E-3</v>
      </c>
      <c r="W18" s="7">
        <v>-5.7503897896120527E-3</v>
      </c>
      <c r="X18" s="7">
        <v>-5.8138650262712054E-3</v>
      </c>
      <c r="Y18" s="7">
        <v>-5.6565028639249991E-3</v>
      </c>
      <c r="Z18" s="7">
        <v>-5.0179839973483733E-3</v>
      </c>
      <c r="AA18" s="7">
        <v>-5.2785628748374938E-3</v>
      </c>
      <c r="AB18" s="7">
        <v>-5.5214442957042956E-3</v>
      </c>
      <c r="AC18" s="7">
        <v>-5.7513255741465062E-3</v>
      </c>
      <c r="AD18" s="7">
        <v>-5.9601847852641396E-3</v>
      </c>
      <c r="AE18" s="7">
        <v>-6.1612149925501496E-3</v>
      </c>
    </row>
    <row r="19" spans="1:31" x14ac:dyDescent="0.2">
      <c r="A19" s="12"/>
      <c r="B19" s="8" t="s">
        <v>63</v>
      </c>
      <c r="C19" s="8" t="s">
        <v>4</v>
      </c>
      <c r="D19" s="7">
        <v>0</v>
      </c>
      <c r="E19" s="7">
        <v>0</v>
      </c>
      <c r="F19" s="7">
        <v>-7.3338949137572631E-3</v>
      </c>
      <c r="G19" s="7">
        <v>2.3959502316142701E-4</v>
      </c>
      <c r="H19" s="7">
        <v>1.3239167465302015E-2</v>
      </c>
      <c r="I19" s="7">
        <v>3.9302505035294533E-2</v>
      </c>
      <c r="J19" s="7">
        <v>8.5993339202280167E-2</v>
      </c>
      <c r="K19" s="7">
        <v>0.13306929031228115</v>
      </c>
      <c r="L19" s="7">
        <v>0.16036405224392722</v>
      </c>
      <c r="M19" s="7">
        <v>0.17564491781524322</v>
      </c>
      <c r="N19" s="7">
        <v>0.18610366001154455</v>
      </c>
      <c r="O19" s="7">
        <v>0.19583874065501947</v>
      </c>
      <c r="P19" s="7">
        <v>0.20594147431789336</v>
      </c>
      <c r="Q19" s="7">
        <v>0.20991634320032085</v>
      </c>
      <c r="R19" s="7">
        <v>0.21392732503748535</v>
      </c>
      <c r="S19" s="7">
        <v>0.21797338098640429</v>
      </c>
      <c r="T19" s="7">
        <v>0.2220534332018958</v>
      </c>
      <c r="U19" s="7">
        <v>0.2261663245627672</v>
      </c>
      <c r="V19" s="7">
        <v>0.23036152039489741</v>
      </c>
      <c r="W19" s="7">
        <v>0.23464132742671404</v>
      </c>
      <c r="X19" s="7">
        <v>0.23900801110274675</v>
      </c>
      <c r="Y19" s="7">
        <v>0.24346389039670777</v>
      </c>
      <c r="Z19" s="7">
        <v>0.24801124679378031</v>
      </c>
      <c r="AA19" s="7">
        <v>0.25265230140970457</v>
      </c>
      <c r="AB19" s="7">
        <v>0.25738896142956125</v>
      </c>
      <c r="AC19" s="7">
        <v>0.26222315528692086</v>
      </c>
      <c r="AD19" s="7">
        <v>0.26715661916758898</v>
      </c>
      <c r="AE19" s="7">
        <v>0.27219084333182209</v>
      </c>
    </row>
    <row r="20" spans="1:31" x14ac:dyDescent="0.2">
      <c r="A20" s="12"/>
      <c r="B20" s="8" t="s">
        <v>67</v>
      </c>
      <c r="C20" s="8" t="s">
        <v>4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</row>
    <row r="21" spans="1:31" x14ac:dyDescent="0.2">
      <c r="A21" s="12"/>
      <c r="B21" s="8" t="s">
        <v>66</v>
      </c>
      <c r="C21" s="8" t="s">
        <v>4</v>
      </c>
      <c r="D21" s="7">
        <v>0</v>
      </c>
      <c r="E21" s="7">
        <v>0</v>
      </c>
      <c r="F21" s="7">
        <v>2.4725703687555838E-5</v>
      </c>
      <c r="G21" s="7">
        <v>3.3909444322410445E-5</v>
      </c>
      <c r="H21" s="7">
        <v>4.3076460559901278E-5</v>
      </c>
      <c r="I21" s="7">
        <v>5.1501535111425142E-5</v>
      </c>
      <c r="J21" s="7">
        <v>5.8759910640357132E-5</v>
      </c>
      <c r="K21" s="7">
        <v>6.4791476239577989E-5</v>
      </c>
      <c r="L21" s="7">
        <v>6.9777534229521765E-5</v>
      </c>
      <c r="M21" s="7">
        <v>7.3978051387534489E-5</v>
      </c>
      <c r="N21" s="7">
        <v>7.7631788558270361E-5</v>
      </c>
      <c r="O21" s="7">
        <v>8.0921372551367448E-5</v>
      </c>
      <c r="P21" s="7">
        <v>8.3974416937502528E-5</v>
      </c>
      <c r="Q21" s="7">
        <v>8.6815025350118084E-5</v>
      </c>
      <c r="R21" s="7">
        <v>8.9557800912550795E-5</v>
      </c>
      <c r="S21" s="7">
        <v>9.2237513414878528E-5</v>
      </c>
      <c r="T21" s="7">
        <v>9.4874186028005459E-5</v>
      </c>
      <c r="U21" s="7">
        <v>9.747877956550078E-5</v>
      </c>
      <c r="V21" s="7">
        <v>1.00059291475612E-4</v>
      </c>
      <c r="W21" s="7">
        <v>1.02619506412011E-4</v>
      </c>
      <c r="X21" s="7">
        <v>1.03747304424285E-4</v>
      </c>
      <c r="Y21" s="7">
        <v>1.0487750373890501E-4</v>
      </c>
      <c r="Z21" s="7">
        <v>1.0601111077015801E-4</v>
      </c>
      <c r="AA21" s="7">
        <v>1.07149292724604E-4</v>
      </c>
      <c r="AB21" s="7">
        <v>1.08292747952632E-4</v>
      </c>
      <c r="AC21" s="7">
        <v>1.09442556380458E-4</v>
      </c>
      <c r="AD21" s="7">
        <v>1.10610522164058E-4</v>
      </c>
      <c r="AE21" s="7">
        <v>1.1178717146806E-4</v>
      </c>
    </row>
    <row r="22" spans="1:31" x14ac:dyDescent="0.2">
      <c r="A22" s="12" t="s">
        <v>65</v>
      </c>
      <c r="B22" s="8" t="s">
        <v>61</v>
      </c>
      <c r="C22" s="8" t="s">
        <v>4</v>
      </c>
      <c r="D22" s="7">
        <v>0</v>
      </c>
      <c r="E22" s="7">
        <v>0</v>
      </c>
      <c r="F22" s="7">
        <v>8.5625501676268401E-4</v>
      </c>
      <c r="G22" s="7">
        <v>2.4202017632756348E-3</v>
      </c>
      <c r="H22" s="7">
        <v>3.9780887777442113E-3</v>
      </c>
      <c r="I22" s="7">
        <v>6.40495353187017E-3</v>
      </c>
      <c r="J22" s="7">
        <v>8.7910943778969439E-3</v>
      </c>
      <c r="K22" s="7">
        <v>1.1138465720221744E-2</v>
      </c>
      <c r="L22" s="7">
        <v>1.3450084421668181E-2</v>
      </c>
      <c r="M22" s="7">
        <v>1.5728908333851255E-2</v>
      </c>
      <c r="N22" s="7">
        <v>1.7977765948241003E-2</v>
      </c>
      <c r="O22" s="7">
        <v>2.0198845362210109E-2</v>
      </c>
      <c r="P22" s="7">
        <v>2.2392661230145543E-2</v>
      </c>
      <c r="Q22" s="7">
        <v>2.4557338025431977E-2</v>
      </c>
      <c r="R22" s="7">
        <v>2.6689681434811544E-2</v>
      </c>
      <c r="S22" s="7">
        <v>2.8787475870727552E-2</v>
      </c>
      <c r="T22" s="7">
        <v>3.0850509234954152E-2</v>
      </c>
      <c r="U22" s="7">
        <v>3.2879842187387404E-2</v>
      </c>
      <c r="V22" s="7">
        <v>3.4882364481875677E-2</v>
      </c>
      <c r="W22" s="7">
        <v>3.686008784988002E-2</v>
      </c>
      <c r="X22" s="7">
        <v>3.8814613235728629E-2</v>
      </c>
      <c r="Y22" s="7">
        <v>4.074714196623308E-2</v>
      </c>
      <c r="Z22" s="7">
        <v>4.2658563219314133E-2</v>
      </c>
      <c r="AA22" s="7">
        <v>4.4549494150171322E-2</v>
      </c>
      <c r="AB22" s="7">
        <v>4.6420321734579655E-2</v>
      </c>
      <c r="AC22" s="7">
        <v>4.8271228253886259E-2</v>
      </c>
      <c r="AD22" s="7">
        <v>5.0101406059178386E-2</v>
      </c>
      <c r="AE22" s="7">
        <v>5.1913018200132395E-2</v>
      </c>
    </row>
    <row r="23" spans="1:31" x14ac:dyDescent="0.2">
      <c r="A23" s="12"/>
      <c r="B23" s="8" t="s">
        <v>60</v>
      </c>
      <c r="C23" s="8" t="s">
        <v>4</v>
      </c>
      <c r="D23" s="7">
        <v>0</v>
      </c>
      <c r="E23" s="7">
        <v>0</v>
      </c>
      <c r="F23" s="7">
        <v>3.9189469011678751E-5</v>
      </c>
      <c r="G23" s="7">
        <v>1.1076889495199099E-4</v>
      </c>
      <c r="H23" s="7">
        <v>1.82070976320274E-4</v>
      </c>
      <c r="I23" s="7">
        <v>2.93144826067675E-4</v>
      </c>
      <c r="J23" s="7">
        <v>4.0235480546892301E-4</v>
      </c>
      <c r="K23" s="7">
        <v>5.0979036459328697E-4</v>
      </c>
      <c r="L23" s="7">
        <v>6.1558958059047797E-4</v>
      </c>
      <c r="M23" s="7">
        <v>7.1988782975837095E-4</v>
      </c>
      <c r="N23" s="7">
        <v>8.2281456778089603E-4</v>
      </c>
      <c r="O23" s="7">
        <v>9.2446994049370204E-4</v>
      </c>
      <c r="P23" s="7">
        <v>1.0248775028328251E-3</v>
      </c>
      <c r="Q23" s="7">
        <v>1.1239514148431891E-3</v>
      </c>
      <c r="R23" s="7">
        <v>1.2215454777429089E-3</v>
      </c>
      <c r="S23" s="7">
        <v>1.3175582875130959E-3</v>
      </c>
      <c r="T23" s="7">
        <v>1.41198013674569E-3</v>
      </c>
      <c r="U23" s="7">
        <v>1.5048595702051781E-3</v>
      </c>
      <c r="V23" s="7">
        <v>1.5965119212789881E-3</v>
      </c>
      <c r="W23" s="7">
        <v>1.6870292638075169E-3</v>
      </c>
      <c r="X23" s="7">
        <v>1.776484870538852E-3</v>
      </c>
      <c r="Y23" s="7">
        <v>1.864933724344837E-3</v>
      </c>
      <c r="Z23" s="7">
        <v>1.9524165215249289E-3</v>
      </c>
      <c r="AA23" s="7">
        <v>2.038961508318963E-3</v>
      </c>
      <c r="AB23" s="7">
        <v>2.124586396010202E-3</v>
      </c>
      <c r="AC23" s="7">
        <v>2.2092995273342371E-3</v>
      </c>
      <c r="AD23" s="7">
        <v>2.29306393744833E-3</v>
      </c>
      <c r="AE23" s="7">
        <v>2.3759786257937722E-3</v>
      </c>
    </row>
    <row r="24" spans="1:31" x14ac:dyDescent="0.2">
      <c r="A24" s="12"/>
      <c r="B24" s="8" t="s">
        <v>64</v>
      </c>
      <c r="C24" s="8" t="s">
        <v>4</v>
      </c>
      <c r="D24" s="7">
        <v>0</v>
      </c>
      <c r="E24" s="7">
        <v>0</v>
      </c>
      <c r="F24" s="7">
        <v>2.577606036505102E-3</v>
      </c>
      <c r="G24" s="7">
        <v>7.2855943059643097E-3</v>
      </c>
      <c r="H24" s="7">
        <v>1.1975340811473121E-2</v>
      </c>
      <c r="I24" s="7">
        <v>1.9280992886560853E-2</v>
      </c>
      <c r="J24" s="7">
        <v>2.6464052755715173E-2</v>
      </c>
      <c r="K24" s="7">
        <v>3.3530403811702567E-2</v>
      </c>
      <c r="L24" s="7">
        <v>4.0489127792642347E-2</v>
      </c>
      <c r="M24" s="7">
        <v>4.7349128793726429E-2</v>
      </c>
      <c r="N24" s="7">
        <v>5.4118921494045423E-2</v>
      </c>
      <c r="O24" s="7">
        <v>6.0805092778214088E-2</v>
      </c>
      <c r="P24" s="7">
        <v>6.7409191923291964E-2</v>
      </c>
      <c r="Q24" s="7">
        <v>7.3925572984285343E-2</v>
      </c>
      <c r="R24" s="7">
        <v>8.0344620039564704E-2</v>
      </c>
      <c r="S24" s="7">
        <v>8.6659663450122146E-2</v>
      </c>
      <c r="T24" s="7">
        <v>9.2870064731328056E-2</v>
      </c>
      <c r="U24" s="7">
        <v>9.897901681437378E-2</v>
      </c>
      <c r="V24" s="7">
        <v>0.10500726009874528</v>
      </c>
      <c r="W24" s="7">
        <v>0.11096085055031288</v>
      </c>
      <c r="X24" s="7">
        <v>0.11684460753209797</v>
      </c>
      <c r="Y24" s="7">
        <v>0.12266214742844923</v>
      </c>
      <c r="Z24" s="7">
        <v>0.12841614695405021</v>
      </c>
      <c r="AA24" s="7">
        <v>0.1341084639467372</v>
      </c>
      <c r="AB24" s="7">
        <v>0.13974026332942943</v>
      </c>
      <c r="AC24" s="7">
        <v>0.14531209382825577</v>
      </c>
      <c r="AD24" s="7">
        <v>0.15082152415735847</v>
      </c>
      <c r="AE24" s="7">
        <v>0.15627506579964143</v>
      </c>
    </row>
    <row r="25" spans="1:31" x14ac:dyDescent="0.2">
      <c r="A25" s="12"/>
      <c r="B25" s="8" t="s">
        <v>57</v>
      </c>
      <c r="C25" s="8" t="s">
        <v>4</v>
      </c>
      <c r="D25" s="7">
        <v>0</v>
      </c>
      <c r="E25" s="7">
        <v>0</v>
      </c>
      <c r="F25" s="7">
        <v>8.4335545219732348E-3</v>
      </c>
      <c r="G25" s="7">
        <v>2.2811716964650147E-2</v>
      </c>
      <c r="H25" s="7">
        <v>3.721179242716488E-2</v>
      </c>
      <c r="I25" s="7">
        <v>6.0344202819042812E-2</v>
      </c>
      <c r="J25" s="7">
        <v>8.3200368139232511E-2</v>
      </c>
      <c r="K25" s="7">
        <v>0.10578900916057545</v>
      </c>
      <c r="L25" s="7">
        <v>0.12812994462952945</v>
      </c>
      <c r="M25" s="7">
        <v>0.15024347458409582</v>
      </c>
      <c r="N25" s="7">
        <v>0.17214957697956185</v>
      </c>
      <c r="O25" s="7">
        <v>0.19386262652287656</v>
      </c>
      <c r="P25" s="7">
        <v>0.21538071146563575</v>
      </c>
      <c r="Q25" s="7">
        <v>0.2366780191724206</v>
      </c>
      <c r="R25" s="7">
        <v>0.2577154458924561</v>
      </c>
      <c r="S25" s="7">
        <v>0.27846400991214437</v>
      </c>
      <c r="T25" s="7">
        <v>0.29891553761597928</v>
      </c>
      <c r="U25" s="7">
        <v>0.31907537483284742</v>
      </c>
      <c r="V25" s="7">
        <v>0.33900618802926719</v>
      </c>
      <c r="W25" s="7">
        <v>0.35872374442253224</v>
      </c>
      <c r="X25" s="7">
        <v>0.3782400253785374</v>
      </c>
      <c r="Y25" s="7">
        <v>0.3975632755436333</v>
      </c>
      <c r="Z25" s="7">
        <v>0.41669885956426173</v>
      </c>
      <c r="AA25" s="7">
        <v>0.43564963585392719</v>
      </c>
      <c r="AB25" s="7">
        <v>0.4544163626612811</v>
      </c>
      <c r="AC25" s="7">
        <v>0.4729979497466047</v>
      </c>
      <c r="AD25" s="7">
        <v>0.4913831734571843</v>
      </c>
      <c r="AE25" s="7">
        <v>0.50959238343235602</v>
      </c>
    </row>
    <row r="26" spans="1:31" x14ac:dyDescent="0.2">
      <c r="A26" s="12"/>
      <c r="B26" s="8" t="s">
        <v>56</v>
      </c>
      <c r="C26" s="8" t="s">
        <v>4</v>
      </c>
      <c r="D26" s="7">
        <v>0</v>
      </c>
      <c r="E26" s="7">
        <v>0</v>
      </c>
      <c r="F26" s="7">
        <v>5.3355313799097533E-2</v>
      </c>
      <c r="G26" s="7">
        <v>0.1262080929280878</v>
      </c>
      <c r="H26" s="7">
        <v>0.2001338925759876</v>
      </c>
      <c r="I26" s="7">
        <v>0.2663732143212369</v>
      </c>
      <c r="J26" s="7">
        <v>0.33384978868185611</v>
      </c>
      <c r="K26" s="7">
        <v>0.40254612402603102</v>
      </c>
      <c r="L26" s="7">
        <v>0.47254657220383478</v>
      </c>
      <c r="M26" s="7">
        <v>0.5439919272097915</v>
      </c>
      <c r="N26" s="7">
        <v>0.61708809741300619</v>
      </c>
      <c r="O26" s="7">
        <v>0.69206614621218954</v>
      </c>
      <c r="P26" s="7">
        <v>0.76904809540703767</v>
      </c>
      <c r="Q26" s="7">
        <v>0.84787437262422471</v>
      </c>
      <c r="R26" s="7">
        <v>0.92811079046928879</v>
      </c>
      <c r="S26" s="7">
        <v>1.009303045987473</v>
      </c>
      <c r="T26" s="7">
        <v>1.0911948563375227</v>
      </c>
      <c r="U26" s="7">
        <v>1.1737278938512683</v>
      </c>
      <c r="V26" s="7">
        <v>1.2571643779129589</v>
      </c>
      <c r="W26" s="7">
        <v>1.3416044540963272</v>
      </c>
      <c r="X26" s="7">
        <v>1.4271385378543011</v>
      </c>
      <c r="Y26" s="7">
        <v>1.5138321125620471</v>
      </c>
      <c r="Z26" s="7">
        <v>1.6017343561107513</v>
      </c>
      <c r="AA26" s="7">
        <v>1.6908738119918933</v>
      </c>
      <c r="AB26" s="7">
        <v>1.7812595018959296</v>
      </c>
      <c r="AC26" s="7">
        <v>1.8728872646994357</v>
      </c>
      <c r="AD26" s="7">
        <v>1.9635406654497252</v>
      </c>
      <c r="AE26" s="7">
        <v>2.0549237870808374</v>
      </c>
    </row>
    <row r="27" spans="1:31" x14ac:dyDescent="0.2">
      <c r="A27" s="12"/>
      <c r="B27" s="8" t="s">
        <v>55</v>
      </c>
      <c r="C27" s="8" t="s">
        <v>4</v>
      </c>
      <c r="D27" s="7">
        <v>0</v>
      </c>
      <c r="E27" s="7">
        <v>0</v>
      </c>
      <c r="F27" s="7">
        <v>2.4887066917046491E-3</v>
      </c>
      <c r="G27" s="7">
        <v>6.7316423355396329E-3</v>
      </c>
      <c r="H27" s="7">
        <v>1.0981044419944129E-2</v>
      </c>
      <c r="I27" s="7">
        <v>1.780732204553236E-2</v>
      </c>
      <c r="J27" s="7">
        <v>2.4552080905021458E-2</v>
      </c>
      <c r="K27" s="7">
        <v>3.1217894462028811E-2</v>
      </c>
      <c r="L27" s="7">
        <v>3.7810611145802399E-2</v>
      </c>
      <c r="M27" s="7">
        <v>4.4336221412713157E-2</v>
      </c>
      <c r="N27" s="7">
        <v>5.0800620673869153E-2</v>
      </c>
      <c r="O27" s="7">
        <v>5.720805084521266E-2</v>
      </c>
      <c r="P27" s="7">
        <v>6.3557947777779553E-2</v>
      </c>
      <c r="Q27" s="7">
        <v>6.9842694270740677E-2</v>
      </c>
      <c r="R27" s="7">
        <v>7.6050750970675138E-2</v>
      </c>
      <c r="S27" s="7">
        <v>8.217356549502805E-2</v>
      </c>
      <c r="T27" s="7">
        <v>8.8208725844024977E-2</v>
      </c>
      <c r="U27" s="7">
        <v>9.4157809549427596E-2</v>
      </c>
      <c r="V27" s="7">
        <v>0.10003930922359336</v>
      </c>
      <c r="W27" s="7">
        <v>0.1058578777064471</v>
      </c>
      <c r="X27" s="7">
        <v>0.11161705064898876</v>
      </c>
      <c r="Y27" s="7">
        <v>0.11731926101189805</v>
      </c>
      <c r="Z27" s="7">
        <v>0.12296609187991882</v>
      </c>
      <c r="AA27" s="7">
        <v>0.12855838675892936</v>
      </c>
      <c r="AB27" s="7">
        <v>0.13409636940493783</v>
      </c>
      <c r="AC27" s="7">
        <v>0.13957971809275985</v>
      </c>
      <c r="AD27" s="7">
        <v>0.14500512076938843</v>
      </c>
      <c r="AE27" s="7">
        <v>0.15037858252834096</v>
      </c>
    </row>
    <row r="28" spans="1:31" x14ac:dyDescent="0.2">
      <c r="A28" s="12"/>
      <c r="B28" s="8" t="s">
        <v>54</v>
      </c>
      <c r="C28" s="8" t="s">
        <v>4</v>
      </c>
      <c r="D28" s="7">
        <v>0</v>
      </c>
      <c r="E28" s="7">
        <v>0</v>
      </c>
      <c r="F28" s="7">
        <v>1.7454750136949571E-3</v>
      </c>
      <c r="G28" s="7">
        <v>4.7212930061145712E-3</v>
      </c>
      <c r="H28" s="7">
        <v>7.7016462900890877E-3</v>
      </c>
      <c r="I28" s="7">
        <v>1.2489312539279733E-2</v>
      </c>
      <c r="J28" s="7">
        <v>1.7219804927907544E-2</v>
      </c>
      <c r="K28" s="7">
        <v>2.1894928375956815E-2</v>
      </c>
      <c r="L28" s="7">
        <v>2.6518784727632663E-2</v>
      </c>
      <c r="M28" s="7">
        <v>3.1095575439037185E-2</v>
      </c>
      <c r="N28" s="7">
        <v>3.5629435305491508E-2</v>
      </c>
      <c r="O28" s="7">
        <v>4.0123339429811909E-2</v>
      </c>
      <c r="P28" s="7">
        <v>4.4576892141458338E-2</v>
      </c>
      <c r="Q28" s="7">
        <v>4.8984751053653769E-2</v>
      </c>
      <c r="R28" s="7">
        <v>5.3338822945474415E-2</v>
      </c>
      <c r="S28" s="7">
        <v>5.7633109532708345E-2</v>
      </c>
      <c r="T28" s="7">
        <v>6.186591913937247E-2</v>
      </c>
      <c r="U28" s="7">
        <v>6.6038358180410137E-2</v>
      </c>
      <c r="V28" s="7">
        <v>7.0163396602386546E-2</v>
      </c>
      <c r="W28" s="7">
        <v>7.4244297713050439E-2</v>
      </c>
      <c r="X28" s="7">
        <v>7.8283541270461818E-2</v>
      </c>
      <c r="Y28" s="7">
        <v>8.2282833651707965E-2</v>
      </c>
      <c r="Z28" s="7">
        <v>8.6243285166362135E-2</v>
      </c>
      <c r="AA28" s="7">
        <v>9.0165487414245876E-2</v>
      </c>
      <c r="AB28" s="7">
        <v>9.4049597328485363E-2</v>
      </c>
      <c r="AC28" s="7">
        <v>9.7895389264462604E-2</v>
      </c>
      <c r="AD28" s="7">
        <v>0.10170054028641874</v>
      </c>
      <c r="AE28" s="7">
        <v>0.10546926211633942</v>
      </c>
    </row>
    <row r="29" spans="1:31" x14ac:dyDescent="0.2">
      <c r="A29" s="12"/>
      <c r="B29" s="8" t="s">
        <v>53</v>
      </c>
      <c r="C29" s="8" t="s">
        <v>4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-7.5937391853211939E-2</v>
      </c>
      <c r="J29" s="7">
        <v>-0.14824626708733957</v>
      </c>
      <c r="K29" s="7">
        <v>-0.21695891064793191</v>
      </c>
      <c r="L29" s="7">
        <v>-0.28210538270551472</v>
      </c>
      <c r="M29" s="7">
        <v>-0.34371378831511956</v>
      </c>
      <c r="N29" s="7">
        <v>-0.40181052725637617</v>
      </c>
      <c r="O29" s="7">
        <v>-0.45642053534392601</v>
      </c>
      <c r="P29" s="7">
        <v>-0.50756752541048711</v>
      </c>
      <c r="Q29" s="7">
        <v>-0.55527419312208448</v>
      </c>
      <c r="R29" s="7">
        <v>-0.59956242637076307</v>
      </c>
      <c r="S29" s="7">
        <v>-0.64045351315614052</v>
      </c>
      <c r="T29" s="7">
        <v>-0.67796830509946648</v>
      </c>
      <c r="U29" s="7">
        <v>-0.71212739738617348</v>
      </c>
      <c r="V29" s="7">
        <v>-0.74307561154517654</v>
      </c>
      <c r="W29" s="7">
        <v>-0.77084733258096882</v>
      </c>
      <c r="X29" s="7">
        <v>-0.79547390108600735</v>
      </c>
      <c r="Y29" s="7">
        <v>-0.81698375196747741</v>
      </c>
      <c r="Z29" s="7">
        <v>-0.83540260096924213</v>
      </c>
      <c r="AA29" s="7">
        <v>-0.85075360002816258</v>
      </c>
      <c r="AB29" s="7">
        <v>-0.86305757586941156</v>
      </c>
      <c r="AC29" s="7">
        <v>-0.87233302554540559</v>
      </c>
      <c r="AD29" s="7">
        <v>-0.87859629348901613</v>
      </c>
      <c r="AE29" s="7">
        <v>-0.8818617127673396</v>
      </c>
    </row>
    <row r="30" spans="1:31" x14ac:dyDescent="0.2">
      <c r="A30" s="12"/>
      <c r="B30" s="8" t="s">
        <v>52</v>
      </c>
      <c r="C30" s="8" t="s">
        <v>4</v>
      </c>
      <c r="D30" s="7">
        <v>0</v>
      </c>
      <c r="E30" s="7">
        <v>0</v>
      </c>
      <c r="F30" s="7">
        <v>1.3545365022642809E-5</v>
      </c>
      <c r="G30" s="7">
        <v>3.6638529136715845E-5</v>
      </c>
      <c r="H30" s="7">
        <v>5.9766888357630062E-5</v>
      </c>
      <c r="I30" s="7">
        <v>9.6920492071838219E-5</v>
      </c>
      <c r="J30" s="7">
        <v>1.3363041094094599E-4</v>
      </c>
      <c r="K30" s="7">
        <v>1.6991065163925799E-4</v>
      </c>
      <c r="L30" s="7">
        <v>2.0579304560325499E-4</v>
      </c>
      <c r="M30" s="7">
        <v>2.41310197285066E-4</v>
      </c>
      <c r="N30" s="7">
        <v>2.7649419383087199E-4</v>
      </c>
      <c r="O30" s="7">
        <v>3.1136812285482399E-4</v>
      </c>
      <c r="P30" s="7">
        <v>3.45928913844969E-4</v>
      </c>
      <c r="Q30" s="7">
        <v>3.8013510841409398E-4</v>
      </c>
      <c r="R30" s="7">
        <v>4.1392390094724602E-4</v>
      </c>
      <c r="S30" s="7">
        <v>4.47248743113156E-4</v>
      </c>
      <c r="T30" s="7">
        <v>4.8009650704203797E-4</v>
      </c>
      <c r="U30" s="7">
        <v>5.1247577881742697E-4</v>
      </c>
      <c r="V30" s="7">
        <v>5.4448720878331103E-4</v>
      </c>
      <c r="W30" s="7">
        <v>5.7615612110319396E-4</v>
      </c>
      <c r="X30" s="7">
        <v>6.0750175938000602E-4</v>
      </c>
      <c r="Y30" s="7">
        <v>6.3853736556813295E-4</v>
      </c>
      <c r="Z30" s="7">
        <v>6.6927155597450703E-4</v>
      </c>
      <c r="AA30" s="7">
        <v>6.99708921576064E-4</v>
      </c>
      <c r="AB30" s="7">
        <v>7.2985068021691999E-4</v>
      </c>
      <c r="AC30" s="7">
        <v>7.5969508083293096E-4</v>
      </c>
      <c r="AD30" s="7">
        <v>7.8922409680524702E-4</v>
      </c>
      <c r="AE30" s="7">
        <v>8.18470412252075E-4</v>
      </c>
    </row>
    <row r="31" spans="1:31" x14ac:dyDescent="0.2">
      <c r="A31" s="12"/>
      <c r="B31" s="8" t="s">
        <v>51</v>
      </c>
      <c r="C31" s="8" t="s">
        <v>4</v>
      </c>
      <c r="D31" s="7">
        <v>0</v>
      </c>
      <c r="E31" s="7">
        <v>0</v>
      </c>
      <c r="F31" s="7">
        <v>2.2379392427182901E-4</v>
      </c>
      <c r="G31" s="7">
        <v>5.9849674086277403E-4</v>
      </c>
      <c r="H31" s="7">
        <v>9.7426253314866697E-4</v>
      </c>
      <c r="I31" s="7">
        <v>1.5828607951845321E-3</v>
      </c>
      <c r="J31" s="7">
        <v>2.1849280931029789E-3</v>
      </c>
      <c r="K31" s="7">
        <v>2.7806371332164928E-3</v>
      </c>
      <c r="L31" s="7">
        <v>3.3704575423240939E-3</v>
      </c>
      <c r="M31" s="7">
        <v>3.9548772944373719E-3</v>
      </c>
      <c r="N31" s="7">
        <v>4.5343808891964398E-3</v>
      </c>
      <c r="O31" s="7">
        <v>5.1093077222443117E-3</v>
      </c>
      <c r="P31" s="7">
        <v>5.6795652476702109E-3</v>
      </c>
      <c r="Q31" s="7">
        <v>6.2444231607421989E-3</v>
      </c>
      <c r="R31" s="7">
        <v>6.8027953611371839E-3</v>
      </c>
      <c r="S31" s="7">
        <v>7.3538667595124847E-3</v>
      </c>
      <c r="T31" s="7">
        <v>7.8973811193778411E-3</v>
      </c>
      <c r="U31" s="7">
        <v>8.4334471735642309E-3</v>
      </c>
      <c r="V31" s="7">
        <v>8.9636934918283263E-3</v>
      </c>
      <c r="W31" s="7">
        <v>9.4885116838234664E-3</v>
      </c>
      <c r="X31" s="7">
        <v>1.0008194319895676E-2</v>
      </c>
      <c r="Y31" s="7">
        <v>1.0522935852373688E-2</v>
      </c>
      <c r="Z31" s="7">
        <v>1.1032855357054864E-2</v>
      </c>
      <c r="AA31" s="7">
        <v>1.1538006336234852E-2</v>
      </c>
      <c r="AB31" s="7">
        <v>1.2038387484378722E-2</v>
      </c>
      <c r="AC31" s="7">
        <v>1.2533949402347476E-2</v>
      </c>
      <c r="AD31" s="7">
        <v>1.3024370799569003E-2</v>
      </c>
      <c r="AE31" s="7">
        <v>1.3510184726062408E-2</v>
      </c>
    </row>
    <row r="32" spans="1:31" x14ac:dyDescent="0.2">
      <c r="A32" s="12"/>
      <c r="B32" s="8" t="s">
        <v>63</v>
      </c>
      <c r="C32" s="8" t="s">
        <v>4</v>
      </c>
      <c r="D32" s="7">
        <v>0</v>
      </c>
      <c r="E32" s="7">
        <v>0</v>
      </c>
      <c r="F32" s="7">
        <v>6.4564666360606114E-3</v>
      </c>
      <c r="G32" s="7">
        <v>1.7463939921154435E-2</v>
      </c>
      <c r="H32" s="7">
        <v>2.8488189131643537E-2</v>
      </c>
      <c r="I32" s="7">
        <v>4.6197641951055197E-2</v>
      </c>
      <c r="J32" s="7">
        <v>6.369561014864053E-2</v>
      </c>
      <c r="K32" s="7">
        <v>8.0988770076433986E-2</v>
      </c>
      <c r="L32" s="7">
        <v>9.8092294349368434E-2</v>
      </c>
      <c r="M32" s="7">
        <v>0.11502172404418914</v>
      </c>
      <c r="N32" s="7">
        <v>0.13179235366114936</v>
      </c>
      <c r="O32" s="7">
        <v>0.14841518802811571</v>
      </c>
      <c r="P32" s="7">
        <v>0.16488876357006127</v>
      </c>
      <c r="Q32" s="7">
        <v>0.18119331893737503</v>
      </c>
      <c r="R32" s="7">
        <v>0.1972989175165491</v>
      </c>
      <c r="S32" s="7">
        <v>0.21318337181043556</v>
      </c>
      <c r="T32" s="7">
        <v>0.2288404243536121</v>
      </c>
      <c r="U32" s="7">
        <v>0.24427416774615104</v>
      </c>
      <c r="V32" s="7">
        <v>0.25953257748275294</v>
      </c>
      <c r="W32" s="7">
        <v>0.27462772445382772</v>
      </c>
      <c r="X32" s="7">
        <v>0.289568781219884</v>
      </c>
      <c r="Y32" s="7">
        <v>0.30436205962534596</v>
      </c>
      <c r="Z32" s="7">
        <v>0.31901166667642072</v>
      </c>
      <c r="AA32" s="7">
        <v>0.33351979068544696</v>
      </c>
      <c r="AB32" s="7">
        <v>0.34788701214397311</v>
      </c>
      <c r="AC32" s="7">
        <v>0.3621124963984314</v>
      </c>
      <c r="AD32" s="7">
        <v>0.37618765096992213</v>
      </c>
      <c r="AE32" s="7">
        <v>0.39012805490842772</v>
      </c>
    </row>
    <row r="33" spans="1:31" x14ac:dyDescent="0.2">
      <c r="A33" s="12" t="s">
        <v>62</v>
      </c>
      <c r="B33" s="8" t="s">
        <v>61</v>
      </c>
      <c r="C33" s="8" t="s">
        <v>4</v>
      </c>
      <c r="D33" s="7">
        <v>0</v>
      </c>
      <c r="E33" s="7">
        <v>0</v>
      </c>
      <c r="F33" s="7">
        <v>0</v>
      </c>
      <c r="G33" s="7">
        <v>2.5657708489300142E-3</v>
      </c>
      <c r="H33" s="7">
        <v>4.8815474204435532E-3</v>
      </c>
      <c r="I33" s="7">
        <v>6.9662788415230346E-3</v>
      </c>
      <c r="J33" s="7">
        <v>8.8413612260549151E-3</v>
      </c>
      <c r="K33" s="7">
        <v>1.8179653494888953E-2</v>
      </c>
      <c r="L33" s="7">
        <v>2.962622609363609E-2</v>
      </c>
      <c r="M33" s="7">
        <v>4.6067348383122292E-2</v>
      </c>
      <c r="N33" s="7">
        <v>7.3956654595811064E-2</v>
      </c>
      <c r="O33" s="7">
        <v>0.12609341122850901</v>
      </c>
      <c r="P33" s="7">
        <v>0.22099490657365559</v>
      </c>
      <c r="Q33" s="7">
        <v>0.36653083083047</v>
      </c>
      <c r="R33" s="7">
        <v>0.53306277844263583</v>
      </c>
      <c r="S33" s="7">
        <v>0.67161998143540336</v>
      </c>
      <c r="T33" s="7">
        <v>0.76423395651355752</v>
      </c>
      <c r="U33" s="7">
        <v>0.82298149343238136</v>
      </c>
      <c r="V33" s="7">
        <v>0.86404926288135953</v>
      </c>
      <c r="W33" s="7">
        <v>0.89743464095481751</v>
      </c>
      <c r="X33" s="7">
        <v>0.92809576482233802</v>
      </c>
      <c r="Y33" s="7">
        <v>0.95829130695151521</v>
      </c>
      <c r="Z33" s="7">
        <v>0.98401172037684037</v>
      </c>
      <c r="AA33" s="7">
        <v>1.0107364980554732</v>
      </c>
      <c r="AB33" s="7">
        <v>1.0386087596916069</v>
      </c>
      <c r="AC33" s="7">
        <v>1.0676792410476075</v>
      </c>
      <c r="AD33" s="7">
        <v>1.0980006937710969</v>
      </c>
      <c r="AE33" s="7">
        <v>1.1296278612321182</v>
      </c>
    </row>
    <row r="34" spans="1:31" x14ac:dyDescent="0.2">
      <c r="A34" s="12"/>
      <c r="B34" s="8" t="s">
        <v>60</v>
      </c>
      <c r="C34" s="8" t="s">
        <v>4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</row>
    <row r="35" spans="1:31" x14ac:dyDescent="0.2">
      <c r="A35" s="12"/>
      <c r="B35" s="8" t="s">
        <v>57</v>
      </c>
      <c r="C35" s="8" t="s">
        <v>4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</row>
    <row r="36" spans="1:31" x14ac:dyDescent="0.2">
      <c r="A36" s="12"/>
      <c r="B36" s="8" t="s">
        <v>56</v>
      </c>
      <c r="C36" s="8" t="s">
        <v>4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-5.9866309543417616E-3</v>
      </c>
      <c r="L36" s="7">
        <v>-1.349766131955994E-2</v>
      </c>
      <c r="M36" s="7">
        <v>-2.4728405078593824E-2</v>
      </c>
      <c r="N36" s="7">
        <v>-4.4651835272022711E-2</v>
      </c>
      <c r="O36" s="7">
        <v>-8.3663827906707872E-2</v>
      </c>
      <c r="P36" s="7">
        <v>-0.15919885907297704</v>
      </c>
      <c r="Q36" s="7">
        <v>-0.28638135309843116</v>
      </c>
      <c r="R36" s="7">
        <v>-0.45053700304756694</v>
      </c>
      <c r="S36" s="7">
        <v>-0.6036462428022078</v>
      </c>
      <c r="T36" s="7">
        <v>-0.71401275990020441</v>
      </c>
      <c r="U36" s="7">
        <v>-0.78650681287107549</v>
      </c>
      <c r="V36" s="7">
        <v>-0.83788915136816922</v>
      </c>
      <c r="W36" s="7">
        <v>-0.88035996160870766</v>
      </c>
      <c r="X36" s="7">
        <v>-0.92032146183994423</v>
      </c>
      <c r="Y36" s="7">
        <v>-0.96073387828274837</v>
      </c>
      <c r="Z36" s="7">
        <v>-0.99546573849341435</v>
      </c>
      <c r="AA36" s="7">
        <v>-1.0447223747422194</v>
      </c>
      <c r="AB36" s="7">
        <v>-1.0947670454266236</v>
      </c>
      <c r="AC36" s="7">
        <v>-1.1456121800818773</v>
      </c>
      <c r="AD36" s="7">
        <v>-1.1972708823994498</v>
      </c>
      <c r="AE36" s="7">
        <v>-1.2497563150496627</v>
      </c>
    </row>
    <row r="37" spans="1:31" x14ac:dyDescent="0.2">
      <c r="A37" s="12"/>
      <c r="B37" s="8" t="s">
        <v>55</v>
      </c>
      <c r="C37" s="8" t="s">
        <v>4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</row>
    <row r="38" spans="1:31" x14ac:dyDescent="0.2">
      <c r="A38" s="12"/>
      <c r="B38" s="8" t="s">
        <v>54</v>
      </c>
      <c r="C38" s="8" t="s">
        <v>4</v>
      </c>
      <c r="D38" s="7">
        <v>0</v>
      </c>
      <c r="E38" s="7">
        <v>0</v>
      </c>
      <c r="F38" s="7">
        <v>0</v>
      </c>
      <c r="G38" s="7">
        <v>0.19508423583673176</v>
      </c>
      <c r="H38" s="7">
        <v>0.37832593449374147</v>
      </c>
      <c r="I38" s="7">
        <v>0.5496407208025138</v>
      </c>
      <c r="J38" s="7">
        <v>0.70906246312296572</v>
      </c>
      <c r="K38" s="7">
        <v>0.97686253019303682</v>
      </c>
      <c r="L38" s="7">
        <v>1.2625898414259118</v>
      </c>
      <c r="M38" s="7">
        <v>1.6083930927860366</v>
      </c>
      <c r="N38" s="7">
        <v>2.1091786965779575</v>
      </c>
      <c r="O38" s="7">
        <v>2.9586127404749258</v>
      </c>
      <c r="P38" s="7">
        <v>4.4643284187235146</v>
      </c>
      <c r="Q38" s="7">
        <v>6.8445857899567981</v>
      </c>
      <c r="R38" s="7">
        <v>9.7356521387467208</v>
      </c>
      <c r="S38" s="7">
        <v>12.246921309412933</v>
      </c>
      <c r="T38" s="7">
        <v>13.888049129138778</v>
      </c>
      <c r="U38" s="7">
        <v>14.811640576498345</v>
      </c>
      <c r="V38" s="7">
        <v>15.33349138633247</v>
      </c>
      <c r="W38" s="7">
        <v>15.666652494557026</v>
      </c>
      <c r="X38" s="7">
        <v>15.918864827756124</v>
      </c>
      <c r="Y38" s="7">
        <v>16.138828317232711</v>
      </c>
      <c r="Z38" s="7">
        <v>16.244652120543378</v>
      </c>
      <c r="AA38" s="7">
        <v>16.348113790290576</v>
      </c>
      <c r="AB38" s="7">
        <v>16.454794767690181</v>
      </c>
      <c r="AC38" s="7">
        <v>16.564802426577742</v>
      </c>
      <c r="AD38" s="7">
        <v>16.678239587730328</v>
      </c>
      <c r="AE38" s="7">
        <v>16.795199098223069</v>
      </c>
    </row>
    <row r="39" spans="1:31" x14ac:dyDescent="0.2">
      <c r="A39" s="12"/>
      <c r="B39" s="8" t="s">
        <v>53</v>
      </c>
      <c r="C39" s="8" t="s">
        <v>4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</row>
    <row r="40" spans="1:31" x14ac:dyDescent="0.2">
      <c r="A40" s="12"/>
      <c r="B40" s="8" t="s">
        <v>52</v>
      </c>
      <c r="C40" s="8" t="s">
        <v>4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</row>
    <row r="41" spans="1:31" x14ac:dyDescent="0.2">
      <c r="A41" s="12"/>
      <c r="B41" s="8" t="s">
        <v>51</v>
      </c>
      <c r="C41" s="8" t="s">
        <v>4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</row>
    <row r="42" spans="1:31" x14ac:dyDescent="0.2">
      <c r="A42" s="12" t="s">
        <v>59</v>
      </c>
      <c r="B42" s="8" t="s">
        <v>58</v>
      </c>
      <c r="C42" s="8" t="s">
        <v>4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</row>
    <row r="43" spans="1:31" x14ac:dyDescent="0.2">
      <c r="A43" s="12"/>
      <c r="B43" s="8" t="s">
        <v>57</v>
      </c>
      <c r="C43" s="8" t="s">
        <v>4</v>
      </c>
      <c r="D43" s="7">
        <v>0</v>
      </c>
      <c r="E43" s="7">
        <v>0</v>
      </c>
      <c r="F43" s="7">
        <v>0</v>
      </c>
      <c r="G43" s="7">
        <v>5.5967805077458258E-2</v>
      </c>
      <c r="H43" s="7">
        <v>0.11582040793087664</v>
      </c>
      <c r="I43" s="7">
        <v>0.17973115634258513</v>
      </c>
      <c r="J43" s="7">
        <v>0.24802573577819839</v>
      </c>
      <c r="K43" s="7">
        <v>0.32074157492203492</v>
      </c>
      <c r="L43" s="7">
        <v>0.39801477158034593</v>
      </c>
      <c r="M43" s="7">
        <v>0.4799797227791946</v>
      </c>
      <c r="N43" s="7">
        <v>0.78429441008284351</v>
      </c>
      <c r="O43" s="7">
        <v>1.0999641307251267</v>
      </c>
      <c r="P43" s="7">
        <v>1.426811323729466</v>
      </c>
      <c r="Q43" s="7">
        <v>1.7646193768856429</v>
      </c>
      <c r="R43" s="7">
        <v>2.1131310613220613</v>
      </c>
      <c r="S43" s="7">
        <v>2.4720478391082756</v>
      </c>
      <c r="T43" s="7">
        <v>2.8410277602260718</v>
      </c>
      <c r="U43" s="7">
        <v>3.2196847629264838</v>
      </c>
      <c r="V43" s="7">
        <v>3.609324022107451</v>
      </c>
      <c r="W43" s="7">
        <v>4.0100440903287753</v>
      </c>
      <c r="X43" s="7">
        <v>4.4219250095650082</v>
      </c>
      <c r="Y43" s="7">
        <v>4.8450235683264351</v>
      </c>
      <c r="Z43" s="7">
        <v>5.2793725512625063</v>
      </c>
      <c r="AA43" s="7">
        <v>5.7249786721918943</v>
      </c>
      <c r="AB43" s="7">
        <v>6.1818304136360531</v>
      </c>
      <c r="AC43" s="7">
        <v>6.6498830795193653</v>
      </c>
      <c r="AD43" s="7">
        <v>7.1290611496057394</v>
      </c>
      <c r="AE43" s="7">
        <v>7.6192589544879032</v>
      </c>
    </row>
    <row r="44" spans="1:31" x14ac:dyDescent="0.2">
      <c r="A44" s="12"/>
      <c r="B44" s="8" t="s">
        <v>56</v>
      </c>
      <c r="C44" s="8" t="s">
        <v>4</v>
      </c>
      <c r="D44" s="7">
        <v>0</v>
      </c>
      <c r="E44" s="7">
        <v>0</v>
      </c>
      <c r="F44" s="7">
        <v>0</v>
      </c>
      <c r="G44" s="7">
        <v>5.5393654187466904E-4</v>
      </c>
      <c r="H44" s="7">
        <v>1.178199345441953E-3</v>
      </c>
      <c r="I44" s="7">
        <v>1.8784297116642599E-3</v>
      </c>
      <c r="J44" s="7">
        <v>2.6622385463041451E-3</v>
      </c>
      <c r="K44" s="7">
        <v>3.5344246491807278E-3</v>
      </c>
      <c r="L44" s="7">
        <v>4.5010821268606097E-3</v>
      </c>
      <c r="M44" s="7">
        <v>5.5685470209945439E-3</v>
      </c>
      <c r="N44" s="7">
        <v>-0.11412235782767514</v>
      </c>
      <c r="O44" s="7">
        <v>-0.23629448759014576</v>
      </c>
      <c r="P44" s="7">
        <v>-0.36078175622055902</v>
      </c>
      <c r="Q44" s="7">
        <v>-0.48740102121658302</v>
      </c>
      <c r="R44" s="7">
        <v>-0.61595155837811533</v>
      </c>
      <c r="S44" s="7">
        <v>-0.74621494982028469</v>
      </c>
      <c r="T44" s="7">
        <v>-0.87795446609074224</v>
      </c>
      <c r="U44" s="7">
        <v>-1.0109149885322171</v>
      </c>
      <c r="V44" s="7">
        <v>-1.1453938739460345</v>
      </c>
      <c r="W44" s="7">
        <v>-1.281300846502526</v>
      </c>
      <c r="X44" s="7">
        <v>-1.418529484045441</v>
      </c>
      <c r="Y44" s="7">
        <v>-1.5569548905060777</v>
      </c>
      <c r="Z44" s="7">
        <v>-1.6964331222789757</v>
      </c>
      <c r="AA44" s="7">
        <v>-1.8368000361816164</v>
      </c>
      <c r="AB44" s="7">
        <v>-1.9778743690763958</v>
      </c>
      <c r="AC44" s="7">
        <v>-2.1194510179578976</v>
      </c>
      <c r="AD44" s="7">
        <v>-2.2613017156852928</v>
      </c>
      <c r="AE44" s="7">
        <v>-2.4031750146481961</v>
      </c>
    </row>
    <row r="45" spans="1:31" x14ac:dyDescent="0.2">
      <c r="A45" s="12"/>
      <c r="B45" s="8" t="s">
        <v>55</v>
      </c>
      <c r="C45" s="8" t="s">
        <v>4</v>
      </c>
      <c r="D45" s="7">
        <v>0</v>
      </c>
      <c r="E45" s="7">
        <v>0</v>
      </c>
      <c r="F45" s="7">
        <v>0</v>
      </c>
      <c r="G45" s="7">
        <v>7.2809147231227139E-2</v>
      </c>
      <c r="H45" s="7">
        <v>0.15094744775670371</v>
      </c>
      <c r="I45" s="7">
        <v>0.23467031661261353</v>
      </c>
      <c r="J45" s="7">
        <v>0.32444277850852449</v>
      </c>
      <c r="K45" s="7">
        <v>0.42033906066869986</v>
      </c>
      <c r="L45" s="7">
        <v>0.52256889724526534</v>
      </c>
      <c r="M45" s="7">
        <v>0.6313409294589355</v>
      </c>
      <c r="N45" s="7">
        <v>1.0508077252997563</v>
      </c>
      <c r="O45" s="7">
        <v>1.4875647416953481</v>
      </c>
      <c r="P45" s="7">
        <v>1.941378326576757</v>
      </c>
      <c r="Q45" s="7">
        <v>2.4119533469874579</v>
      </c>
      <c r="R45" s="7">
        <v>2.8989304938132574</v>
      </c>
      <c r="S45" s="7">
        <v>3.4018852208041062</v>
      </c>
      <c r="T45" s="7">
        <v>3.9203240088187084</v>
      </c>
      <c r="U45" s="7">
        <v>4.4536832689194048</v>
      </c>
      <c r="V45" s="7">
        <v>5.0038292022887125</v>
      </c>
      <c r="W45" s="7">
        <v>5.5708976055108774</v>
      </c>
      <c r="X45" s="7">
        <v>6.1549942692239386</v>
      </c>
      <c r="Y45" s="7">
        <v>6.7561864520800148</v>
      </c>
      <c r="Z45" s="7">
        <v>7.3745021430560618</v>
      </c>
      <c r="AA45" s="7">
        <v>8.0099267843160771</v>
      </c>
      <c r="AB45" s="7">
        <v>8.6624189580056008</v>
      </c>
      <c r="AC45" s="7">
        <v>9.3318828023233085</v>
      </c>
      <c r="AD45" s="7">
        <v>10.018173305851318</v>
      </c>
      <c r="AE45" s="7">
        <v>10.721098716759794</v>
      </c>
    </row>
    <row r="46" spans="1:31" x14ac:dyDescent="0.2">
      <c r="A46" s="12"/>
      <c r="B46" s="8" t="s">
        <v>54</v>
      </c>
      <c r="C46" s="8" t="s">
        <v>4</v>
      </c>
      <c r="D46" s="7">
        <v>0</v>
      </c>
      <c r="E46" s="7">
        <v>0</v>
      </c>
      <c r="F46" s="7">
        <v>0</v>
      </c>
      <c r="G46" s="7">
        <v>3.9598392850413123E-3</v>
      </c>
      <c r="H46" s="7">
        <v>8.2096517621807839E-3</v>
      </c>
      <c r="I46" s="7">
        <v>1.2763344284300274E-2</v>
      </c>
      <c r="J46" s="7">
        <v>1.7646231679199164E-2</v>
      </c>
      <c r="K46" s="7">
        <v>2.286236261514216E-2</v>
      </c>
      <c r="L46" s="7">
        <v>2.8423160543774546E-2</v>
      </c>
      <c r="M46" s="7">
        <v>3.4339990129803315E-2</v>
      </c>
      <c r="N46" s="7">
        <v>5.717465640831336E-2</v>
      </c>
      <c r="O46" s="7">
        <v>8.0951477480704234E-2</v>
      </c>
      <c r="P46" s="7">
        <v>0.10565771299330733</v>
      </c>
      <c r="Q46" s="7">
        <v>0.13127726943150281</v>
      </c>
      <c r="R46" s="7">
        <v>0.15779055339816073</v>
      </c>
      <c r="S46" s="7">
        <v>0.185174412700958</v>
      </c>
      <c r="T46" s="7">
        <v>0.21340193491924947</v>
      </c>
      <c r="U46" s="7">
        <v>0.24244238406596241</v>
      </c>
      <c r="V46" s="7">
        <v>0.27239736126473862</v>
      </c>
      <c r="W46" s="7">
        <v>0.303274221481797</v>
      </c>
      <c r="X46" s="7">
        <v>0.33507868292989346</v>
      </c>
      <c r="Y46" s="7">
        <v>0.36781436023324798</v>
      </c>
      <c r="Z46" s="7">
        <v>0.4014827232673393</v>
      </c>
      <c r="AA46" s="7">
        <v>0.43608292105224333</v>
      </c>
      <c r="AB46" s="7">
        <v>0.47161263660277741</v>
      </c>
      <c r="AC46" s="7">
        <v>0.50806658289118634</v>
      </c>
      <c r="AD46" s="7">
        <v>0.54543678998799039</v>
      </c>
      <c r="AE46" s="7">
        <v>0.58371273955671032</v>
      </c>
    </row>
    <row r="47" spans="1:31" x14ac:dyDescent="0.2">
      <c r="A47" s="12"/>
      <c r="B47" s="8" t="s">
        <v>53</v>
      </c>
      <c r="C47" s="8" t="s">
        <v>4</v>
      </c>
      <c r="D47" s="7">
        <v>0</v>
      </c>
      <c r="E47" s="7">
        <v>0</v>
      </c>
      <c r="F47" s="7">
        <v>0</v>
      </c>
      <c r="G47" s="7">
        <v>2.9556871506845053E-5</v>
      </c>
      <c r="H47" s="7">
        <v>7.6344723365872301E-5</v>
      </c>
      <c r="I47" s="7">
        <v>1.41956456494617E-4</v>
      </c>
      <c r="J47" s="7">
        <v>2.28194386626605E-4</v>
      </c>
      <c r="K47" s="7">
        <v>3.3673287083582501E-4</v>
      </c>
      <c r="L47" s="7">
        <v>4.69366648057659E-4</v>
      </c>
      <c r="M47" s="7">
        <v>6.2794810342137099E-4</v>
      </c>
      <c r="N47" s="7">
        <v>-5.6345262330626554E-2</v>
      </c>
      <c r="O47" s="7">
        <v>-0.11456638803187516</v>
      </c>
      <c r="P47" s="7">
        <v>-0.17396162360819611</v>
      </c>
      <c r="Q47" s="7">
        <v>-0.23445066502734777</v>
      </c>
      <c r="R47" s="7">
        <v>-0.29594658483177011</v>
      </c>
      <c r="S47" s="7">
        <v>-0.35835572948024563</v>
      </c>
      <c r="T47" s="7">
        <v>-0.42157760714904002</v>
      </c>
      <c r="U47" s="7">
        <v>-0.48550480318418709</v>
      </c>
      <c r="V47" s="7">
        <v>-0.55026279250444698</v>
      </c>
      <c r="W47" s="7">
        <v>-0.61581560107031585</v>
      </c>
      <c r="X47" s="7">
        <v>-0.68212161616540445</v>
      </c>
      <c r="Y47" s="7">
        <v>-0.74913310272651701</v>
      </c>
      <c r="Z47" s="7">
        <v>-0.81679574177815961</v>
      </c>
      <c r="AA47" s="7">
        <v>-0.88504811941409134</v>
      </c>
      <c r="AB47" s="7">
        <v>-0.95382134094520199</v>
      </c>
      <c r="AC47" s="7">
        <v>-1.0230382224875774</v>
      </c>
      <c r="AD47" s="7">
        <v>-1.0926127408709598</v>
      </c>
      <c r="AE47" s="7">
        <v>-1.1624493864614924</v>
      </c>
    </row>
    <row r="48" spans="1:31" x14ac:dyDescent="0.2">
      <c r="A48" s="12"/>
      <c r="B48" s="8" t="s">
        <v>52</v>
      </c>
      <c r="C48" s="8" t="s">
        <v>4</v>
      </c>
      <c r="D48" s="7">
        <v>0</v>
      </c>
      <c r="E48" s="7">
        <v>0</v>
      </c>
      <c r="F48" s="7">
        <v>0</v>
      </c>
      <c r="G48" s="7">
        <v>1.8396296158268601E-4</v>
      </c>
      <c r="H48" s="7">
        <v>3.7952391330049902E-4</v>
      </c>
      <c r="I48" s="7">
        <v>5.8712484115986199E-4</v>
      </c>
      <c r="J48" s="7">
        <v>8.07714155834128E-4</v>
      </c>
      <c r="K48" s="7">
        <v>1.041254869194166E-3</v>
      </c>
      <c r="L48" s="7">
        <v>1.2880385937961271E-3</v>
      </c>
      <c r="M48" s="7">
        <v>1.5483440963543519E-3</v>
      </c>
      <c r="N48" s="7">
        <v>1.822434839884922E-3</v>
      </c>
      <c r="O48" s="7">
        <v>2.1105567759273831E-3</v>
      </c>
      <c r="P48" s="7">
        <v>2.4129372432538251E-3</v>
      </c>
      <c r="Q48" s="7">
        <v>2.7297820725777429E-3</v>
      </c>
      <c r="R48" s="7">
        <v>3.061273818165693E-3</v>
      </c>
      <c r="S48" s="7">
        <v>3.4075715268964521E-3</v>
      </c>
      <c r="T48" s="7">
        <v>3.768806939536953E-3</v>
      </c>
      <c r="U48" s="7">
        <v>4.1450838559623972E-3</v>
      </c>
      <c r="V48" s="7">
        <v>4.53873307589655E-3</v>
      </c>
      <c r="W48" s="7">
        <v>4.9504060202019548E-3</v>
      </c>
      <c r="X48" s="7">
        <v>5.3807711503767218E-3</v>
      </c>
      <c r="Y48" s="7">
        <v>5.8305092634905803E-3</v>
      </c>
      <c r="Z48" s="7">
        <v>6.3003157518047217E-3</v>
      </c>
      <c r="AA48" s="7">
        <v>6.7909000802312842E-3</v>
      </c>
      <c r="AB48" s="7">
        <v>7.3030010709358266E-3</v>
      </c>
      <c r="AC48" s="7">
        <v>7.8373671523766786E-3</v>
      </c>
      <c r="AD48" s="7">
        <v>8.394762801073789E-3</v>
      </c>
      <c r="AE48" s="7">
        <v>8.9759741301185733E-3</v>
      </c>
    </row>
    <row r="49" spans="1:31" x14ac:dyDescent="0.2">
      <c r="A49" s="12"/>
      <c r="B49" s="8" t="s">
        <v>51</v>
      </c>
      <c r="C49" s="8" t="s">
        <v>4</v>
      </c>
      <c r="D49" s="7">
        <v>0</v>
      </c>
      <c r="E49" s="7">
        <v>0</v>
      </c>
      <c r="F49" s="7">
        <v>0</v>
      </c>
      <c r="G49" s="7">
        <v>5.5755431301500274E-9</v>
      </c>
      <c r="H49" s="7">
        <v>1.103569543065003E-8</v>
      </c>
      <c r="I49" s="7">
        <v>1.6348302642450015E-8</v>
      </c>
      <c r="J49" s="7">
        <v>2.1490615680500006E-8</v>
      </c>
      <c r="K49" s="7">
        <v>2.6413408908050032E-8</v>
      </c>
      <c r="L49" s="7">
        <v>3.1074064674199989E-8</v>
      </c>
      <c r="M49" s="7">
        <v>3.5427995052600031E-8</v>
      </c>
      <c r="N49" s="7">
        <v>5.3901327019349994E-8</v>
      </c>
      <c r="O49" s="7">
        <v>7.057966015560003E-8</v>
      </c>
      <c r="P49" s="7">
        <v>8.533896605220001E-8</v>
      </c>
      <c r="Q49" s="7">
        <v>9.8056304081449979E-8</v>
      </c>
      <c r="R49" s="7">
        <v>1.0861015882569999E-7</v>
      </c>
      <c r="S49" s="7">
        <v>1.1688103524735E-7</v>
      </c>
      <c r="T49" s="7">
        <v>1.2275220275320002E-7</v>
      </c>
      <c r="U49" s="7">
        <v>1.2610990754779999E-7</v>
      </c>
      <c r="V49" s="7">
        <v>1.2689969151775E-7</v>
      </c>
      <c r="W49" s="7">
        <v>1.2501348314505001E-7</v>
      </c>
      <c r="X49" s="7">
        <v>1.2034125513154999E-7</v>
      </c>
      <c r="Y49" s="7">
        <v>1.1277065950908347E-7</v>
      </c>
      <c r="Z49" s="7">
        <v>1.0218747829222776E-7</v>
      </c>
      <c r="AA49" s="7">
        <v>8.8476262941156878E-8</v>
      </c>
      <c r="AB49" s="7">
        <v>7.151986110671013E-8</v>
      </c>
      <c r="AC49" s="7">
        <v>5.1200692606705378E-8</v>
      </c>
      <c r="AD49" s="7">
        <v>2.7400120335421833E-8</v>
      </c>
      <c r="AE49" s="7">
        <v>0</v>
      </c>
    </row>
    <row r="50" spans="1:31" x14ac:dyDescent="0.2">
      <c r="A50" s="12" t="s">
        <v>50</v>
      </c>
      <c r="B50" s="8" t="s">
        <v>49</v>
      </c>
      <c r="C50" s="8" t="s">
        <v>4</v>
      </c>
      <c r="D50" s="7">
        <v>0</v>
      </c>
      <c r="E50" s="7">
        <v>0</v>
      </c>
      <c r="F50" s="7">
        <v>8.2654388408455754E-3</v>
      </c>
      <c r="G50" s="7">
        <v>1.0834937098003617E-2</v>
      </c>
      <c r="H50" s="7">
        <v>1.3386820394112268E-2</v>
      </c>
      <c r="I50" s="7">
        <v>1.5679496750276519E-2</v>
      </c>
      <c r="J50" s="7">
        <v>1.7571659727979843E-2</v>
      </c>
      <c r="K50" s="7">
        <v>1.9044204166353367E-2</v>
      </c>
      <c r="L50" s="7">
        <v>2.0158427734113089E-2</v>
      </c>
      <c r="M50" s="7">
        <v>2.1001977711690809E-2</v>
      </c>
      <c r="N50" s="7">
        <v>2.1655557171741623E-2</v>
      </c>
      <c r="O50" s="7">
        <v>2.2180981923021613E-2</v>
      </c>
      <c r="P50" s="7">
        <v>2.2620780828585475E-2</v>
      </c>
      <c r="Q50" s="7">
        <v>2.3042076466101607E-2</v>
      </c>
      <c r="R50" s="7">
        <v>2.3424154065348639E-2</v>
      </c>
      <c r="S50" s="7">
        <v>2.3776869656159817E-2</v>
      </c>
      <c r="T50" s="7">
        <v>2.410670630247258E-2</v>
      </c>
      <c r="U50" s="7">
        <v>2.4418097734987269E-2</v>
      </c>
      <c r="V50" s="7">
        <v>2.4714197668920367E-2</v>
      </c>
      <c r="W50" s="7">
        <v>2.4996954685666917E-2</v>
      </c>
      <c r="X50" s="7">
        <v>2.4799430375504476E-2</v>
      </c>
      <c r="Y50" s="7">
        <v>2.4597438884835617E-2</v>
      </c>
      <c r="Z50" s="7">
        <v>2.4391396858685487E-2</v>
      </c>
      <c r="AA50" s="7">
        <v>2.4181678500143022E-2</v>
      </c>
      <c r="AB50" s="7">
        <v>2.396849519594034E-2</v>
      </c>
      <c r="AC50" s="7">
        <v>2.3752113373763935E-2</v>
      </c>
      <c r="AD50" s="7">
        <v>2.3526759809295444E-2</v>
      </c>
      <c r="AE50" s="7">
        <v>2.3298535548541919E-2</v>
      </c>
    </row>
    <row r="51" spans="1:31" x14ac:dyDescent="0.2">
      <c r="A51" s="12"/>
      <c r="B51" s="8" t="s">
        <v>48</v>
      </c>
      <c r="C51" s="8" t="s">
        <v>4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</row>
    <row r="52" spans="1:31" x14ac:dyDescent="0.2">
      <c r="A52" s="12"/>
      <c r="B52" s="8" t="s">
        <v>67</v>
      </c>
      <c r="C52" s="8" t="s">
        <v>4</v>
      </c>
      <c r="D52" s="7">
        <v>0</v>
      </c>
      <c r="E52" s="7">
        <v>0</v>
      </c>
      <c r="F52" s="7">
        <v>0</v>
      </c>
      <c r="G52" s="7">
        <v>5.256795693557529E-2</v>
      </c>
      <c r="H52" s="7">
        <v>0.11332248869679119</v>
      </c>
      <c r="I52" s="7">
        <v>0.18289374982768028</v>
      </c>
      <c r="J52" s="7">
        <v>0.26200749512926508</v>
      </c>
      <c r="K52" s="7">
        <v>0.35130481134668495</v>
      </c>
      <c r="L52" s="7">
        <v>0.45148835241395119</v>
      </c>
      <c r="M52" s="7">
        <v>0.56328589220597147</v>
      </c>
      <c r="N52" s="7">
        <v>0.68745057286134614</v>
      </c>
      <c r="O52" s="7">
        <v>0.82476090691437232</v>
      </c>
      <c r="P52" s="7">
        <v>0.97602028216744297</v>
      </c>
      <c r="Q52" s="7">
        <v>1.0015333042200119</v>
      </c>
      <c r="R52" s="7">
        <v>1.0274187509049437</v>
      </c>
      <c r="S52" s="7">
        <v>1.0536733432696983</v>
      </c>
      <c r="T52" s="7">
        <v>1.0802939151732045</v>
      </c>
      <c r="U52" s="7">
        <v>1.1072770919936921</v>
      </c>
      <c r="V52" s="7">
        <v>1.1348913296840122</v>
      </c>
      <c r="W52" s="7">
        <v>1.1631558128886499</v>
      </c>
      <c r="X52" s="7">
        <v>1.1920904484517503</v>
      </c>
      <c r="Y52" s="7">
        <v>1.2217167894441545</v>
      </c>
      <c r="Z52" s="7">
        <v>1.2520574460729088</v>
      </c>
      <c r="AA52" s="7">
        <v>1.2831360540885015</v>
      </c>
      <c r="AB52" s="7">
        <v>1.3149748088626418</v>
      </c>
      <c r="AC52" s="7">
        <v>1.3475980584455887</v>
      </c>
      <c r="AD52" s="7">
        <v>1.3810309783880235</v>
      </c>
      <c r="AE52" s="7">
        <v>1.4152989417451984</v>
      </c>
    </row>
    <row r="54" spans="1:31" x14ac:dyDescent="0.2">
      <c r="C54" s="6" t="s">
        <v>74</v>
      </c>
      <c r="D54" s="11">
        <f>+SUM(D3:D52)-'Sheet 1'!B7</f>
        <v>0</v>
      </c>
      <c r="E54" s="11">
        <f>+SUM(E3:E52)-'Sheet 1'!C7</f>
        <v>0</v>
      </c>
      <c r="F54" s="11">
        <f>+SUM(F3:F52)-'Sheet 1'!D7</f>
        <v>0</v>
      </c>
      <c r="G54" s="11">
        <f>+SUM(G3:G52)-'Sheet 1'!E7</f>
        <v>0</v>
      </c>
      <c r="H54" s="11">
        <f>+SUM(H3:H52)-'Sheet 1'!F7</f>
        <v>0</v>
      </c>
      <c r="I54" s="11">
        <f>+SUM(I3:I52)-'Sheet 1'!G7</f>
        <v>0</v>
      </c>
      <c r="J54" s="11">
        <f>+SUM(J3:J52)-'Sheet 1'!H7</f>
        <v>0</v>
      </c>
      <c r="K54" s="11">
        <f>+SUM(K3:K52)-'Sheet 1'!I7</f>
        <v>0</v>
      </c>
      <c r="L54" s="11">
        <f>+SUM(L3:L52)-'Sheet 1'!J7</f>
        <v>0</v>
      </c>
      <c r="M54" s="11">
        <f>+SUM(M3:M52)-'Sheet 1'!K7</f>
        <v>0</v>
      </c>
      <c r="N54" s="11">
        <f>+SUM(N3:N52)-'Sheet 1'!L7</f>
        <v>0</v>
      </c>
      <c r="O54" s="11">
        <f>+SUM(O3:O52)-'Sheet 1'!M7</f>
        <v>0</v>
      </c>
      <c r="P54" s="11">
        <f>+SUM(P3:P52)-'Sheet 1'!N7</f>
        <v>0</v>
      </c>
      <c r="Q54" s="11">
        <f>+SUM(Q3:Q52)-'Sheet 1'!O7</f>
        <v>0</v>
      </c>
      <c r="R54" s="11">
        <f>+SUM(R3:R52)-'Sheet 1'!P7</f>
        <v>0</v>
      </c>
      <c r="S54" s="11">
        <f>+SUM(S3:S52)-'Sheet 1'!Q7</f>
        <v>0</v>
      </c>
      <c r="T54" s="11">
        <f>+SUM(T3:T52)-'Sheet 1'!R7</f>
        <v>0</v>
      </c>
      <c r="U54" s="11">
        <f>+SUM(U3:U52)-'Sheet 1'!S7</f>
        <v>0</v>
      </c>
      <c r="V54" s="11">
        <f>+SUM(V3:V52)-'Sheet 1'!T7</f>
        <v>0</v>
      </c>
      <c r="W54" s="11">
        <f>+SUM(W3:W52)-'Sheet 1'!U7</f>
        <v>0</v>
      </c>
      <c r="X54" s="11">
        <f>+SUM(X3:X52)-'Sheet 1'!V7</f>
        <v>0</v>
      </c>
      <c r="Y54" s="11">
        <f>+SUM(Y3:Y52)-'Sheet 1'!W7</f>
        <v>0</v>
      </c>
      <c r="Z54" s="11">
        <f>+SUM(Z3:Z52)-'Sheet 1'!X7</f>
        <v>0</v>
      </c>
      <c r="AA54" s="11">
        <f>+SUM(AA3:AA52)-'Sheet 1'!Y7</f>
        <v>0</v>
      </c>
      <c r="AB54" s="11">
        <f>+SUM(AB3:AB52)-'Sheet 1'!Z7</f>
        <v>0</v>
      </c>
      <c r="AC54" s="11">
        <f>+SUM(AC3:AC52)-'Sheet 1'!AA7</f>
        <v>0</v>
      </c>
      <c r="AD54" s="11">
        <f>+SUM(AD3:AD52)-'Sheet 1'!AB7</f>
        <v>0</v>
      </c>
      <c r="AE54" s="11">
        <f>+SUM(AE3:AE52)-'Sheet 1'!AC7</f>
        <v>0</v>
      </c>
    </row>
  </sheetData>
  <mergeCells count="7">
    <mergeCell ref="A50:A52"/>
    <mergeCell ref="D1:AE1"/>
    <mergeCell ref="A3:A5"/>
    <mergeCell ref="A6:A21"/>
    <mergeCell ref="A22:A32"/>
    <mergeCell ref="A33:A41"/>
    <mergeCell ref="A42:A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fuel_cost_sav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Fabian Fuentes Rivas</cp:lastModifiedBy>
  <dcterms:created xsi:type="dcterms:W3CDTF">2026-07-30T16:15:07Z</dcterms:created>
  <dcterms:modified xsi:type="dcterms:W3CDTF">2026-07-30T19:18:42Z</dcterms:modified>
</cp:coreProperties>
</file>