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bianfuentes/git/ssp_morocco/ssp_modeling/cost-benefits/deliverables/"/>
    </mc:Choice>
  </mc:AlternateContent>
  <xr:revisionPtr revIDLastSave="0" documentId="13_ncr:1_{2554AD76-5FCF-4B46-9A1D-A29DD1A52EA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heet 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C34" i="1"/>
  <c r="C22" i="1"/>
  <c r="C23" i="1"/>
  <c r="C24" i="1"/>
  <c r="C25" i="1"/>
  <c r="C26" i="1"/>
  <c r="C27" i="1"/>
  <c r="C28" i="1"/>
  <c r="C29" i="1"/>
  <c r="C30" i="1"/>
  <c r="C31" i="1"/>
  <c r="C32" i="1"/>
  <c r="C33" i="1"/>
  <c r="C21" i="1"/>
</calcChain>
</file>

<file path=xl/sharedStrings.xml><?xml version="1.0" encoding="utf-8"?>
<sst xmlns="http://schemas.openxmlformats.org/spreadsheetml/2006/main" count="66" uniqueCount="51">
  <si>
    <t>pp_biogas</t>
  </si>
  <si>
    <t>pp_biomass</t>
  </si>
  <si>
    <t>pp_coal</t>
  </si>
  <si>
    <t>pp_coal_ccs</t>
  </si>
  <si>
    <t>pp_gas</t>
  </si>
  <si>
    <t>pp_gas_ccs</t>
  </si>
  <si>
    <t>pp_geothermal</t>
  </si>
  <si>
    <t>pp_hydropower</t>
  </si>
  <si>
    <t>pp_nuclear</t>
  </si>
  <si>
    <t>pp_ocean</t>
  </si>
  <si>
    <t>pp_oil</t>
  </si>
  <si>
    <t>pp_solar</t>
  </si>
  <si>
    <t>pp_waste_incineration</t>
  </si>
  <si>
    <t>pp_wind</t>
  </si>
  <si>
    <t>Electricity production by technology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</si>
  <si>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</si>
  <si>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</si>
  <si>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</si>
  <si>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</si>
  <si>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</si>
  <si>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</si>
  <si>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</si>
  <si>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</si>
  <si>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</si>
  <si>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</si>
  <si>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</si>
  <si>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</si>
  <si>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</si>
  <si>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</si>
  <si>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</si>
  <si>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</si>
  <si>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</si>
  <si>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</si>
  <si>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</si>
  <si>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</si>
  <si>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</si>
  <si>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</si>
  <si>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</si>
  <si>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</si>
  <si>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</si>
  <si>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</si>
  <si>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</si>
  <si>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</si>
  <si>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</si>
  <si>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</si>
  <si>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</si>
  <si>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</si>
  <si>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</si>
  <si>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LTS</t>
  </si>
  <si>
    <t>PJ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</si>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</sst>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name val="Calibri"/>
    </font>
    <font>
      <sz val="9"/>
      <color rgb="FF00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3" xfId="0" applyFont="1" applyBorder="1" applyAlignment="1">
      <alignment horizontal="center"/>
    </xf>
    <xf numFmtId="164" fontId="1" fillId="0" borderId="4" xfId="0" applyNumberFormat="1" applyFont="1" applyBorder="1" applyAlignment="1">
      <alignment vertical="center"/>
    </xf>
    <xf numFmtId="9" fontId="1" fillId="0" borderId="4" xfId="1" applyFont="1" applyBorder="1" applyAlignment="1">
      <alignment vertical="center"/>
    </xf>
    <xf numFmtId="0" fontId="1" fillId="0" borderId="4" xfId="0" applyFont="1" applyBorder="1" applyAlignment="1">
      <alignment horizontal="left" vertical="top" textRotation="90"/>
    </xf>
    <xf numFmtId="0" fontId="1" fillId="0" borderId="4" xfId="0" applyFont="1" applyBorder="1" applyAlignment="1">
      <alignment horizontal="left" vertical="top"/>
    </xf>
    <xf numFmtId="0" fontId="1" fillId="0" borderId="2" xfId="0" applyFont="1" applyBorder="1" applyAlignment="1">
      <alignment horizontal="center" vertical="center" textRotation="90"/>
    </xf>
    <xf numFmtId="0" fontId="1" fillId="2" borderId="4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'Sheet 1'!$B$21</c:f>
              <c:strCache>
                <c:ptCount val="1"/>
                <c:pt idx="0">
                  <c:v>pp_biogas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'Sheet 1'!$C$3:$AI$4</c15:sqref>
                  </c15:fullRef>
                  <c15:levelRef>
                    <c15:sqref>'Sheet 1'!$C$3:$AI$3</c15:sqref>
                  </c15:levelRef>
                </c:ext>
              </c:extLst>
              <c:f>'Sheet 1'!$C$3:$AI$3</c:f>
              <c:strCache>
                <c:ptCount val="3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</c:strCache>
            </c:strRef>
          </c:cat>
          <c:val>
            <c:numRef>
              <c:f>'Sheet 1'!$C$21:$AI$21</c:f>
              <c:numCache>
                <c:formatCode>0%</c:formatCode>
                <c:ptCount val="33"/>
                <c:pt idx="0">
                  <c:v>1.6997370315124682E-5</c:v>
                </c:pt>
                <c:pt idx="1">
                  <c:v>2.2536003168025804E-5</c:v>
                </c:pt>
                <c:pt idx="2">
                  <c:v>3.0909100118969395E-5</c:v>
                </c:pt>
                <c:pt idx="3">
                  <c:v>4.6867310009580158E-5</c:v>
                </c:pt>
                <c:pt idx="4">
                  <c:v>5.8555708502078943E-5</c:v>
                </c:pt>
                <c:pt idx="5">
                  <c:v>6.9139793256109742E-5</c:v>
                </c:pt>
                <c:pt idx="6">
                  <c:v>8.3709335199596196E-5</c:v>
                </c:pt>
                <c:pt idx="7">
                  <c:v>1.0165674237761324E-4</c:v>
                </c:pt>
                <c:pt idx="8">
                  <c:v>5.4777300813800393E-4</c:v>
                </c:pt>
                <c:pt idx="9">
                  <c:v>1.0516721468799793E-3</c:v>
                </c:pt>
                <c:pt idx="10">
                  <c:v>1.6123246425372062E-3</c:v>
                </c:pt>
                <c:pt idx="11">
                  <c:v>2.2327340446550896E-3</c:v>
                </c:pt>
                <c:pt idx="12">
                  <c:v>2.8862363442389255E-3</c:v>
                </c:pt>
                <c:pt idx="13">
                  <c:v>3.5022508967316769E-3</c:v>
                </c:pt>
                <c:pt idx="14">
                  <c:v>4.2062434053317457E-3</c:v>
                </c:pt>
                <c:pt idx="15">
                  <c:v>4.8013838985249031E-3</c:v>
                </c:pt>
                <c:pt idx="16">
                  <c:v>5.3803181358204732E-3</c:v>
                </c:pt>
                <c:pt idx="17">
                  <c:v>5.9131005545920035E-3</c:v>
                </c:pt>
                <c:pt idx="18">
                  <c:v>5.7855518243711069E-3</c:v>
                </c:pt>
                <c:pt idx="19">
                  <c:v>5.6498437291682526E-3</c:v>
                </c:pt>
                <c:pt idx="20">
                  <c:v>5.5381398361554505E-3</c:v>
                </c:pt>
                <c:pt idx="21">
                  <c:v>5.4585035804364992E-3</c:v>
                </c:pt>
                <c:pt idx="22">
                  <c:v>5.4240495142226612E-3</c:v>
                </c:pt>
                <c:pt idx="23">
                  <c:v>5.3524409492406002E-3</c:v>
                </c:pt>
                <c:pt idx="24">
                  <c:v>5.3380141296817969E-3</c:v>
                </c:pt>
                <c:pt idx="25">
                  <c:v>5.3819212158163496E-3</c:v>
                </c:pt>
                <c:pt idx="26">
                  <c:v>5.3729607006932452E-3</c:v>
                </c:pt>
                <c:pt idx="27">
                  <c:v>5.3710588955569018E-3</c:v>
                </c:pt>
                <c:pt idx="28">
                  <c:v>5.3670718041125831E-3</c:v>
                </c:pt>
                <c:pt idx="29">
                  <c:v>5.3692454566837394E-3</c:v>
                </c:pt>
                <c:pt idx="30">
                  <c:v>5.376337336733583E-3</c:v>
                </c:pt>
                <c:pt idx="31">
                  <c:v>5.3892800748851699E-3</c:v>
                </c:pt>
                <c:pt idx="32">
                  <c:v>5.405669269588507E-3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53-A649-9006-248691A6B086}"/>
            </c:ext>
          </c:extLst>
        </c:ser>
        <c:ser>
          <c:idx val="1"/>
          <c:order val="1"/>
          <c:tx>
            <c:strRef>
              <c:f>'Sheet 1'!$B$22</c:f>
              <c:strCache>
                <c:ptCount val="1"/>
                <c:pt idx="0">
                  <c:v>pp_biomass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'Sheet 1'!$C$3:$AI$4</c15:sqref>
                  </c15:fullRef>
                  <c15:levelRef>
                    <c15:sqref>'Sheet 1'!$C$3:$AI$3</c15:sqref>
                  </c15:levelRef>
                </c:ext>
              </c:extLst>
              <c:f>'Sheet 1'!$C$3:$AI$3</c:f>
              <c:strCache>
                <c:ptCount val="3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</c:strCache>
            </c:strRef>
          </c:cat>
          <c:val>
            <c:numRef>
              <c:f>'Sheet 1'!$C$22:$AI$22</c:f>
              <c:numCache>
                <c:formatCode>0%</c:formatCode>
                <c:ptCount val="33"/>
                <c:pt idx="0">
                  <c:v>2.9262542738049744E-3</c:v>
                </c:pt>
                <c:pt idx="1">
                  <c:v>4.3775115202705711E-3</c:v>
                </c:pt>
                <c:pt idx="2">
                  <c:v>7.8431680710948717E-4</c:v>
                </c:pt>
                <c:pt idx="3">
                  <c:v>6.0233361835621661E-3</c:v>
                </c:pt>
                <c:pt idx="4">
                  <c:v>6.8203688300790925E-3</c:v>
                </c:pt>
                <c:pt idx="5">
                  <c:v>9.7139111397865786E-3</c:v>
                </c:pt>
                <c:pt idx="6">
                  <c:v>9.3781683702564705E-3</c:v>
                </c:pt>
                <c:pt idx="7">
                  <c:v>8.2611492994702131E-3</c:v>
                </c:pt>
                <c:pt idx="8">
                  <c:v>9.9931353169154889E-3</c:v>
                </c:pt>
                <c:pt idx="9">
                  <c:v>4.460374614027633E-3</c:v>
                </c:pt>
                <c:pt idx="10">
                  <c:v>2.6982360779610201E-3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2.574948849370538E-4</c:v>
                </c:pt>
                <c:pt idx="20">
                  <c:v>4.2996975220324093E-4</c:v>
                </c:pt>
                <c:pt idx="21">
                  <c:v>7.9343104270779513E-4</c:v>
                </c:pt>
                <c:pt idx="22">
                  <c:v>8.468900136585542E-4</c:v>
                </c:pt>
                <c:pt idx="23">
                  <c:v>8.1563579288145569E-4</c:v>
                </c:pt>
                <c:pt idx="24">
                  <c:v>7.9393258868581734E-4</c:v>
                </c:pt>
                <c:pt idx="25">
                  <c:v>7.815967624522184E-4</c:v>
                </c:pt>
                <c:pt idx="26">
                  <c:v>6.0215297873027825E-4</c:v>
                </c:pt>
                <c:pt idx="27">
                  <c:v>1.2974290676902707E-4</c:v>
                </c:pt>
                <c:pt idx="28">
                  <c:v>1.2659108646611932E-4</c:v>
                </c:pt>
                <c:pt idx="29">
                  <c:v>1.2365663895570853E-4</c:v>
                </c:pt>
                <c:pt idx="30">
                  <c:v>1.2089928887250653E-4</c:v>
                </c:pt>
                <c:pt idx="31">
                  <c:v>1.183302334444042E-4</c:v>
                </c:pt>
                <c:pt idx="32">
                  <c:v>1.1588665820351188E-4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53-A649-9006-248691A6B086}"/>
            </c:ext>
          </c:extLst>
        </c:ser>
        <c:ser>
          <c:idx val="2"/>
          <c:order val="2"/>
          <c:tx>
            <c:strRef>
              <c:f>'Sheet 1'!$B$23</c:f>
              <c:strCache>
                <c:ptCount val="1"/>
                <c:pt idx="0">
                  <c:v>pp_coal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'Sheet 1'!$C$3:$AI$4</c15:sqref>
                  </c15:fullRef>
                  <c15:levelRef>
                    <c15:sqref>'Sheet 1'!$C$3:$AI$3</c15:sqref>
                  </c15:levelRef>
                </c:ext>
              </c:extLst>
              <c:f>'Sheet 1'!$C$3:$AI$3</c:f>
              <c:strCache>
                <c:ptCount val="3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</c:strCache>
            </c:strRef>
          </c:cat>
          <c:val>
            <c:numRef>
              <c:f>'Sheet 1'!$C$23:$AI$23</c:f>
              <c:numCache>
                <c:formatCode>0%</c:formatCode>
                <c:ptCount val="33"/>
                <c:pt idx="0">
                  <c:v>0.61993172568307719</c:v>
                </c:pt>
                <c:pt idx="1">
                  <c:v>0.61990915654765144</c:v>
                </c:pt>
                <c:pt idx="2">
                  <c:v>0.61987766558023383</c:v>
                </c:pt>
                <c:pt idx="3">
                  <c:v>0.61984519018877737</c:v>
                </c:pt>
                <c:pt idx="4">
                  <c:v>0.61983973964061057</c:v>
                </c:pt>
                <c:pt idx="5">
                  <c:v>0.61984103474575869</c:v>
                </c:pt>
                <c:pt idx="6">
                  <c:v>0.60393453659969631</c:v>
                </c:pt>
                <c:pt idx="7">
                  <c:v>0.58689685648111389</c:v>
                </c:pt>
                <c:pt idx="8">
                  <c:v>0.56542700018966507</c:v>
                </c:pt>
                <c:pt idx="9">
                  <c:v>0.52928249422548146</c:v>
                </c:pt>
                <c:pt idx="10">
                  <c:v>0.45124288763545489</c:v>
                </c:pt>
                <c:pt idx="11">
                  <c:v>0.30925419491891554</c:v>
                </c:pt>
                <c:pt idx="12">
                  <c:v>0.16743195476307035</c:v>
                </c:pt>
                <c:pt idx="13">
                  <c:v>8.9723539464253071E-2</c:v>
                </c:pt>
                <c:pt idx="14">
                  <c:v>5.3912704352513378E-2</c:v>
                </c:pt>
                <c:pt idx="15">
                  <c:v>3.2760330767113308E-2</c:v>
                </c:pt>
                <c:pt idx="16">
                  <c:v>1.5805541364307039E-2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53-A649-9006-248691A6B086}"/>
            </c:ext>
          </c:extLst>
        </c:ser>
        <c:ser>
          <c:idx val="3"/>
          <c:order val="3"/>
          <c:tx>
            <c:strRef>
              <c:f>'Sheet 1'!$B$24</c:f>
              <c:strCache>
                <c:ptCount val="1"/>
                <c:pt idx="0">
                  <c:v>pp_coal_ccs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'Sheet 1'!$C$3:$AI$4</c15:sqref>
                  </c15:fullRef>
                  <c15:levelRef>
                    <c15:sqref>'Sheet 1'!$C$3:$AI$3</c15:sqref>
                  </c15:levelRef>
                </c:ext>
              </c:extLst>
              <c:f>'Sheet 1'!$C$3:$AI$3</c:f>
              <c:strCache>
                <c:ptCount val="3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</c:strCache>
            </c:strRef>
          </c:cat>
          <c:val>
            <c:numRef>
              <c:f>'Sheet 1'!$C$24:$AI$24</c:f>
              <c:numCache>
                <c:formatCode>0%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53-A649-9006-248691A6B086}"/>
            </c:ext>
          </c:extLst>
        </c:ser>
        <c:ser>
          <c:idx val="4"/>
          <c:order val="4"/>
          <c:tx>
            <c:strRef>
              <c:f>'Sheet 1'!$B$25</c:f>
              <c:strCache>
                <c:ptCount val="1"/>
                <c:pt idx="0">
                  <c:v>pp_gas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'Sheet 1'!$C$3:$AI$4</c15:sqref>
                  </c15:fullRef>
                  <c15:levelRef>
                    <c15:sqref>'Sheet 1'!$C$3:$AI$3</c15:sqref>
                  </c15:levelRef>
                </c:ext>
              </c:extLst>
              <c:f>'Sheet 1'!$C$3:$AI$3</c:f>
              <c:strCache>
                <c:ptCount val="3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</c:strCache>
            </c:strRef>
          </c:cat>
          <c:val>
            <c:numRef>
              <c:f>'Sheet 1'!$C$25:$AI$25</c:f>
              <c:numCache>
                <c:formatCode>0%</c:formatCode>
                <c:ptCount val="33"/>
                <c:pt idx="0">
                  <c:v>9.998898801339956E-2</c:v>
                </c:pt>
                <c:pt idx="1">
                  <c:v>9.9985347830266372E-2</c:v>
                </c:pt>
                <c:pt idx="2">
                  <c:v>9.9980268641973208E-2</c:v>
                </c:pt>
                <c:pt idx="3">
                  <c:v>9.9975030675609269E-2</c:v>
                </c:pt>
                <c:pt idx="4">
                  <c:v>9.9974151554937177E-2</c:v>
                </c:pt>
                <c:pt idx="5">
                  <c:v>9.9974360442864327E-2</c:v>
                </c:pt>
                <c:pt idx="6">
                  <c:v>9.7408796225757474E-2</c:v>
                </c:pt>
                <c:pt idx="7">
                  <c:v>9.4660783303405494E-2</c:v>
                </c:pt>
                <c:pt idx="8">
                  <c:v>9.1197903256397608E-2</c:v>
                </c:pt>
                <c:pt idx="9">
                  <c:v>8.5368144229916343E-2</c:v>
                </c:pt>
                <c:pt idx="10">
                  <c:v>7.2781110908944333E-2</c:v>
                </c:pt>
                <c:pt idx="11">
                  <c:v>4.9879708857889594E-2</c:v>
                </c:pt>
                <c:pt idx="12">
                  <c:v>2.7005153994043605E-2</c:v>
                </c:pt>
                <c:pt idx="13">
                  <c:v>1.4471538623266616E-2</c:v>
                </c:pt>
                <c:pt idx="14">
                  <c:v>8.6955974762118401E-3</c:v>
                </c:pt>
                <c:pt idx="15">
                  <c:v>5.2839243172763412E-3</c:v>
                </c:pt>
                <c:pt idx="16">
                  <c:v>2.5492808652108163E-3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53-A649-9006-248691A6B086}"/>
            </c:ext>
          </c:extLst>
        </c:ser>
        <c:ser>
          <c:idx val="5"/>
          <c:order val="5"/>
          <c:tx>
            <c:strRef>
              <c:f>'Sheet 1'!$B$26</c:f>
              <c:strCache>
                <c:ptCount val="1"/>
                <c:pt idx="0">
                  <c:v>pp_gas_ccs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'Sheet 1'!$C$3:$AI$4</c15:sqref>
                  </c15:fullRef>
                  <c15:levelRef>
                    <c15:sqref>'Sheet 1'!$C$3:$AI$3</c15:sqref>
                  </c15:levelRef>
                </c:ext>
              </c:extLst>
              <c:f>'Sheet 1'!$C$3:$AI$3</c:f>
              <c:strCache>
                <c:ptCount val="3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</c:strCache>
            </c:strRef>
          </c:cat>
          <c:val>
            <c:numRef>
              <c:f>'Sheet 1'!$C$26:$AI$26</c:f>
              <c:numCache>
                <c:formatCode>0%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53-A649-9006-248691A6B086}"/>
            </c:ext>
          </c:extLst>
        </c:ser>
        <c:ser>
          <c:idx val="6"/>
          <c:order val="6"/>
          <c:tx>
            <c:strRef>
              <c:f>'Sheet 1'!$B$27</c:f>
              <c:strCache>
                <c:ptCount val="1"/>
                <c:pt idx="0">
                  <c:v>pp_geothermal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'Sheet 1'!$C$3:$AI$4</c15:sqref>
                  </c15:fullRef>
                  <c15:levelRef>
                    <c15:sqref>'Sheet 1'!$C$3:$AI$3</c15:sqref>
                  </c15:levelRef>
                </c:ext>
              </c:extLst>
              <c:f>'Sheet 1'!$C$3:$AI$3</c:f>
              <c:strCache>
                <c:ptCount val="3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</c:strCache>
            </c:strRef>
          </c:cat>
          <c:val>
            <c:numRef>
              <c:f>'Sheet 1'!$C$27:$AI$27</c:f>
              <c:numCache>
                <c:formatCode>0%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053-A649-9006-248691A6B086}"/>
            </c:ext>
          </c:extLst>
        </c:ser>
        <c:ser>
          <c:idx val="7"/>
          <c:order val="7"/>
          <c:tx>
            <c:strRef>
              <c:f>'Sheet 1'!$B$28</c:f>
              <c:strCache>
                <c:ptCount val="1"/>
                <c:pt idx="0">
                  <c:v>pp_hydropower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'Sheet 1'!$C$3:$AI$4</c15:sqref>
                  </c15:fullRef>
                  <c15:levelRef>
                    <c15:sqref>'Sheet 1'!$C$3:$AI$3</c15:sqref>
                  </c15:levelRef>
                </c:ext>
              </c:extLst>
              <c:f>'Sheet 1'!$C$3:$AI$3</c:f>
              <c:strCache>
                <c:ptCount val="3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</c:strCache>
            </c:strRef>
          </c:cat>
          <c:val>
            <c:numRef>
              <c:f>'Sheet 1'!$C$28:$AI$28</c:f>
              <c:numCache>
                <c:formatCode>0%</c:formatCode>
                <c:ptCount val="33"/>
                <c:pt idx="0">
                  <c:v>1.9997797602679907E-2</c:v>
                </c:pt>
                <c:pt idx="1">
                  <c:v>1.9997069566053269E-2</c:v>
                </c:pt>
                <c:pt idx="2">
                  <c:v>1.9996053728394639E-2</c:v>
                </c:pt>
                <c:pt idx="3">
                  <c:v>1.9995006135121854E-2</c:v>
                </c:pt>
                <c:pt idx="4">
                  <c:v>1.9994830310987432E-2</c:v>
                </c:pt>
                <c:pt idx="5">
                  <c:v>1.9994872088572865E-2</c:v>
                </c:pt>
                <c:pt idx="6">
                  <c:v>1.9481759245151487E-2</c:v>
                </c:pt>
                <c:pt idx="7">
                  <c:v>1.8932156660681099E-2</c:v>
                </c:pt>
                <c:pt idx="8">
                  <c:v>1.8239580651279525E-2</c:v>
                </c:pt>
                <c:pt idx="9">
                  <c:v>1.7073628845983277E-2</c:v>
                </c:pt>
                <c:pt idx="10">
                  <c:v>2.1842054744095989E-2</c:v>
                </c:pt>
                <c:pt idx="11">
                  <c:v>1.9957353115288998E-2</c:v>
                </c:pt>
                <c:pt idx="12">
                  <c:v>1.5410036223740842E-2</c:v>
                </c:pt>
                <c:pt idx="13">
                  <c:v>1.3039012130865371E-2</c:v>
                </c:pt>
                <c:pt idx="14">
                  <c:v>1.199768061545689E-2</c:v>
                </c:pt>
                <c:pt idx="15">
                  <c:v>1.1534976043437749E-2</c:v>
                </c:pt>
                <c:pt idx="16">
                  <c:v>1.0244961203618124E-2</c:v>
                </c:pt>
                <c:pt idx="17">
                  <c:v>3.9500972888071679E-3</c:v>
                </c:pt>
                <c:pt idx="18">
                  <c:v>4.0815936134633718E-3</c:v>
                </c:pt>
                <c:pt idx="19">
                  <c:v>3.9638128568973375E-3</c:v>
                </c:pt>
                <c:pt idx="20">
                  <c:v>3.9063957656057281E-3</c:v>
                </c:pt>
                <c:pt idx="21">
                  <c:v>3.6251153100840365E-3</c:v>
                </c:pt>
                <c:pt idx="22">
                  <c:v>3.6075738242202652E-3</c:v>
                </c:pt>
                <c:pt idx="23">
                  <c:v>3.7126709370698947E-3</c:v>
                </c:pt>
                <c:pt idx="24">
                  <c:v>3.7497061891518251E-3</c:v>
                </c:pt>
                <c:pt idx="25">
                  <c:v>3.7173078140479896E-3</c:v>
                </c:pt>
                <c:pt idx="26">
                  <c:v>3.9060397206658296E-3</c:v>
                </c:pt>
                <c:pt idx="27">
                  <c:v>4.3805063643927037E-3</c:v>
                </c:pt>
                <c:pt idx="28">
                  <c:v>4.3878300479064493E-3</c:v>
                </c:pt>
                <c:pt idx="29">
                  <c:v>4.3886240060810079E-3</c:v>
                </c:pt>
                <c:pt idx="30">
                  <c:v>4.3841991697854011E-3</c:v>
                </c:pt>
                <c:pt idx="31">
                  <c:v>4.3735935722566989E-3</c:v>
                </c:pt>
                <c:pt idx="32">
                  <c:v>4.3593260965051469E-3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053-A649-9006-248691A6B086}"/>
            </c:ext>
          </c:extLst>
        </c:ser>
        <c:ser>
          <c:idx val="8"/>
          <c:order val="8"/>
          <c:tx>
            <c:strRef>
              <c:f>'Sheet 1'!$B$29</c:f>
              <c:strCache>
                <c:ptCount val="1"/>
                <c:pt idx="0">
                  <c:v>pp_nuclear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'Sheet 1'!$C$3:$AI$4</c15:sqref>
                  </c15:fullRef>
                  <c15:levelRef>
                    <c15:sqref>'Sheet 1'!$C$3:$AI$3</c15:sqref>
                  </c15:levelRef>
                </c:ext>
              </c:extLst>
              <c:f>'Sheet 1'!$C$3:$AI$3</c:f>
              <c:strCache>
                <c:ptCount val="3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</c:strCache>
            </c:strRef>
          </c:cat>
          <c:val>
            <c:numRef>
              <c:f>'Sheet 1'!$C$29:$AI$29</c:f>
              <c:numCache>
                <c:formatCode>0%</c:formatCode>
                <c:ptCount val="33"/>
                <c:pt idx="0">
                  <c:v>9.9988988013399536E-3</c:v>
                </c:pt>
                <c:pt idx="1">
                  <c:v>9.9985347830266347E-3</c:v>
                </c:pt>
                <c:pt idx="2">
                  <c:v>9.998026864197318E-3</c:v>
                </c:pt>
                <c:pt idx="3">
                  <c:v>9.9975030675609269E-3</c:v>
                </c:pt>
                <c:pt idx="4">
                  <c:v>9.9974151554937159E-3</c:v>
                </c:pt>
                <c:pt idx="5">
                  <c:v>9.9974360442864323E-3</c:v>
                </c:pt>
                <c:pt idx="6">
                  <c:v>1.0325029905114068E-2</c:v>
                </c:pt>
                <c:pt idx="7">
                  <c:v>9.9972384226399407E-3</c:v>
                </c:pt>
                <c:pt idx="8">
                  <c:v>9.9928002729384492E-3</c:v>
                </c:pt>
                <c:pt idx="9">
                  <c:v>9.9877794855922093E-3</c:v>
                </c:pt>
                <c:pt idx="10">
                  <c:v>9.9821725476201394E-3</c:v>
                </c:pt>
                <c:pt idx="11">
                  <c:v>9.9759417715779165E-3</c:v>
                </c:pt>
                <c:pt idx="12">
                  <c:v>9.9690821069582276E-3</c:v>
                </c:pt>
                <c:pt idx="13">
                  <c:v>9.9615449270267047E-3</c:v>
                </c:pt>
                <c:pt idx="14">
                  <c:v>9.9533079895048424E-3</c:v>
                </c:pt>
                <c:pt idx="15">
                  <c:v>9.9451468536196942E-3</c:v>
                </c:pt>
                <c:pt idx="16">
                  <c:v>1.0951449530657983E-2</c:v>
                </c:pt>
                <c:pt idx="17">
                  <c:v>1.7060646695275187E-2</c:v>
                </c:pt>
                <c:pt idx="18">
                  <c:v>1.6970191807184964E-2</c:v>
                </c:pt>
                <c:pt idx="19">
                  <c:v>1.6855336766457386E-2</c:v>
                </c:pt>
                <c:pt idx="20">
                  <c:v>1.67612862062217E-2</c:v>
                </c:pt>
                <c:pt idx="21">
                  <c:v>1.6711017638927888E-2</c:v>
                </c:pt>
                <c:pt idx="22">
                  <c:v>1.6695729593336157E-2</c:v>
                </c:pt>
                <c:pt idx="23">
                  <c:v>1.6699696014859888E-2</c:v>
                </c:pt>
                <c:pt idx="24">
                  <c:v>1.671251805500678E-2</c:v>
                </c:pt>
                <c:pt idx="25">
                  <c:v>1.6727022312077747E-2</c:v>
                </c:pt>
                <c:pt idx="26">
                  <c:v>1.6743259268215065E-2</c:v>
                </c:pt>
                <c:pt idx="27">
                  <c:v>1.6765636761109766E-2</c:v>
                </c:pt>
                <c:pt idx="28">
                  <c:v>1.6780100644370712E-2</c:v>
                </c:pt>
                <c:pt idx="29">
                  <c:v>1.6796597394742433E-2</c:v>
                </c:pt>
                <c:pt idx="30">
                  <c:v>1.6815210980901725E-2</c:v>
                </c:pt>
                <c:pt idx="31">
                  <c:v>1.6834584589146311E-2</c:v>
                </c:pt>
                <c:pt idx="32">
                  <c:v>1.685602094203335E-2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053-A649-9006-248691A6B086}"/>
            </c:ext>
          </c:extLst>
        </c:ser>
        <c:ser>
          <c:idx val="9"/>
          <c:order val="9"/>
          <c:tx>
            <c:strRef>
              <c:f>'Sheet 1'!$B$30</c:f>
              <c:strCache>
                <c:ptCount val="1"/>
                <c:pt idx="0">
                  <c:v>pp_ocean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'Sheet 1'!$C$3:$AI$4</c15:sqref>
                  </c15:fullRef>
                  <c15:levelRef>
                    <c15:sqref>'Sheet 1'!$C$3:$AI$3</c15:sqref>
                  </c15:levelRef>
                </c:ext>
              </c:extLst>
              <c:f>'Sheet 1'!$C$3:$AI$3</c:f>
              <c:strCache>
                <c:ptCount val="3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</c:strCache>
            </c:strRef>
          </c:cat>
          <c:val>
            <c:numRef>
              <c:f>'Sheet 1'!$C$30:$AI$30</c:f>
              <c:numCache>
                <c:formatCode>0%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053-A649-9006-248691A6B086}"/>
            </c:ext>
          </c:extLst>
        </c:ser>
        <c:ser>
          <c:idx val="10"/>
          <c:order val="10"/>
          <c:tx>
            <c:strRef>
              <c:f>'Sheet 1'!$B$31</c:f>
              <c:strCache>
                <c:ptCount val="1"/>
                <c:pt idx="0">
                  <c:v>pp_oil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'Sheet 1'!$C$3:$AI$4</c15:sqref>
                  </c15:fullRef>
                  <c15:levelRef>
                    <c15:sqref>'Sheet 1'!$C$3:$AI$3</c15:sqref>
                  </c15:levelRef>
                </c:ext>
              </c:extLst>
              <c:f>'Sheet 1'!$C$3:$AI$3</c:f>
              <c:strCache>
                <c:ptCount val="3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</c:strCache>
            </c:strRef>
          </c:cat>
          <c:val>
            <c:numRef>
              <c:f>'Sheet 1'!$C$31:$AI$31</c:f>
              <c:numCache>
                <c:formatCode>0%</c:formatCode>
                <c:ptCount val="33"/>
                <c:pt idx="0">
                  <c:v>4.9994494006699773E-2</c:v>
                </c:pt>
                <c:pt idx="1">
                  <c:v>4.9992673915133186E-2</c:v>
                </c:pt>
                <c:pt idx="2">
                  <c:v>4.9990134320986611E-2</c:v>
                </c:pt>
                <c:pt idx="3">
                  <c:v>4.9987515337804635E-2</c:v>
                </c:pt>
                <c:pt idx="4">
                  <c:v>4.9987075777468588E-2</c:v>
                </c:pt>
                <c:pt idx="5">
                  <c:v>4.9987180221432163E-2</c:v>
                </c:pt>
                <c:pt idx="6">
                  <c:v>4.8704398112878737E-2</c:v>
                </c:pt>
                <c:pt idx="7">
                  <c:v>4.7330391651702747E-2</c:v>
                </c:pt>
                <c:pt idx="8">
                  <c:v>4.5598951628198804E-2</c:v>
                </c:pt>
                <c:pt idx="9">
                  <c:v>4.2684072114958171E-2</c:v>
                </c:pt>
                <c:pt idx="10">
                  <c:v>3.6390555454472159E-2</c:v>
                </c:pt>
                <c:pt idx="11">
                  <c:v>2.4939854428944797E-2</c:v>
                </c:pt>
                <c:pt idx="12">
                  <c:v>1.3502576997021802E-2</c:v>
                </c:pt>
                <c:pt idx="13">
                  <c:v>7.2357693116333072E-3</c:v>
                </c:pt>
                <c:pt idx="14">
                  <c:v>4.3477987381059201E-3</c:v>
                </c:pt>
                <c:pt idx="15">
                  <c:v>2.6419621586381706E-3</c:v>
                </c:pt>
                <c:pt idx="16">
                  <c:v>1.2746404326054079E-3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053-A649-9006-248691A6B086}"/>
            </c:ext>
          </c:extLst>
        </c:ser>
        <c:ser>
          <c:idx val="11"/>
          <c:order val="11"/>
          <c:tx>
            <c:strRef>
              <c:f>'Sheet 1'!$B$32</c:f>
              <c:strCache>
                <c:ptCount val="1"/>
                <c:pt idx="0">
                  <c:v>pp_solar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'Sheet 1'!$C$3:$AI$4</c15:sqref>
                  </c15:fullRef>
                  <c15:levelRef>
                    <c15:sqref>'Sheet 1'!$C$3:$AI$3</c15:sqref>
                  </c15:levelRef>
                </c:ext>
              </c:extLst>
              <c:f>'Sheet 1'!$C$3:$AI$3</c:f>
              <c:strCache>
                <c:ptCount val="3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</c:strCache>
            </c:strRef>
          </c:cat>
          <c:val>
            <c:numRef>
              <c:f>'Sheet 1'!$C$32:$AI$32</c:f>
              <c:numCache>
                <c:formatCode>0%</c:formatCode>
                <c:ptCount val="33"/>
                <c:pt idx="0">
                  <c:v>4.4492980001426166E-2</c:v>
                </c:pt>
                <c:pt idx="1">
                  <c:v>3.9994139132106539E-2</c:v>
                </c:pt>
                <c:pt idx="2">
                  <c:v>4.5475312127821327E-2</c:v>
                </c:pt>
                <c:pt idx="3">
                  <c:v>4.3964179154241563E-2</c:v>
                </c:pt>
                <c:pt idx="4">
                  <c:v>4.3166706947389021E-2</c:v>
                </c:pt>
                <c:pt idx="5">
                  <c:v>4.0273269081644768E-2</c:v>
                </c:pt>
                <c:pt idx="6">
                  <c:v>5.1531356263250727E-2</c:v>
                </c:pt>
                <c:pt idx="7">
                  <c:v>6.3891157844032362E-2</c:v>
                </c:pt>
                <c:pt idx="8">
                  <c:v>7.9256648720194792E-2</c:v>
                </c:pt>
                <c:pt idx="9">
                  <c:v>0.10524454575939471</c:v>
                </c:pt>
                <c:pt idx="10">
                  <c:v>0.16161145574313734</c:v>
                </c:pt>
                <c:pt idx="11">
                  <c:v>0.26436245694681482</c:v>
                </c:pt>
                <c:pt idx="12">
                  <c:v>0.36696183026775692</c:v>
                </c:pt>
                <c:pt idx="13">
                  <c:v>0.42299377761960899</c:v>
                </c:pt>
                <c:pt idx="14">
                  <c:v>0.44858190284278404</c:v>
                </c:pt>
                <c:pt idx="15">
                  <c:v>0.46353453639962144</c:v>
                </c:pt>
                <c:pt idx="16">
                  <c:v>0.47542274485131319</c:v>
                </c:pt>
                <c:pt idx="17">
                  <c:v>0.4864696766523624</c:v>
                </c:pt>
                <c:pt idx="18">
                  <c:v>0.48651490409640752</c:v>
                </c:pt>
                <c:pt idx="19">
                  <c:v>0.48657233161677133</c:v>
                </c:pt>
                <c:pt idx="20">
                  <c:v>0.48661935689688912</c:v>
                </c:pt>
                <c:pt idx="21">
                  <c:v>0.4866444911805361</c:v>
                </c:pt>
                <c:pt idx="22">
                  <c:v>0.48665213520333211</c:v>
                </c:pt>
                <c:pt idx="23">
                  <c:v>0.48665015199256983</c:v>
                </c:pt>
                <c:pt idx="24">
                  <c:v>0.48664374097249607</c:v>
                </c:pt>
                <c:pt idx="25">
                  <c:v>0.48663648884396082</c:v>
                </c:pt>
                <c:pt idx="26">
                  <c:v>0.48662837036589224</c:v>
                </c:pt>
                <c:pt idx="27">
                  <c:v>0.48661718161944523</c:v>
                </c:pt>
                <c:pt idx="28">
                  <c:v>0.48660994967781462</c:v>
                </c:pt>
                <c:pt idx="29">
                  <c:v>0.48660170130262881</c:v>
                </c:pt>
                <c:pt idx="30">
                  <c:v>0.48659239450954972</c:v>
                </c:pt>
                <c:pt idx="31">
                  <c:v>0.48658270770542672</c:v>
                </c:pt>
                <c:pt idx="32">
                  <c:v>0.48657198952898351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053-A649-9006-248691A6B086}"/>
            </c:ext>
          </c:extLst>
        </c:ser>
        <c:ser>
          <c:idx val="12"/>
          <c:order val="12"/>
          <c:tx>
            <c:strRef>
              <c:f>'Sheet 1'!$B$33</c:f>
              <c:strCache>
                <c:ptCount val="1"/>
                <c:pt idx="0">
                  <c:v>pp_waste_incineration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'Sheet 1'!$C$3:$AI$4</c15:sqref>
                  </c15:fullRef>
                  <c15:levelRef>
                    <c15:sqref>'Sheet 1'!$C$3:$AI$3</c15:sqref>
                  </c15:levelRef>
                </c:ext>
              </c:extLst>
              <c:f>'Sheet 1'!$C$3:$AI$3</c:f>
              <c:strCache>
                <c:ptCount val="3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</c:strCache>
            </c:strRef>
          </c:cat>
          <c:val>
            <c:numRef>
              <c:f>'Sheet 1'!$C$33:$AI$33</c:f>
              <c:numCache>
                <c:formatCode>0%</c:formatCode>
                <c:ptCount val="33"/>
                <c:pt idx="0">
                  <c:v>9.3122495689798297E-5</c:v>
                </c:pt>
                <c:pt idx="1">
                  <c:v>1.2398569416734612E-4</c:v>
                </c:pt>
                <c:pt idx="2">
                  <c:v>1.6640448014986538E-4</c:v>
                </c:pt>
                <c:pt idx="3">
                  <c:v>2.0282593389894614E-4</c:v>
                </c:pt>
                <c:pt idx="4">
                  <c:v>1.9992874212647829E-4</c:v>
                </c:pt>
                <c:pt idx="5">
                  <c:v>1.8725577810165583E-4</c:v>
                </c:pt>
                <c:pt idx="6">
                  <c:v>1.7967655283402734E-4</c:v>
                </c:pt>
                <c:pt idx="7">
                  <c:v>1.7450325909927839E-4</c:v>
                </c:pt>
                <c:pt idx="8">
                  <c:v>1.718646540400962E-4</c:v>
                </c:pt>
                <c:pt idx="9">
                  <c:v>1.7007841861051338E-4</c:v>
                </c:pt>
                <c:pt idx="10">
                  <c:v>1.685245028008046E-4</c:v>
                </c:pt>
                <c:pt idx="11">
                  <c:v>1.6761922541993891E-4</c:v>
                </c:pt>
                <c:pt idx="12">
                  <c:v>1.6562964196434839E-4</c:v>
                </c:pt>
                <c:pt idx="13">
                  <c:v>1.6009692141217299E-4</c:v>
                </c:pt>
                <c:pt idx="14">
                  <c:v>1.5770451347423264E-4</c:v>
                </c:pt>
                <c:pt idx="15">
                  <c:v>1.5088641314288753E-4</c:v>
                </c:pt>
                <c:pt idx="16">
                  <c:v>1.4410981342192895E-4</c:v>
                </c:pt>
                <c:pt idx="17">
                  <c:v>1.3680215660093691E-4</c:v>
                </c:pt>
                <c:pt idx="18">
                  <c:v>1.3285456216548223E-4</c:v>
                </c:pt>
                <c:pt idx="19">
                  <c:v>1.288485289973512E-4</c:v>
                </c:pt>
                <c:pt idx="20">
                  <c:v>1.2549464603556107E-4</c:v>
                </c:pt>
                <c:pt idx="21">
                  <c:v>1.2295006677160765E-4</c:v>
                </c:pt>
                <c:pt idx="22">
                  <c:v>1.2148664789821324E-4</c:v>
                </c:pt>
                <c:pt idx="23">
                  <c:v>1.1925232080849559E-4</c:v>
                </c:pt>
                <c:pt idx="24">
                  <c:v>1.183470924815608E-4</c:v>
                </c:pt>
                <c:pt idx="25">
                  <c:v>1.1917420768397284E-4</c:v>
                </c:pt>
                <c:pt idx="26">
                  <c:v>1.1884659991109081E-4</c:v>
                </c:pt>
                <c:pt idx="27">
                  <c:v>1.1869183328118177E-4</c:v>
                </c:pt>
                <c:pt idx="28">
                  <c:v>1.1850706151478744E-4</c:v>
                </c:pt>
                <c:pt idx="29">
                  <c:v>1.1847389827941354E-4</c:v>
                </c:pt>
                <c:pt idx="30">
                  <c:v>1.1856420460741094E-4</c:v>
                </c:pt>
                <c:pt idx="31">
                  <c:v>1.1879611941384648E-4</c:v>
                </c:pt>
                <c:pt idx="32">
                  <c:v>1.1911797570247534E-4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053-A649-9006-248691A6B086}"/>
            </c:ext>
          </c:extLst>
        </c:ser>
        <c:ser>
          <c:idx val="13"/>
          <c:order val="13"/>
          <c:tx>
            <c:strRef>
              <c:f>'Sheet 1'!$B$34</c:f>
              <c:strCache>
                <c:ptCount val="1"/>
                <c:pt idx="0">
                  <c:v>pp_wind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'Sheet 1'!$C$3:$AI$4</c15:sqref>
                  </c15:fullRef>
                  <c15:levelRef>
                    <c15:sqref>'Sheet 1'!$C$3:$AI$3</c15:sqref>
                  </c15:levelRef>
                </c:ext>
              </c:extLst>
              <c:f>'Sheet 1'!$C$3:$AI$3</c:f>
              <c:strCache>
                <c:ptCount val="3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</c:strCache>
            </c:strRef>
          </c:cat>
          <c:val>
            <c:numRef>
              <c:f>'Sheet 1'!$C$34:$AI$34</c:f>
              <c:numCache>
                <c:formatCode>0%</c:formatCode>
                <c:ptCount val="33"/>
                <c:pt idx="0">
                  <c:v>0.15255874175156742</c:v>
                </c:pt>
                <c:pt idx="1">
                  <c:v>0.15559904500815672</c:v>
                </c:pt>
                <c:pt idx="2">
                  <c:v>0.15370090834901476</c:v>
                </c:pt>
                <c:pt idx="3">
                  <c:v>0.14996254601341391</c:v>
                </c:pt>
                <c:pt idx="4">
                  <c:v>0.14996122733240577</c:v>
                </c:pt>
                <c:pt idx="5">
                  <c:v>0.14996154066429646</c:v>
                </c:pt>
                <c:pt idx="6">
                  <c:v>0.15897256938986107</c:v>
                </c:pt>
                <c:pt idx="7">
                  <c:v>0.16975410633547741</c:v>
                </c:pt>
                <c:pt idx="8">
                  <c:v>0.17957434230223218</c:v>
                </c:pt>
                <c:pt idx="9">
                  <c:v>0.20467721015915583</c:v>
                </c:pt>
                <c:pt idx="10">
                  <c:v>0.24167067774297613</c:v>
                </c:pt>
                <c:pt idx="11">
                  <c:v>0.31923013669049338</c:v>
                </c:pt>
                <c:pt idx="12">
                  <c:v>0.3966674996612049</c:v>
                </c:pt>
                <c:pt idx="13">
                  <c:v>0.43891247010520212</c:v>
                </c:pt>
                <c:pt idx="14">
                  <c:v>0.45814706006661715</c:v>
                </c:pt>
                <c:pt idx="15">
                  <c:v>0.46934685314862551</c:v>
                </c:pt>
                <c:pt idx="16">
                  <c:v>0.47822695380304509</c:v>
                </c:pt>
                <c:pt idx="17">
                  <c:v>0.4864696766523624</c:v>
                </c:pt>
                <c:pt idx="18">
                  <c:v>0.48651490409640752</c:v>
                </c:pt>
                <c:pt idx="19">
                  <c:v>0.48657233161677133</c:v>
                </c:pt>
                <c:pt idx="20">
                  <c:v>0.48661935689688912</c:v>
                </c:pt>
                <c:pt idx="21">
                  <c:v>0.4866444911805361</c:v>
                </c:pt>
                <c:pt idx="22">
                  <c:v>0.48665213520333211</c:v>
                </c:pt>
                <c:pt idx="23">
                  <c:v>0.48665015199256983</c:v>
                </c:pt>
                <c:pt idx="24">
                  <c:v>0.48664374097249607</c:v>
                </c:pt>
                <c:pt idx="25">
                  <c:v>0.48663648884396082</c:v>
                </c:pt>
                <c:pt idx="26">
                  <c:v>0.48662837036589224</c:v>
                </c:pt>
                <c:pt idx="27">
                  <c:v>0.48661718161944523</c:v>
                </c:pt>
                <c:pt idx="28">
                  <c:v>0.48660994967781462</c:v>
                </c:pt>
                <c:pt idx="29">
                  <c:v>0.48660170130262881</c:v>
                </c:pt>
                <c:pt idx="30">
                  <c:v>0.48659239450954972</c:v>
                </c:pt>
                <c:pt idx="31">
                  <c:v>0.48658270770542672</c:v>
                </c:pt>
                <c:pt idx="32">
                  <c:v>0.48657198952898351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053-A649-9006-248691A6B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86350079"/>
        <c:axId val="786364415"/>
      </c:barChart>
      <c:catAx>
        <c:axId val="78635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786364415"/>
        <c:crosses val="autoZero"/>
        <c:auto val="1"/>
        <c:lblAlgn val="ctr"/>
        <c:lblOffset val="100"/>
        <c:noMultiLvlLbl val="0"/>
      </c:catAx>
      <c:valAx>
        <c:axId val="78636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786350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206627</xdr:colOff>
      <xdr:row>6</xdr:row>
      <xdr:rowOff>4231</xdr:rowOff>
    </xdr:from>
    <xdr:to>
      <xdr:col>52</xdr:col>
      <xdr:colOff>362857</xdr:colOff>
      <xdr:row>35</xdr:row>
      <xdr:rowOff>181429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C46836-8A0D-3DA5-A9FA-363F99DE84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5"/>
  <sheetViews>
    <sheetView tabSelected="1" zoomScale="117" zoomScaleNormal="7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83203125" defaultRowHeight="15" x14ac:dyDescent="0.2"/>
  <cols>
    <col min="2" max="2" width="16.5" bestFit="1" customWidth="1"/>
  </cols>
  <sheetData>
    <row r="2" spans="1:35" x14ac:dyDescent="0.2">
      <c r="C2" s="9" t="s">
        <v>48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</row>
    <row r="3" spans="1:35" ht="15" customHeight="1" x14ac:dyDescent="0.2"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  <c r="M3" s="2" t="s">
        <v>25</v>
      </c>
      <c r="N3" s="2" t="s">
        <v>26</v>
      </c>
      <c r="O3" s="2" t="s">
        <v>27</v>
      </c>
      <c r="P3" s="2" t="s">
        <v>28</v>
      </c>
      <c r="Q3" s="2" t="s">
        <v>29</v>
      </c>
      <c r="R3" s="2" t="s">
        <v>30</v>
      </c>
      <c r="S3" s="2" t="s">
        <v>31</v>
      </c>
      <c r="T3" s="2" t="s">
        <v>32</v>
      </c>
      <c r="U3" s="2" t="s">
        <v>33</v>
      </c>
      <c r="V3" s="2" t="s">
        <v>34</v>
      </c>
      <c r="W3" s="2" t="s">
        <v>35</v>
      </c>
      <c r="X3" s="2" t="s">
        <v>36</v>
      </c>
      <c r="Y3" s="2" t="s">
        <v>37</v>
      </c>
      <c r="Z3" s="2" t="s">
        <v>38</v>
      </c>
      <c r="AA3" s="2" t="s">
        <v>39</v>
      </c>
      <c r="AB3" s="2" t="s">
        <v>40</v>
      </c>
      <c r="AC3" s="2" t="s">
        <v>41</v>
      </c>
      <c r="AD3" s="2" t="s">
        <v>42</v>
      </c>
      <c r="AE3" s="2" t="s">
        <v>43</v>
      </c>
      <c r="AF3" s="2" t="s">
        <v>44</v>
      </c>
      <c r="AG3" s="2" t="s">
        <v>45</v>
      </c>
      <c r="AH3" s="2" t="s">
        <v>46</v>
      </c>
      <c r="AI3" s="2" t="s">
        <v>47</v>
      </c>
    </row>
    <row r="4" spans="1:35" ht="15" customHeight="1" x14ac:dyDescent="0.2">
      <c r="C4" s="8" t="s">
        <v>49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x14ac:dyDescent="0.2">
      <c r="A5" s="7" t="s">
        <v>14</v>
      </c>
      <c r="B5" s="1" t="s">
        <v>0</v>
      </c>
      <c r="C5" s="3">
        <v>2.4163870781619E-3</v>
      </c>
      <c r="D5" s="3">
        <v>3.6809685470531998E-3</v>
      </c>
      <c r="E5" s="3">
        <v>4.8543447822632004E-3</v>
      </c>
      <c r="F5" s="3">
        <v>7.8254434236433995E-3</v>
      </c>
      <c r="G5" s="3">
        <v>9.9302838965178008E-3</v>
      </c>
      <c r="H5" s="3">
        <v>1.24120420680678E-2</v>
      </c>
      <c r="I5" s="3">
        <v>1.5725313083043702E-2</v>
      </c>
      <c r="J5" s="3">
        <v>1.9704928322896598E-2</v>
      </c>
      <c r="K5" s="3">
        <v>0.1076046231570449</v>
      </c>
      <c r="L5" s="3">
        <v>0.20851417234972189</v>
      </c>
      <c r="M5" s="3">
        <v>0.3230517928330458</v>
      </c>
      <c r="N5" s="3">
        <v>0.4521489855656417</v>
      </c>
      <c r="O5" s="3">
        <v>0.59679496092849549</v>
      </c>
      <c r="P5" s="3">
        <v>0.75820620410604422</v>
      </c>
      <c r="Q5" s="3">
        <v>0.93768117327240363</v>
      </c>
      <c r="R5" s="3">
        <v>1.1365476795021516</v>
      </c>
      <c r="S5" s="3">
        <v>1.356143869048458</v>
      </c>
      <c r="T5" s="3">
        <v>1.5978167904906069</v>
      </c>
      <c r="U5" s="3">
        <v>1.6392188158825671</v>
      </c>
      <c r="V5" s="3">
        <v>1.6811517267764799</v>
      </c>
      <c r="W5" s="3">
        <v>1.7236259999826009</v>
      </c>
      <c r="X5" s="3">
        <v>1.7666469277568535</v>
      </c>
      <c r="Y5" s="3">
        <v>1.810216208841064</v>
      </c>
      <c r="Z5" s="3">
        <v>1.8547672739646217</v>
      </c>
      <c r="AA5" s="3">
        <v>1.9003338564704748</v>
      </c>
      <c r="AB5" s="3">
        <v>1.9462041750947967</v>
      </c>
      <c r="AC5" s="3">
        <v>1.993170349409908</v>
      </c>
      <c r="AD5" s="3">
        <v>2.0412691539882037</v>
      </c>
      <c r="AE5" s="3">
        <v>2.0905389347218297</v>
      </c>
      <c r="AF5" s="3">
        <v>2.1410154551383451</v>
      </c>
      <c r="AG5" s="3">
        <v>2.1927380163968517</v>
      </c>
      <c r="AH5" s="3">
        <v>2.2457376221981167</v>
      </c>
      <c r="AI5" s="3">
        <v>2.300064493232119</v>
      </c>
    </row>
    <row r="6" spans="1:35" x14ac:dyDescent="0.2">
      <c r="A6" s="7"/>
      <c r="B6" s="1" t="s">
        <v>1</v>
      </c>
      <c r="C6" s="3">
        <v>0.4160033513152594</v>
      </c>
      <c r="D6" s="3">
        <v>0.71501064764407285</v>
      </c>
      <c r="E6" s="3">
        <v>0.1231787462455643</v>
      </c>
      <c r="F6" s="3">
        <v>1.005717557001137</v>
      </c>
      <c r="G6" s="3">
        <v>1.1566455345552136</v>
      </c>
      <c r="H6" s="3">
        <v>1.7438506543675405</v>
      </c>
      <c r="I6" s="3">
        <v>1.7617465652563455</v>
      </c>
      <c r="J6" s="3">
        <v>1.6013237391193091</v>
      </c>
      <c r="K6" s="3">
        <v>1.9630532062710517</v>
      </c>
      <c r="L6" s="3">
        <v>0.88435480940793898</v>
      </c>
      <c r="M6" s="3">
        <v>0.54062933696803483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7.6619459085776706E-2</v>
      </c>
      <c r="W6" s="3">
        <v>0.13381876695588371</v>
      </c>
      <c r="X6" s="3">
        <v>0.25679428314573949</v>
      </c>
      <c r="Y6" s="3">
        <v>0.28264012446981729</v>
      </c>
      <c r="Z6" s="3">
        <v>0.28264012446981729</v>
      </c>
      <c r="AA6" s="3">
        <v>0.28264012446981729</v>
      </c>
      <c r="AB6" s="3">
        <v>0.28264012446981729</v>
      </c>
      <c r="AC6" s="3">
        <v>0.2233765571483132</v>
      </c>
      <c r="AD6" s="3">
        <v>4.9308748737696001E-2</v>
      </c>
      <c r="AE6" s="3">
        <v>4.9308748737696001E-2</v>
      </c>
      <c r="AF6" s="3">
        <v>4.9308748737696001E-2</v>
      </c>
      <c r="AG6" s="3">
        <v>4.9308748737696001E-2</v>
      </c>
      <c r="AH6" s="3">
        <v>4.9308748737696001E-2</v>
      </c>
      <c r="AI6" s="3">
        <v>4.9308748737696001E-2</v>
      </c>
    </row>
    <row r="7" spans="1:35" x14ac:dyDescent="0.2">
      <c r="A7" s="7"/>
      <c r="B7" s="1" t="s">
        <v>2</v>
      </c>
      <c r="C7" s="3">
        <v>88.130986353238555</v>
      </c>
      <c r="D7" s="3">
        <v>101.2542503774452</v>
      </c>
      <c r="E7" s="3">
        <v>97.353203424520601</v>
      </c>
      <c r="F7" s="3">
        <v>103.49566608897024</v>
      </c>
      <c r="G7" s="3">
        <v>105.11672973364176</v>
      </c>
      <c r="H7" s="3">
        <v>111.27445768141884</v>
      </c>
      <c r="I7" s="3">
        <v>113.45281439696528</v>
      </c>
      <c r="J7" s="3">
        <v>113.7628475928859</v>
      </c>
      <c r="K7" s="3">
        <v>111.07257636706848</v>
      </c>
      <c r="L7" s="3">
        <v>104.9404051919022</v>
      </c>
      <c r="M7" s="3">
        <v>90.412823824610385</v>
      </c>
      <c r="N7" s="3">
        <v>62.626791959051936</v>
      </c>
      <c r="O7" s="3">
        <v>34.620361946608661</v>
      </c>
      <c r="P7" s="3">
        <v>19.424349163458057</v>
      </c>
      <c r="Q7" s="3">
        <v>12.01854552864752</v>
      </c>
      <c r="R7" s="3">
        <v>7.7547804341420461</v>
      </c>
      <c r="S7" s="3">
        <v>3.983888587459544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</row>
    <row r="8" spans="1:35" x14ac:dyDescent="0.2">
      <c r="A8" s="7"/>
      <c r="B8" s="1" t="s">
        <v>3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</row>
    <row r="9" spans="1:35" x14ac:dyDescent="0.2">
      <c r="A9" s="7"/>
      <c r="B9" s="1" t="s">
        <v>4</v>
      </c>
      <c r="C9" s="3">
        <v>14.214675218264285</v>
      </c>
      <c r="D9" s="3">
        <v>16.331330706039552</v>
      </c>
      <c r="E9" s="3">
        <v>15.702129584600099</v>
      </c>
      <c r="F9" s="3">
        <v>16.69284936918875</v>
      </c>
      <c r="G9" s="3">
        <v>16.954311247361574</v>
      </c>
      <c r="H9" s="3">
        <v>17.947493174422398</v>
      </c>
      <c r="I9" s="3">
        <v>18.298841031768596</v>
      </c>
      <c r="J9" s="3">
        <v>18.348846385949344</v>
      </c>
      <c r="K9" s="3">
        <v>17.914931672107823</v>
      </c>
      <c r="L9" s="3">
        <v>16.925871805145512</v>
      </c>
      <c r="M9" s="3">
        <v>14.58271352009845</v>
      </c>
      <c r="N9" s="3">
        <v>10.101095477266441</v>
      </c>
      <c r="O9" s="3">
        <v>5.5839293462272037</v>
      </c>
      <c r="P9" s="3">
        <v>3.1329595424932331</v>
      </c>
      <c r="Q9" s="3">
        <v>1.93847508526573</v>
      </c>
      <c r="R9" s="3">
        <v>1.2507710377648464</v>
      </c>
      <c r="S9" s="3">
        <v>0.64256267539670153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</row>
    <row r="10" spans="1:35" x14ac:dyDescent="0.2">
      <c r="A10" s="7"/>
      <c r="B10" s="1" t="s">
        <v>5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</row>
    <row r="11" spans="1:35" x14ac:dyDescent="0.2">
      <c r="A11" s="7"/>
      <c r="B11" s="1" t="s">
        <v>6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</row>
    <row r="12" spans="1:35" x14ac:dyDescent="0.2">
      <c r="A12" s="7"/>
      <c r="B12" s="1" t="s">
        <v>7</v>
      </c>
      <c r="C12" s="3">
        <v>2.8429350436528562</v>
      </c>
      <c r="D12" s="3">
        <v>3.2662661412079093</v>
      </c>
      <c r="E12" s="3">
        <v>3.1404259169200195</v>
      </c>
      <c r="F12" s="3">
        <v>3.3385698738377498</v>
      </c>
      <c r="G12" s="3">
        <v>3.3908622494723142</v>
      </c>
      <c r="H12" s="3">
        <v>3.5894986348844791</v>
      </c>
      <c r="I12" s="3">
        <v>3.6597682063537178</v>
      </c>
      <c r="J12" s="3">
        <v>3.6697692771898689</v>
      </c>
      <c r="K12" s="3">
        <v>3.5829863344215647</v>
      </c>
      <c r="L12" s="3">
        <v>3.3851743610291041</v>
      </c>
      <c r="M12" s="3">
        <v>4.3763611608230537</v>
      </c>
      <c r="N12" s="3">
        <v>4.0415458290945665</v>
      </c>
      <c r="O12" s="3">
        <v>3.1863752198987658</v>
      </c>
      <c r="P12" s="3">
        <v>2.8228302838788668</v>
      </c>
      <c r="Q12" s="3">
        <v>2.674595393549724</v>
      </c>
      <c r="R12" s="3">
        <v>2.7304732411232098</v>
      </c>
      <c r="S12" s="3">
        <v>2.5823085130276069</v>
      </c>
      <c r="T12" s="3">
        <v>1.0673810996205872</v>
      </c>
      <c r="U12" s="3">
        <v>1.1564368020681506</v>
      </c>
      <c r="V12" s="3">
        <v>1.1794610874968012</v>
      </c>
      <c r="W12" s="3">
        <v>1.2157810216099747</v>
      </c>
      <c r="X12" s="3">
        <v>1.173270060365549</v>
      </c>
      <c r="Y12" s="3">
        <v>1.2039876468808699</v>
      </c>
      <c r="Z12" s="3">
        <v>1.2865420876906275</v>
      </c>
      <c r="AA12" s="3">
        <v>1.3348959837779342</v>
      </c>
      <c r="AB12" s="3">
        <v>1.3442485866481293</v>
      </c>
      <c r="AC12" s="3">
        <v>1.4489967428654338</v>
      </c>
      <c r="AD12" s="3">
        <v>1.6648099926591291</v>
      </c>
      <c r="AE12" s="3">
        <v>1.709112508437453</v>
      </c>
      <c r="AF12" s="3">
        <v>1.749987386423941</v>
      </c>
      <c r="AG12" s="3">
        <v>1.7880946802502218</v>
      </c>
      <c r="AH12" s="3">
        <v>1.8224964175071201</v>
      </c>
      <c r="AI12" s="3">
        <v>1.8548547217641604</v>
      </c>
    </row>
    <row r="13" spans="1:35" x14ac:dyDescent="0.2">
      <c r="A13" s="7"/>
      <c r="B13" s="1" t="s">
        <v>8</v>
      </c>
      <c r="C13" s="3">
        <v>1.4214675218264281</v>
      </c>
      <c r="D13" s="3">
        <v>1.6331330706039546</v>
      </c>
      <c r="E13" s="3">
        <v>1.5702129584600095</v>
      </c>
      <c r="F13" s="3">
        <v>1.6692849369188751</v>
      </c>
      <c r="G13" s="3">
        <v>1.6954311247361571</v>
      </c>
      <c r="H13" s="3">
        <v>1.7947493174422395</v>
      </c>
      <c r="I13" s="3">
        <v>1.9396203238571528</v>
      </c>
      <c r="J13" s="3">
        <v>1.9378435894913144</v>
      </c>
      <c r="K13" s="3">
        <v>1.9629873901750508</v>
      </c>
      <c r="L13" s="3">
        <v>1.9802688311450201</v>
      </c>
      <c r="M13" s="3">
        <v>2.0000678850897633</v>
      </c>
      <c r="N13" s="3">
        <v>2.0202190954532875</v>
      </c>
      <c r="O13" s="3">
        <v>2.0613342973074951</v>
      </c>
      <c r="P13" s="3">
        <v>2.1565859753797647</v>
      </c>
      <c r="Q13" s="3">
        <v>2.2188515057664371</v>
      </c>
      <c r="R13" s="3">
        <v>2.3541407680944184</v>
      </c>
      <c r="S13" s="3">
        <v>2.7603834500635189</v>
      </c>
      <c r="T13" s="3">
        <v>4.6100666637859442</v>
      </c>
      <c r="U13" s="3">
        <v>4.8081598028892598</v>
      </c>
      <c r="V13" s="3">
        <v>5.015426951375253</v>
      </c>
      <c r="W13" s="3">
        <v>5.2165870766905158</v>
      </c>
      <c r="X13" s="3">
        <v>5.4085277286090419</v>
      </c>
      <c r="Y13" s="3">
        <v>5.5720140918764969</v>
      </c>
      <c r="Z13" s="3">
        <v>5.7869017047099049</v>
      </c>
      <c r="AA13" s="3">
        <v>5.9496590146149861</v>
      </c>
      <c r="AB13" s="3">
        <v>6.0488066166779788</v>
      </c>
      <c r="AC13" s="3">
        <v>6.2111319596257362</v>
      </c>
      <c r="AD13" s="3">
        <v>6.3717746971150282</v>
      </c>
      <c r="AE13" s="3">
        <v>6.5360507565275698</v>
      </c>
      <c r="AF13" s="3">
        <v>6.6977333977373137</v>
      </c>
      <c r="AG13" s="3">
        <v>6.8580801505209044</v>
      </c>
      <c r="AH13" s="3">
        <v>7.0150482885653389</v>
      </c>
      <c r="AI13" s="3">
        <v>7.1720879196331575</v>
      </c>
    </row>
    <row r="14" spans="1:35" x14ac:dyDescent="0.2">
      <c r="A14" s="7"/>
      <c r="B14" s="1" t="s">
        <v>9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A15" s="7"/>
      <c r="B15" s="1" t="s">
        <v>10</v>
      </c>
      <c r="C15" s="3">
        <v>7.1073376091321414</v>
      </c>
      <c r="D15" s="3">
        <v>8.1656653530197758</v>
      </c>
      <c r="E15" s="3">
        <v>7.8510647923000505</v>
      </c>
      <c r="F15" s="3">
        <v>8.3464246845943748</v>
      </c>
      <c r="G15" s="3">
        <v>8.4771556236807868</v>
      </c>
      <c r="H15" s="3">
        <v>8.973746587211199</v>
      </c>
      <c r="I15" s="3">
        <v>9.1494205158842981</v>
      </c>
      <c r="J15" s="3">
        <v>9.1744231929746718</v>
      </c>
      <c r="K15" s="3">
        <v>8.9574658360539114</v>
      </c>
      <c r="L15" s="3">
        <v>8.462935902572756</v>
      </c>
      <c r="M15" s="3">
        <v>7.2913567600492231</v>
      </c>
      <c r="N15" s="3">
        <v>5.0505477386332203</v>
      </c>
      <c r="O15" s="3">
        <v>2.7919646731136019</v>
      </c>
      <c r="P15" s="3">
        <v>1.5664797712466163</v>
      </c>
      <c r="Q15" s="3">
        <v>0.96923754263286499</v>
      </c>
      <c r="R15" s="3">
        <v>0.62538551888242322</v>
      </c>
      <c r="S15" s="3">
        <v>0.32128133769835071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A16" s="7"/>
      <c r="B16" s="1" t="s">
        <v>11</v>
      </c>
      <c r="C16" s="3">
        <v>6.3252291355148591</v>
      </c>
      <c r="D16" s="3">
        <v>6.5325322824158185</v>
      </c>
      <c r="E16" s="3">
        <v>7.1420016532283466</v>
      </c>
      <c r="F16" s="3">
        <v>7.3407071275930873</v>
      </c>
      <c r="G16" s="3">
        <v>7.3205100891254924</v>
      </c>
      <c r="H16" s="3">
        <v>7.2298959328435117</v>
      </c>
      <c r="I16" s="3">
        <v>9.6804819785188272</v>
      </c>
      <c r="J16" s="3">
        <v>12.384527148302361</v>
      </c>
      <c r="K16" s="3">
        <v>15.569189594092297</v>
      </c>
      <c r="L16" s="3">
        <v>20.866749602951177</v>
      </c>
      <c r="M16" s="3">
        <v>32.381115528955377</v>
      </c>
      <c r="N16" s="3">
        <v>53.535806029512131</v>
      </c>
      <c r="O16" s="3">
        <v>75.877698510044837</v>
      </c>
      <c r="P16" s="3">
        <v>91.574394852388963</v>
      </c>
      <c r="Q16" s="3">
        <v>100.00058589885964</v>
      </c>
      <c r="R16" s="3">
        <v>109.72442796668469</v>
      </c>
      <c r="S16" s="3">
        <v>119.83336753709968</v>
      </c>
      <c r="T16" s="3">
        <v>131.45208850136203</v>
      </c>
      <c r="U16" s="3">
        <v>137.84413470167524</v>
      </c>
      <c r="V16" s="3">
        <v>144.78310457971128</v>
      </c>
      <c r="W16" s="3">
        <v>151.44972869167324</v>
      </c>
      <c r="X16" s="3">
        <v>157.50268962636488</v>
      </c>
      <c r="Y16" s="3">
        <v>162.41473845366178</v>
      </c>
      <c r="Z16" s="3">
        <v>168.63759625667441</v>
      </c>
      <c r="AA16" s="3">
        <v>173.24524711676051</v>
      </c>
      <c r="AB16" s="3">
        <v>175.97692875144222</v>
      </c>
      <c r="AC16" s="3">
        <v>180.521186181357</v>
      </c>
      <c r="AD16" s="3">
        <v>184.93869867302141</v>
      </c>
      <c r="AE16" s="3">
        <v>189.54042035454063</v>
      </c>
      <c r="AF16" s="3">
        <v>194.03504112270772</v>
      </c>
      <c r="AG16" s="3">
        <v>198.45660253508319</v>
      </c>
      <c r="AH16" s="3">
        <v>202.76123671831795</v>
      </c>
      <c r="AI16" s="3">
        <v>207.03208071072348</v>
      </c>
    </row>
    <row r="17" spans="1:35" x14ac:dyDescent="0.2">
      <c r="A17" s="7"/>
      <c r="B17" s="1" t="s">
        <v>12</v>
      </c>
      <c r="C17" s="3">
        <v>1.32385181412908E-2</v>
      </c>
      <c r="D17" s="3">
        <v>2.0251481024021301E-2</v>
      </c>
      <c r="E17" s="3">
        <v>2.6134203741019602E-2</v>
      </c>
      <c r="F17" s="3">
        <v>3.3865883709762699E-2</v>
      </c>
      <c r="G17" s="3">
        <v>3.3905305207247903E-2</v>
      </c>
      <c r="H17" s="3">
        <v>3.3616337073457098E-2</v>
      </c>
      <c r="I17" s="3">
        <v>3.3753344716692397E-2</v>
      </c>
      <c r="J17" s="3">
        <v>3.38253433293213E-2</v>
      </c>
      <c r="K17" s="3">
        <v>3.37611219560882E-2</v>
      </c>
      <c r="L17" s="3">
        <v>3.3721308295871402E-2</v>
      </c>
      <c r="M17" s="3">
        <v>3.3766241195957697E-2</v>
      </c>
      <c r="N17" s="3">
        <v>3.3944420257465899E-2</v>
      </c>
      <c r="O17" s="3">
        <v>3.4247692813520803E-2</v>
      </c>
      <c r="P17" s="3">
        <v>3.4659561137172099E-2</v>
      </c>
      <c r="Q17" s="3">
        <v>3.5156442215737403E-2</v>
      </c>
      <c r="R17" s="3">
        <v>3.5716703006947098E-2</v>
      </c>
      <c r="S17" s="3">
        <v>3.6323807441929902E-2</v>
      </c>
      <c r="T17" s="3">
        <v>3.6966187328330402E-2</v>
      </c>
      <c r="U17" s="3">
        <v>3.7641646758763803E-2</v>
      </c>
      <c r="V17" s="3">
        <v>3.8339808568191198E-2</v>
      </c>
      <c r="W17" s="3">
        <v>3.9057488825645997E-2</v>
      </c>
      <c r="X17" s="3">
        <v>3.9792839654451802E-2</v>
      </c>
      <c r="Y17" s="3">
        <v>4.0544817779863102E-2</v>
      </c>
      <c r="Z17" s="3">
        <v>4.1324192845380102E-2</v>
      </c>
      <c r="AA17" s="3">
        <v>4.2131583243103697E-2</v>
      </c>
      <c r="AB17" s="3">
        <v>4.3095640247677099E-2</v>
      </c>
      <c r="AC17" s="3">
        <v>4.4087707367821402E-2</v>
      </c>
      <c r="AD17" s="3">
        <v>4.5108791919524403E-2</v>
      </c>
      <c r="AE17" s="3">
        <v>4.6159923917228299E-2</v>
      </c>
      <c r="AF17" s="3">
        <v>4.7242103065144599E-2</v>
      </c>
      <c r="AG17" s="3">
        <v>4.8356385126770499E-2</v>
      </c>
      <c r="AH17" s="3">
        <v>4.9502885549049802E-2</v>
      </c>
      <c r="AI17" s="3">
        <v>5.0683645771729902E-2</v>
      </c>
    </row>
    <row r="18" spans="1:35" x14ac:dyDescent="0.2">
      <c r="A18" s="7"/>
      <c r="B18" s="1" t="s">
        <v>13</v>
      </c>
      <c r="C18" s="3">
        <v>21.68811794969837</v>
      </c>
      <c r="D18" s="3">
        <v>25.415118482019388</v>
      </c>
      <c r="E18" s="3">
        <v>24.139078769726151</v>
      </c>
      <c r="F18" s="3">
        <v>25.039274053783124</v>
      </c>
      <c r="G18" s="3">
        <v>25.43146687104236</v>
      </c>
      <c r="H18" s="3">
        <v>26.92123976163359</v>
      </c>
      <c r="I18" s="3">
        <v>29.863974182935745</v>
      </c>
      <c r="J18" s="3">
        <v>32.904777584084584</v>
      </c>
      <c r="K18" s="3">
        <v>35.275614433410901</v>
      </c>
      <c r="L18" s="3">
        <v>40.581182264644539</v>
      </c>
      <c r="M18" s="3">
        <v>48.422100401063673</v>
      </c>
      <c r="N18" s="3">
        <v>64.647011054505214</v>
      </c>
      <c r="O18" s="3">
        <v>82.020020790894776</v>
      </c>
      <c r="P18" s="3">
        <v>95.020650349131486</v>
      </c>
      <c r="Q18" s="3">
        <v>102.13290849265196</v>
      </c>
      <c r="R18" s="3">
        <v>111.10027610822604</v>
      </c>
      <c r="S18" s="3">
        <v>120.54018648003606</v>
      </c>
      <c r="T18" s="3">
        <v>131.45208850136203</v>
      </c>
      <c r="U18" s="3">
        <v>137.84413470167524</v>
      </c>
      <c r="V18" s="3">
        <v>144.78310457971128</v>
      </c>
      <c r="W18" s="3">
        <v>151.44972869167324</v>
      </c>
      <c r="X18" s="3">
        <v>157.50268962636488</v>
      </c>
      <c r="Y18" s="3">
        <v>162.41473845366178</v>
      </c>
      <c r="Z18" s="3">
        <v>168.63759625667441</v>
      </c>
      <c r="AA18" s="3">
        <v>173.24524711676051</v>
      </c>
      <c r="AB18" s="3">
        <v>175.97692875144222</v>
      </c>
      <c r="AC18" s="3">
        <v>180.521186181357</v>
      </c>
      <c r="AD18" s="3">
        <v>184.93869867302141</v>
      </c>
      <c r="AE18" s="3">
        <v>189.54042035454063</v>
      </c>
      <c r="AF18" s="3">
        <v>194.03504112270772</v>
      </c>
      <c r="AG18" s="3">
        <v>198.45660253508319</v>
      </c>
      <c r="AH18" s="3">
        <v>202.76123671831795</v>
      </c>
      <c r="AI18" s="3">
        <v>207.03208071072348</v>
      </c>
    </row>
    <row r="19" spans="1:35" x14ac:dyDescent="0.2">
      <c r="A19" s="5"/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1:35" ht="15" customHeight="1" x14ac:dyDescent="0.2">
      <c r="C20" s="8" t="s">
        <v>50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</row>
    <row r="21" spans="1:35" x14ac:dyDescent="0.2">
      <c r="A21" s="7" t="s">
        <v>14</v>
      </c>
      <c r="B21" s="1" t="s">
        <v>0</v>
      </c>
      <c r="C21" s="4">
        <f>+C5/SUM(C$5:C$18)</f>
        <v>1.6997370315124682E-5</v>
      </c>
      <c r="D21" s="4">
        <f>+D5/SUM(D$5:D$18)</f>
        <v>2.2536003168025804E-5</v>
      </c>
      <c r="E21" s="4">
        <f t="shared" ref="E21:AI21" si="0">+E5/SUM(E$5:E$18)</f>
        <v>3.0909100118969395E-5</v>
      </c>
      <c r="F21" s="4">
        <f t="shared" si="0"/>
        <v>4.6867310009580158E-5</v>
      </c>
      <c r="G21" s="4">
        <f t="shared" si="0"/>
        <v>5.8555708502078943E-5</v>
      </c>
      <c r="H21" s="4">
        <f t="shared" si="0"/>
        <v>6.9139793256109742E-5</v>
      </c>
      <c r="I21" s="4">
        <f t="shared" si="0"/>
        <v>8.3709335199596196E-5</v>
      </c>
      <c r="J21" s="4">
        <f t="shared" si="0"/>
        <v>1.0165674237761324E-4</v>
      </c>
      <c r="K21" s="4">
        <f t="shared" si="0"/>
        <v>5.4777300813800393E-4</v>
      </c>
      <c r="L21" s="4">
        <f t="shared" si="0"/>
        <v>1.0516721468799793E-3</v>
      </c>
      <c r="M21" s="4">
        <f t="shared" si="0"/>
        <v>1.6123246425372062E-3</v>
      </c>
      <c r="N21" s="4">
        <f t="shared" si="0"/>
        <v>2.2327340446550896E-3</v>
      </c>
      <c r="O21" s="4">
        <f t="shared" si="0"/>
        <v>2.8862363442389255E-3</v>
      </c>
      <c r="P21" s="4">
        <f t="shared" si="0"/>
        <v>3.5022508967316769E-3</v>
      </c>
      <c r="Q21" s="4">
        <f t="shared" si="0"/>
        <v>4.2062434053317457E-3</v>
      </c>
      <c r="R21" s="4">
        <f t="shared" si="0"/>
        <v>4.8013838985249031E-3</v>
      </c>
      <c r="S21" s="4">
        <f t="shared" si="0"/>
        <v>5.3803181358204732E-3</v>
      </c>
      <c r="T21" s="4">
        <f t="shared" si="0"/>
        <v>5.9131005545920035E-3</v>
      </c>
      <c r="U21" s="4">
        <f t="shared" si="0"/>
        <v>5.7855518243711069E-3</v>
      </c>
      <c r="V21" s="4">
        <f t="shared" si="0"/>
        <v>5.6498437291682526E-3</v>
      </c>
      <c r="W21" s="4">
        <f t="shared" si="0"/>
        <v>5.5381398361554505E-3</v>
      </c>
      <c r="X21" s="4">
        <f t="shared" si="0"/>
        <v>5.4585035804364992E-3</v>
      </c>
      <c r="Y21" s="4">
        <f t="shared" si="0"/>
        <v>5.4240495142226612E-3</v>
      </c>
      <c r="Z21" s="4">
        <f t="shared" si="0"/>
        <v>5.3524409492406002E-3</v>
      </c>
      <c r="AA21" s="4">
        <f t="shared" si="0"/>
        <v>5.3380141296817969E-3</v>
      </c>
      <c r="AB21" s="4">
        <f t="shared" si="0"/>
        <v>5.3819212158163496E-3</v>
      </c>
      <c r="AC21" s="4">
        <f t="shared" si="0"/>
        <v>5.3729607006932452E-3</v>
      </c>
      <c r="AD21" s="4">
        <f t="shared" si="0"/>
        <v>5.3710588955569018E-3</v>
      </c>
      <c r="AE21" s="4">
        <f t="shared" si="0"/>
        <v>5.3670718041125831E-3</v>
      </c>
      <c r="AF21" s="4">
        <f t="shared" si="0"/>
        <v>5.3692454566837394E-3</v>
      </c>
      <c r="AG21" s="4">
        <f t="shared" si="0"/>
        <v>5.376337336733583E-3</v>
      </c>
      <c r="AH21" s="4">
        <f t="shared" si="0"/>
        <v>5.3892800748851699E-3</v>
      </c>
      <c r="AI21" s="4">
        <f t="shared" si="0"/>
        <v>5.405669269588507E-3</v>
      </c>
    </row>
    <row r="22" spans="1:35" x14ac:dyDescent="0.2">
      <c r="A22" s="7"/>
      <c r="B22" s="1" t="s">
        <v>1</v>
      </c>
      <c r="C22" s="4">
        <f t="shared" ref="C22:D33" si="1">+C6/SUM(C$5:C$18)</f>
        <v>2.9262542738049744E-3</v>
      </c>
      <c r="D22" s="4">
        <f t="shared" si="1"/>
        <v>4.3775115202705711E-3</v>
      </c>
      <c r="E22" s="4">
        <f t="shared" ref="E22:AI22" si="2">+E6/SUM(E$5:E$18)</f>
        <v>7.8431680710948717E-4</v>
      </c>
      <c r="F22" s="4">
        <f t="shared" si="2"/>
        <v>6.0233361835621661E-3</v>
      </c>
      <c r="G22" s="4">
        <f t="shared" si="2"/>
        <v>6.8203688300790925E-3</v>
      </c>
      <c r="H22" s="4">
        <f t="shared" si="2"/>
        <v>9.7139111397865786E-3</v>
      </c>
      <c r="I22" s="4">
        <f t="shared" si="2"/>
        <v>9.3781683702564705E-3</v>
      </c>
      <c r="J22" s="4">
        <f t="shared" si="2"/>
        <v>8.2611492994702131E-3</v>
      </c>
      <c r="K22" s="4">
        <f t="shared" si="2"/>
        <v>9.9931353169154889E-3</v>
      </c>
      <c r="L22" s="4">
        <f t="shared" si="2"/>
        <v>4.460374614027633E-3</v>
      </c>
      <c r="M22" s="4">
        <f t="shared" si="2"/>
        <v>2.6982360779610201E-3</v>
      </c>
      <c r="N22" s="4">
        <f t="shared" si="2"/>
        <v>0</v>
      </c>
      <c r="O22" s="4">
        <f t="shared" si="2"/>
        <v>0</v>
      </c>
      <c r="P22" s="4">
        <f t="shared" si="2"/>
        <v>0</v>
      </c>
      <c r="Q22" s="4">
        <f t="shared" si="2"/>
        <v>0</v>
      </c>
      <c r="R22" s="4">
        <f t="shared" si="2"/>
        <v>0</v>
      </c>
      <c r="S22" s="4">
        <f t="shared" si="2"/>
        <v>0</v>
      </c>
      <c r="T22" s="4">
        <f t="shared" si="2"/>
        <v>0</v>
      </c>
      <c r="U22" s="4">
        <f t="shared" si="2"/>
        <v>0</v>
      </c>
      <c r="V22" s="4">
        <f t="shared" si="2"/>
        <v>2.574948849370538E-4</v>
      </c>
      <c r="W22" s="4">
        <f t="shared" si="2"/>
        <v>4.2996975220324093E-4</v>
      </c>
      <c r="X22" s="4">
        <f t="shared" si="2"/>
        <v>7.9343104270779513E-4</v>
      </c>
      <c r="Y22" s="4">
        <f t="shared" si="2"/>
        <v>8.468900136585542E-4</v>
      </c>
      <c r="Z22" s="4">
        <f t="shared" si="2"/>
        <v>8.1563579288145569E-4</v>
      </c>
      <c r="AA22" s="4">
        <f t="shared" si="2"/>
        <v>7.9393258868581734E-4</v>
      </c>
      <c r="AB22" s="4">
        <f t="shared" si="2"/>
        <v>7.815967624522184E-4</v>
      </c>
      <c r="AC22" s="4">
        <f t="shared" si="2"/>
        <v>6.0215297873027825E-4</v>
      </c>
      <c r="AD22" s="4">
        <f t="shared" si="2"/>
        <v>1.2974290676902707E-4</v>
      </c>
      <c r="AE22" s="4">
        <f t="shared" si="2"/>
        <v>1.2659108646611932E-4</v>
      </c>
      <c r="AF22" s="4">
        <f t="shared" si="2"/>
        <v>1.2365663895570853E-4</v>
      </c>
      <c r="AG22" s="4">
        <f t="shared" si="2"/>
        <v>1.2089928887250653E-4</v>
      </c>
      <c r="AH22" s="4">
        <f t="shared" si="2"/>
        <v>1.183302334444042E-4</v>
      </c>
      <c r="AI22" s="4">
        <f t="shared" si="2"/>
        <v>1.1588665820351188E-4</v>
      </c>
    </row>
    <row r="23" spans="1:35" x14ac:dyDescent="0.2">
      <c r="A23" s="7"/>
      <c r="B23" s="1" t="s">
        <v>2</v>
      </c>
      <c r="C23" s="4">
        <f t="shared" si="1"/>
        <v>0.61993172568307719</v>
      </c>
      <c r="D23" s="4">
        <f t="shared" si="1"/>
        <v>0.61990915654765144</v>
      </c>
      <c r="E23" s="4">
        <f t="shared" ref="E23:AI23" si="3">+E7/SUM(E$5:E$18)</f>
        <v>0.61987766558023383</v>
      </c>
      <c r="F23" s="4">
        <f t="shared" si="3"/>
        <v>0.61984519018877737</v>
      </c>
      <c r="G23" s="4">
        <f t="shared" si="3"/>
        <v>0.61983973964061057</v>
      </c>
      <c r="H23" s="4">
        <f t="shared" si="3"/>
        <v>0.61984103474575869</v>
      </c>
      <c r="I23" s="4">
        <f t="shared" si="3"/>
        <v>0.60393453659969631</v>
      </c>
      <c r="J23" s="4">
        <f t="shared" si="3"/>
        <v>0.58689685648111389</v>
      </c>
      <c r="K23" s="4">
        <f t="shared" si="3"/>
        <v>0.56542700018966507</v>
      </c>
      <c r="L23" s="4">
        <f t="shared" si="3"/>
        <v>0.52928249422548146</v>
      </c>
      <c r="M23" s="4">
        <f t="shared" si="3"/>
        <v>0.45124288763545489</v>
      </c>
      <c r="N23" s="4">
        <f t="shared" si="3"/>
        <v>0.30925419491891554</v>
      </c>
      <c r="O23" s="4">
        <f t="shared" si="3"/>
        <v>0.16743195476307035</v>
      </c>
      <c r="P23" s="4">
        <f t="shared" si="3"/>
        <v>8.9723539464253071E-2</v>
      </c>
      <c r="Q23" s="4">
        <f t="shared" si="3"/>
        <v>5.3912704352513378E-2</v>
      </c>
      <c r="R23" s="4">
        <f t="shared" si="3"/>
        <v>3.2760330767113308E-2</v>
      </c>
      <c r="S23" s="4">
        <f t="shared" si="3"/>
        <v>1.5805541364307039E-2</v>
      </c>
      <c r="T23" s="4">
        <f t="shared" si="3"/>
        <v>0</v>
      </c>
      <c r="U23" s="4">
        <f t="shared" si="3"/>
        <v>0</v>
      </c>
      <c r="V23" s="4">
        <f t="shared" si="3"/>
        <v>0</v>
      </c>
      <c r="W23" s="4">
        <f t="shared" si="3"/>
        <v>0</v>
      </c>
      <c r="X23" s="4">
        <f t="shared" si="3"/>
        <v>0</v>
      </c>
      <c r="Y23" s="4">
        <f t="shared" si="3"/>
        <v>0</v>
      </c>
      <c r="Z23" s="4">
        <f t="shared" si="3"/>
        <v>0</v>
      </c>
      <c r="AA23" s="4">
        <f t="shared" si="3"/>
        <v>0</v>
      </c>
      <c r="AB23" s="4">
        <f t="shared" si="3"/>
        <v>0</v>
      </c>
      <c r="AC23" s="4">
        <f t="shared" si="3"/>
        <v>0</v>
      </c>
      <c r="AD23" s="4">
        <f t="shared" si="3"/>
        <v>0</v>
      </c>
      <c r="AE23" s="4">
        <f t="shared" si="3"/>
        <v>0</v>
      </c>
      <c r="AF23" s="4">
        <f t="shared" si="3"/>
        <v>0</v>
      </c>
      <c r="AG23" s="4">
        <f t="shared" si="3"/>
        <v>0</v>
      </c>
      <c r="AH23" s="4">
        <f t="shared" si="3"/>
        <v>0</v>
      </c>
      <c r="AI23" s="4">
        <f t="shared" si="3"/>
        <v>0</v>
      </c>
    </row>
    <row r="24" spans="1:35" x14ac:dyDescent="0.2">
      <c r="A24" s="7"/>
      <c r="B24" s="1" t="s">
        <v>3</v>
      </c>
      <c r="C24" s="4">
        <f t="shared" si="1"/>
        <v>0</v>
      </c>
      <c r="D24" s="4">
        <f t="shared" si="1"/>
        <v>0</v>
      </c>
      <c r="E24" s="4">
        <f t="shared" ref="E24:AI24" si="4">+E8/SUM(E$5:E$18)</f>
        <v>0</v>
      </c>
      <c r="F24" s="4">
        <f t="shared" si="4"/>
        <v>0</v>
      </c>
      <c r="G24" s="4">
        <f t="shared" si="4"/>
        <v>0</v>
      </c>
      <c r="H24" s="4">
        <f t="shared" si="4"/>
        <v>0</v>
      </c>
      <c r="I24" s="4">
        <f t="shared" si="4"/>
        <v>0</v>
      </c>
      <c r="J24" s="4">
        <f t="shared" si="4"/>
        <v>0</v>
      </c>
      <c r="K24" s="4">
        <f t="shared" si="4"/>
        <v>0</v>
      </c>
      <c r="L24" s="4">
        <f t="shared" si="4"/>
        <v>0</v>
      </c>
      <c r="M24" s="4">
        <f t="shared" si="4"/>
        <v>0</v>
      </c>
      <c r="N24" s="4">
        <f t="shared" si="4"/>
        <v>0</v>
      </c>
      <c r="O24" s="4">
        <f t="shared" si="4"/>
        <v>0</v>
      </c>
      <c r="P24" s="4">
        <f t="shared" si="4"/>
        <v>0</v>
      </c>
      <c r="Q24" s="4">
        <f t="shared" si="4"/>
        <v>0</v>
      </c>
      <c r="R24" s="4">
        <f t="shared" si="4"/>
        <v>0</v>
      </c>
      <c r="S24" s="4">
        <f t="shared" si="4"/>
        <v>0</v>
      </c>
      <c r="T24" s="4">
        <f t="shared" si="4"/>
        <v>0</v>
      </c>
      <c r="U24" s="4">
        <f t="shared" si="4"/>
        <v>0</v>
      </c>
      <c r="V24" s="4">
        <f t="shared" si="4"/>
        <v>0</v>
      </c>
      <c r="W24" s="4">
        <f t="shared" si="4"/>
        <v>0</v>
      </c>
      <c r="X24" s="4">
        <f t="shared" si="4"/>
        <v>0</v>
      </c>
      <c r="Y24" s="4">
        <f t="shared" si="4"/>
        <v>0</v>
      </c>
      <c r="Z24" s="4">
        <f t="shared" si="4"/>
        <v>0</v>
      </c>
      <c r="AA24" s="4">
        <f t="shared" si="4"/>
        <v>0</v>
      </c>
      <c r="AB24" s="4">
        <f t="shared" si="4"/>
        <v>0</v>
      </c>
      <c r="AC24" s="4">
        <f t="shared" si="4"/>
        <v>0</v>
      </c>
      <c r="AD24" s="4">
        <f t="shared" si="4"/>
        <v>0</v>
      </c>
      <c r="AE24" s="4">
        <f t="shared" si="4"/>
        <v>0</v>
      </c>
      <c r="AF24" s="4">
        <f t="shared" si="4"/>
        <v>0</v>
      </c>
      <c r="AG24" s="4">
        <f t="shared" si="4"/>
        <v>0</v>
      </c>
      <c r="AH24" s="4">
        <f t="shared" si="4"/>
        <v>0</v>
      </c>
      <c r="AI24" s="4">
        <f t="shared" si="4"/>
        <v>0</v>
      </c>
    </row>
    <row r="25" spans="1:35" x14ac:dyDescent="0.2">
      <c r="A25" s="7"/>
      <c r="B25" s="1" t="s">
        <v>4</v>
      </c>
      <c r="C25" s="4">
        <f t="shared" si="1"/>
        <v>9.998898801339956E-2</v>
      </c>
      <c r="D25" s="4">
        <f t="shared" si="1"/>
        <v>9.9985347830266372E-2</v>
      </c>
      <c r="E25" s="4">
        <f t="shared" ref="E25:AI25" si="5">+E9/SUM(E$5:E$18)</f>
        <v>9.9980268641973208E-2</v>
      </c>
      <c r="F25" s="4">
        <f t="shared" si="5"/>
        <v>9.9975030675609269E-2</v>
      </c>
      <c r="G25" s="4">
        <f t="shared" si="5"/>
        <v>9.9974151554937177E-2</v>
      </c>
      <c r="H25" s="4">
        <f t="shared" si="5"/>
        <v>9.9974360442864327E-2</v>
      </c>
      <c r="I25" s="4">
        <f t="shared" si="5"/>
        <v>9.7408796225757474E-2</v>
      </c>
      <c r="J25" s="4">
        <f t="shared" si="5"/>
        <v>9.4660783303405494E-2</v>
      </c>
      <c r="K25" s="4">
        <f t="shared" si="5"/>
        <v>9.1197903256397608E-2</v>
      </c>
      <c r="L25" s="4">
        <f t="shared" si="5"/>
        <v>8.5368144229916343E-2</v>
      </c>
      <c r="M25" s="4">
        <f t="shared" si="5"/>
        <v>7.2781110908944333E-2</v>
      </c>
      <c r="N25" s="4">
        <f t="shared" si="5"/>
        <v>4.9879708857889594E-2</v>
      </c>
      <c r="O25" s="4">
        <f t="shared" si="5"/>
        <v>2.7005153994043605E-2</v>
      </c>
      <c r="P25" s="4">
        <f t="shared" si="5"/>
        <v>1.4471538623266616E-2</v>
      </c>
      <c r="Q25" s="4">
        <f t="shared" si="5"/>
        <v>8.6955974762118401E-3</v>
      </c>
      <c r="R25" s="4">
        <f t="shared" si="5"/>
        <v>5.2839243172763412E-3</v>
      </c>
      <c r="S25" s="4">
        <f t="shared" si="5"/>
        <v>2.5492808652108163E-3</v>
      </c>
      <c r="T25" s="4">
        <f t="shared" si="5"/>
        <v>0</v>
      </c>
      <c r="U25" s="4">
        <f t="shared" si="5"/>
        <v>0</v>
      </c>
      <c r="V25" s="4">
        <f t="shared" si="5"/>
        <v>0</v>
      </c>
      <c r="W25" s="4">
        <f t="shared" si="5"/>
        <v>0</v>
      </c>
      <c r="X25" s="4">
        <f t="shared" si="5"/>
        <v>0</v>
      </c>
      <c r="Y25" s="4">
        <f t="shared" si="5"/>
        <v>0</v>
      </c>
      <c r="Z25" s="4">
        <f t="shared" si="5"/>
        <v>0</v>
      </c>
      <c r="AA25" s="4">
        <f t="shared" si="5"/>
        <v>0</v>
      </c>
      <c r="AB25" s="4">
        <f t="shared" si="5"/>
        <v>0</v>
      </c>
      <c r="AC25" s="4">
        <f t="shared" si="5"/>
        <v>0</v>
      </c>
      <c r="AD25" s="4">
        <f t="shared" si="5"/>
        <v>0</v>
      </c>
      <c r="AE25" s="4">
        <f t="shared" si="5"/>
        <v>0</v>
      </c>
      <c r="AF25" s="4">
        <f t="shared" si="5"/>
        <v>0</v>
      </c>
      <c r="AG25" s="4">
        <f t="shared" si="5"/>
        <v>0</v>
      </c>
      <c r="AH25" s="4">
        <f t="shared" si="5"/>
        <v>0</v>
      </c>
      <c r="AI25" s="4">
        <f t="shared" si="5"/>
        <v>0</v>
      </c>
    </row>
    <row r="26" spans="1:35" x14ac:dyDescent="0.2">
      <c r="A26" s="7"/>
      <c r="B26" s="1" t="s">
        <v>5</v>
      </c>
      <c r="C26" s="4">
        <f t="shared" si="1"/>
        <v>0</v>
      </c>
      <c r="D26" s="4">
        <f t="shared" si="1"/>
        <v>0</v>
      </c>
      <c r="E26" s="4">
        <f t="shared" ref="E26:AI26" si="6">+E10/SUM(E$5:E$18)</f>
        <v>0</v>
      </c>
      <c r="F26" s="4">
        <f t="shared" si="6"/>
        <v>0</v>
      </c>
      <c r="G26" s="4">
        <f t="shared" si="6"/>
        <v>0</v>
      </c>
      <c r="H26" s="4">
        <f t="shared" si="6"/>
        <v>0</v>
      </c>
      <c r="I26" s="4">
        <f t="shared" si="6"/>
        <v>0</v>
      </c>
      <c r="J26" s="4">
        <f t="shared" si="6"/>
        <v>0</v>
      </c>
      <c r="K26" s="4">
        <f t="shared" si="6"/>
        <v>0</v>
      </c>
      <c r="L26" s="4">
        <f t="shared" si="6"/>
        <v>0</v>
      </c>
      <c r="M26" s="4">
        <f t="shared" si="6"/>
        <v>0</v>
      </c>
      <c r="N26" s="4">
        <f t="shared" si="6"/>
        <v>0</v>
      </c>
      <c r="O26" s="4">
        <f t="shared" si="6"/>
        <v>0</v>
      </c>
      <c r="P26" s="4">
        <f t="shared" si="6"/>
        <v>0</v>
      </c>
      <c r="Q26" s="4">
        <f t="shared" si="6"/>
        <v>0</v>
      </c>
      <c r="R26" s="4">
        <f t="shared" si="6"/>
        <v>0</v>
      </c>
      <c r="S26" s="4">
        <f t="shared" si="6"/>
        <v>0</v>
      </c>
      <c r="T26" s="4">
        <f t="shared" si="6"/>
        <v>0</v>
      </c>
      <c r="U26" s="4">
        <f t="shared" si="6"/>
        <v>0</v>
      </c>
      <c r="V26" s="4">
        <f t="shared" si="6"/>
        <v>0</v>
      </c>
      <c r="W26" s="4">
        <f t="shared" si="6"/>
        <v>0</v>
      </c>
      <c r="X26" s="4">
        <f t="shared" si="6"/>
        <v>0</v>
      </c>
      <c r="Y26" s="4">
        <f t="shared" si="6"/>
        <v>0</v>
      </c>
      <c r="Z26" s="4">
        <f t="shared" si="6"/>
        <v>0</v>
      </c>
      <c r="AA26" s="4">
        <f t="shared" si="6"/>
        <v>0</v>
      </c>
      <c r="AB26" s="4">
        <f t="shared" si="6"/>
        <v>0</v>
      </c>
      <c r="AC26" s="4">
        <f t="shared" si="6"/>
        <v>0</v>
      </c>
      <c r="AD26" s="4">
        <f t="shared" si="6"/>
        <v>0</v>
      </c>
      <c r="AE26" s="4">
        <f t="shared" si="6"/>
        <v>0</v>
      </c>
      <c r="AF26" s="4">
        <f t="shared" si="6"/>
        <v>0</v>
      </c>
      <c r="AG26" s="4">
        <f t="shared" si="6"/>
        <v>0</v>
      </c>
      <c r="AH26" s="4">
        <f t="shared" si="6"/>
        <v>0</v>
      </c>
      <c r="AI26" s="4">
        <f t="shared" si="6"/>
        <v>0</v>
      </c>
    </row>
    <row r="27" spans="1:35" x14ac:dyDescent="0.2">
      <c r="A27" s="7"/>
      <c r="B27" s="1" t="s">
        <v>6</v>
      </c>
      <c r="C27" s="4">
        <f t="shared" si="1"/>
        <v>0</v>
      </c>
      <c r="D27" s="4">
        <f t="shared" si="1"/>
        <v>0</v>
      </c>
      <c r="E27" s="4">
        <f t="shared" ref="E27:AI27" si="7">+E11/SUM(E$5:E$18)</f>
        <v>0</v>
      </c>
      <c r="F27" s="4">
        <f t="shared" si="7"/>
        <v>0</v>
      </c>
      <c r="G27" s="4">
        <f t="shared" si="7"/>
        <v>0</v>
      </c>
      <c r="H27" s="4">
        <f t="shared" si="7"/>
        <v>0</v>
      </c>
      <c r="I27" s="4">
        <f t="shared" si="7"/>
        <v>0</v>
      </c>
      <c r="J27" s="4">
        <f t="shared" si="7"/>
        <v>0</v>
      </c>
      <c r="K27" s="4">
        <f t="shared" si="7"/>
        <v>0</v>
      </c>
      <c r="L27" s="4">
        <f t="shared" si="7"/>
        <v>0</v>
      </c>
      <c r="M27" s="4">
        <f t="shared" si="7"/>
        <v>0</v>
      </c>
      <c r="N27" s="4">
        <f t="shared" si="7"/>
        <v>0</v>
      </c>
      <c r="O27" s="4">
        <f t="shared" si="7"/>
        <v>0</v>
      </c>
      <c r="P27" s="4">
        <f t="shared" si="7"/>
        <v>0</v>
      </c>
      <c r="Q27" s="4">
        <f t="shared" si="7"/>
        <v>0</v>
      </c>
      <c r="R27" s="4">
        <f t="shared" si="7"/>
        <v>0</v>
      </c>
      <c r="S27" s="4">
        <f t="shared" si="7"/>
        <v>0</v>
      </c>
      <c r="T27" s="4">
        <f t="shared" si="7"/>
        <v>0</v>
      </c>
      <c r="U27" s="4">
        <f t="shared" si="7"/>
        <v>0</v>
      </c>
      <c r="V27" s="4">
        <f t="shared" si="7"/>
        <v>0</v>
      </c>
      <c r="W27" s="4">
        <f t="shared" si="7"/>
        <v>0</v>
      </c>
      <c r="X27" s="4">
        <f t="shared" si="7"/>
        <v>0</v>
      </c>
      <c r="Y27" s="4">
        <f t="shared" si="7"/>
        <v>0</v>
      </c>
      <c r="Z27" s="4">
        <f t="shared" si="7"/>
        <v>0</v>
      </c>
      <c r="AA27" s="4">
        <f t="shared" si="7"/>
        <v>0</v>
      </c>
      <c r="AB27" s="4">
        <f t="shared" si="7"/>
        <v>0</v>
      </c>
      <c r="AC27" s="4">
        <f t="shared" si="7"/>
        <v>0</v>
      </c>
      <c r="AD27" s="4">
        <f t="shared" si="7"/>
        <v>0</v>
      </c>
      <c r="AE27" s="4">
        <f t="shared" si="7"/>
        <v>0</v>
      </c>
      <c r="AF27" s="4">
        <f t="shared" si="7"/>
        <v>0</v>
      </c>
      <c r="AG27" s="4">
        <f t="shared" si="7"/>
        <v>0</v>
      </c>
      <c r="AH27" s="4">
        <f t="shared" si="7"/>
        <v>0</v>
      </c>
      <c r="AI27" s="4">
        <f t="shared" si="7"/>
        <v>0</v>
      </c>
    </row>
    <row r="28" spans="1:35" x14ac:dyDescent="0.2">
      <c r="A28" s="7"/>
      <c r="B28" s="1" t="s">
        <v>7</v>
      </c>
      <c r="C28" s="4">
        <f t="shared" si="1"/>
        <v>1.9997797602679907E-2</v>
      </c>
      <c r="D28" s="4">
        <f t="shared" si="1"/>
        <v>1.9997069566053269E-2</v>
      </c>
      <c r="E28" s="4">
        <f t="shared" ref="E28:AI28" si="8">+E12/SUM(E$5:E$18)</f>
        <v>1.9996053728394639E-2</v>
      </c>
      <c r="F28" s="4">
        <f t="shared" si="8"/>
        <v>1.9995006135121854E-2</v>
      </c>
      <c r="G28" s="4">
        <f t="shared" si="8"/>
        <v>1.9994830310987432E-2</v>
      </c>
      <c r="H28" s="4">
        <f t="shared" si="8"/>
        <v>1.9994872088572865E-2</v>
      </c>
      <c r="I28" s="4">
        <f t="shared" si="8"/>
        <v>1.9481759245151487E-2</v>
      </c>
      <c r="J28" s="4">
        <f t="shared" si="8"/>
        <v>1.8932156660681099E-2</v>
      </c>
      <c r="K28" s="4">
        <f t="shared" si="8"/>
        <v>1.8239580651279525E-2</v>
      </c>
      <c r="L28" s="4">
        <f t="shared" si="8"/>
        <v>1.7073628845983277E-2</v>
      </c>
      <c r="M28" s="4">
        <f t="shared" si="8"/>
        <v>2.1842054744095989E-2</v>
      </c>
      <c r="N28" s="4">
        <f t="shared" si="8"/>
        <v>1.9957353115288998E-2</v>
      </c>
      <c r="O28" s="4">
        <f t="shared" si="8"/>
        <v>1.5410036223740842E-2</v>
      </c>
      <c r="P28" s="4">
        <f t="shared" si="8"/>
        <v>1.3039012130865371E-2</v>
      </c>
      <c r="Q28" s="4">
        <f t="shared" si="8"/>
        <v>1.199768061545689E-2</v>
      </c>
      <c r="R28" s="4">
        <f t="shared" si="8"/>
        <v>1.1534976043437749E-2</v>
      </c>
      <c r="S28" s="4">
        <f t="shared" si="8"/>
        <v>1.0244961203618124E-2</v>
      </c>
      <c r="T28" s="4">
        <f t="shared" si="8"/>
        <v>3.9500972888071679E-3</v>
      </c>
      <c r="U28" s="4">
        <f t="shared" si="8"/>
        <v>4.0815936134633718E-3</v>
      </c>
      <c r="V28" s="4">
        <f t="shared" si="8"/>
        <v>3.9638128568973375E-3</v>
      </c>
      <c r="W28" s="4">
        <f t="shared" si="8"/>
        <v>3.9063957656057281E-3</v>
      </c>
      <c r="X28" s="4">
        <f t="shared" si="8"/>
        <v>3.6251153100840365E-3</v>
      </c>
      <c r="Y28" s="4">
        <f t="shared" si="8"/>
        <v>3.6075738242202652E-3</v>
      </c>
      <c r="Z28" s="4">
        <f t="shared" si="8"/>
        <v>3.7126709370698947E-3</v>
      </c>
      <c r="AA28" s="4">
        <f t="shared" si="8"/>
        <v>3.7497061891518251E-3</v>
      </c>
      <c r="AB28" s="4">
        <f t="shared" si="8"/>
        <v>3.7173078140479896E-3</v>
      </c>
      <c r="AC28" s="4">
        <f t="shared" si="8"/>
        <v>3.9060397206658296E-3</v>
      </c>
      <c r="AD28" s="4">
        <f t="shared" si="8"/>
        <v>4.3805063643927037E-3</v>
      </c>
      <c r="AE28" s="4">
        <f t="shared" si="8"/>
        <v>4.3878300479064493E-3</v>
      </c>
      <c r="AF28" s="4">
        <f t="shared" si="8"/>
        <v>4.3886240060810079E-3</v>
      </c>
      <c r="AG28" s="4">
        <f t="shared" si="8"/>
        <v>4.3841991697854011E-3</v>
      </c>
      <c r="AH28" s="4">
        <f t="shared" si="8"/>
        <v>4.3735935722566989E-3</v>
      </c>
      <c r="AI28" s="4">
        <f t="shared" si="8"/>
        <v>4.3593260965051469E-3</v>
      </c>
    </row>
    <row r="29" spans="1:35" x14ac:dyDescent="0.2">
      <c r="A29" s="7"/>
      <c r="B29" s="1" t="s">
        <v>8</v>
      </c>
      <c r="C29" s="4">
        <f t="shared" si="1"/>
        <v>9.9988988013399536E-3</v>
      </c>
      <c r="D29" s="4">
        <f t="shared" si="1"/>
        <v>9.9985347830266347E-3</v>
      </c>
      <c r="E29" s="4">
        <f t="shared" ref="E29:AI29" si="9">+E13/SUM(E$5:E$18)</f>
        <v>9.998026864197318E-3</v>
      </c>
      <c r="F29" s="4">
        <f t="shared" si="9"/>
        <v>9.9975030675609269E-3</v>
      </c>
      <c r="G29" s="4">
        <f t="shared" si="9"/>
        <v>9.9974151554937159E-3</v>
      </c>
      <c r="H29" s="4">
        <f t="shared" si="9"/>
        <v>9.9974360442864323E-3</v>
      </c>
      <c r="I29" s="4">
        <f t="shared" si="9"/>
        <v>1.0325029905114068E-2</v>
      </c>
      <c r="J29" s="4">
        <f t="shared" si="9"/>
        <v>9.9972384226399407E-3</v>
      </c>
      <c r="K29" s="4">
        <f t="shared" si="9"/>
        <v>9.9928002729384492E-3</v>
      </c>
      <c r="L29" s="4">
        <f t="shared" si="9"/>
        <v>9.9877794855922093E-3</v>
      </c>
      <c r="M29" s="4">
        <f t="shared" si="9"/>
        <v>9.9821725476201394E-3</v>
      </c>
      <c r="N29" s="4">
        <f t="shared" si="9"/>
        <v>9.9759417715779165E-3</v>
      </c>
      <c r="O29" s="4">
        <f t="shared" si="9"/>
        <v>9.9690821069582276E-3</v>
      </c>
      <c r="P29" s="4">
        <f t="shared" si="9"/>
        <v>9.9615449270267047E-3</v>
      </c>
      <c r="Q29" s="4">
        <f t="shared" si="9"/>
        <v>9.9533079895048424E-3</v>
      </c>
      <c r="R29" s="4">
        <f t="shared" si="9"/>
        <v>9.9451468536196942E-3</v>
      </c>
      <c r="S29" s="4">
        <f t="shared" si="9"/>
        <v>1.0951449530657983E-2</v>
      </c>
      <c r="T29" s="4">
        <f t="shared" si="9"/>
        <v>1.7060646695275187E-2</v>
      </c>
      <c r="U29" s="4">
        <f t="shared" si="9"/>
        <v>1.6970191807184964E-2</v>
      </c>
      <c r="V29" s="4">
        <f t="shared" si="9"/>
        <v>1.6855336766457386E-2</v>
      </c>
      <c r="W29" s="4">
        <f t="shared" si="9"/>
        <v>1.67612862062217E-2</v>
      </c>
      <c r="X29" s="4">
        <f t="shared" si="9"/>
        <v>1.6711017638927888E-2</v>
      </c>
      <c r="Y29" s="4">
        <f t="shared" si="9"/>
        <v>1.6695729593336157E-2</v>
      </c>
      <c r="Z29" s="4">
        <f t="shared" si="9"/>
        <v>1.6699696014859888E-2</v>
      </c>
      <c r="AA29" s="4">
        <f t="shared" si="9"/>
        <v>1.671251805500678E-2</v>
      </c>
      <c r="AB29" s="4">
        <f t="shared" si="9"/>
        <v>1.6727022312077747E-2</v>
      </c>
      <c r="AC29" s="4">
        <f t="shared" si="9"/>
        <v>1.6743259268215065E-2</v>
      </c>
      <c r="AD29" s="4">
        <f t="shared" si="9"/>
        <v>1.6765636761109766E-2</v>
      </c>
      <c r="AE29" s="4">
        <f t="shared" si="9"/>
        <v>1.6780100644370712E-2</v>
      </c>
      <c r="AF29" s="4">
        <f t="shared" si="9"/>
        <v>1.6796597394742433E-2</v>
      </c>
      <c r="AG29" s="4">
        <f t="shared" si="9"/>
        <v>1.6815210980901725E-2</v>
      </c>
      <c r="AH29" s="4">
        <f t="shared" si="9"/>
        <v>1.6834584589146311E-2</v>
      </c>
      <c r="AI29" s="4">
        <f t="shared" si="9"/>
        <v>1.685602094203335E-2</v>
      </c>
    </row>
    <row r="30" spans="1:35" x14ac:dyDescent="0.2">
      <c r="A30" s="7"/>
      <c r="B30" s="1" t="s">
        <v>9</v>
      </c>
      <c r="C30" s="4">
        <f t="shared" si="1"/>
        <v>0</v>
      </c>
      <c r="D30" s="4">
        <f t="shared" si="1"/>
        <v>0</v>
      </c>
      <c r="E30" s="4">
        <f t="shared" ref="E30:AI30" si="10">+E14/SUM(E$5:E$18)</f>
        <v>0</v>
      </c>
      <c r="F30" s="4">
        <f t="shared" si="10"/>
        <v>0</v>
      </c>
      <c r="G30" s="4">
        <f t="shared" si="10"/>
        <v>0</v>
      </c>
      <c r="H30" s="4">
        <f t="shared" si="10"/>
        <v>0</v>
      </c>
      <c r="I30" s="4">
        <f t="shared" si="10"/>
        <v>0</v>
      </c>
      <c r="J30" s="4">
        <f t="shared" si="10"/>
        <v>0</v>
      </c>
      <c r="K30" s="4">
        <f t="shared" si="10"/>
        <v>0</v>
      </c>
      <c r="L30" s="4">
        <f t="shared" si="10"/>
        <v>0</v>
      </c>
      <c r="M30" s="4">
        <f t="shared" si="10"/>
        <v>0</v>
      </c>
      <c r="N30" s="4">
        <f t="shared" si="10"/>
        <v>0</v>
      </c>
      <c r="O30" s="4">
        <f t="shared" si="10"/>
        <v>0</v>
      </c>
      <c r="P30" s="4">
        <f t="shared" si="10"/>
        <v>0</v>
      </c>
      <c r="Q30" s="4">
        <f t="shared" si="10"/>
        <v>0</v>
      </c>
      <c r="R30" s="4">
        <f t="shared" si="10"/>
        <v>0</v>
      </c>
      <c r="S30" s="4">
        <f t="shared" si="10"/>
        <v>0</v>
      </c>
      <c r="T30" s="4">
        <f t="shared" si="10"/>
        <v>0</v>
      </c>
      <c r="U30" s="4">
        <f t="shared" si="10"/>
        <v>0</v>
      </c>
      <c r="V30" s="4">
        <f t="shared" si="10"/>
        <v>0</v>
      </c>
      <c r="W30" s="4">
        <f t="shared" si="10"/>
        <v>0</v>
      </c>
      <c r="X30" s="4">
        <f t="shared" si="10"/>
        <v>0</v>
      </c>
      <c r="Y30" s="4">
        <f t="shared" si="10"/>
        <v>0</v>
      </c>
      <c r="Z30" s="4">
        <f t="shared" si="10"/>
        <v>0</v>
      </c>
      <c r="AA30" s="4">
        <f t="shared" si="10"/>
        <v>0</v>
      </c>
      <c r="AB30" s="4">
        <f t="shared" si="10"/>
        <v>0</v>
      </c>
      <c r="AC30" s="4">
        <f t="shared" si="10"/>
        <v>0</v>
      </c>
      <c r="AD30" s="4">
        <f t="shared" si="10"/>
        <v>0</v>
      </c>
      <c r="AE30" s="4">
        <f t="shared" si="10"/>
        <v>0</v>
      </c>
      <c r="AF30" s="4">
        <f t="shared" si="10"/>
        <v>0</v>
      </c>
      <c r="AG30" s="4">
        <f t="shared" si="10"/>
        <v>0</v>
      </c>
      <c r="AH30" s="4">
        <f t="shared" si="10"/>
        <v>0</v>
      </c>
      <c r="AI30" s="4">
        <f t="shared" si="10"/>
        <v>0</v>
      </c>
    </row>
    <row r="31" spans="1:35" x14ac:dyDescent="0.2">
      <c r="A31" s="7"/>
      <c r="B31" s="1" t="s">
        <v>10</v>
      </c>
      <c r="C31" s="4">
        <f t="shared" si="1"/>
        <v>4.9994494006699773E-2</v>
      </c>
      <c r="D31" s="4">
        <f t="shared" si="1"/>
        <v>4.9992673915133186E-2</v>
      </c>
      <c r="E31" s="4">
        <f t="shared" ref="E31:AI31" si="11">+E15/SUM(E$5:E$18)</f>
        <v>4.9990134320986611E-2</v>
      </c>
      <c r="F31" s="4">
        <f t="shared" si="11"/>
        <v>4.9987515337804635E-2</v>
      </c>
      <c r="G31" s="4">
        <f t="shared" si="11"/>
        <v>4.9987075777468588E-2</v>
      </c>
      <c r="H31" s="4">
        <f t="shared" si="11"/>
        <v>4.9987180221432163E-2</v>
      </c>
      <c r="I31" s="4">
        <f t="shared" si="11"/>
        <v>4.8704398112878737E-2</v>
      </c>
      <c r="J31" s="4">
        <f t="shared" si="11"/>
        <v>4.7330391651702747E-2</v>
      </c>
      <c r="K31" s="4">
        <f t="shared" si="11"/>
        <v>4.5598951628198804E-2</v>
      </c>
      <c r="L31" s="4">
        <f t="shared" si="11"/>
        <v>4.2684072114958171E-2</v>
      </c>
      <c r="M31" s="4">
        <f t="shared" si="11"/>
        <v>3.6390555454472159E-2</v>
      </c>
      <c r="N31" s="4">
        <f t="shared" si="11"/>
        <v>2.4939854428944797E-2</v>
      </c>
      <c r="O31" s="4">
        <f t="shared" si="11"/>
        <v>1.3502576997021802E-2</v>
      </c>
      <c r="P31" s="4">
        <f t="shared" si="11"/>
        <v>7.2357693116333072E-3</v>
      </c>
      <c r="Q31" s="4">
        <f t="shared" si="11"/>
        <v>4.3477987381059201E-3</v>
      </c>
      <c r="R31" s="4">
        <f t="shared" si="11"/>
        <v>2.6419621586381706E-3</v>
      </c>
      <c r="S31" s="4">
        <f t="shared" si="11"/>
        <v>1.2746404326054079E-3</v>
      </c>
      <c r="T31" s="4">
        <f t="shared" si="11"/>
        <v>0</v>
      </c>
      <c r="U31" s="4">
        <f t="shared" si="11"/>
        <v>0</v>
      </c>
      <c r="V31" s="4">
        <f t="shared" si="11"/>
        <v>0</v>
      </c>
      <c r="W31" s="4">
        <f t="shared" si="11"/>
        <v>0</v>
      </c>
      <c r="X31" s="4">
        <f t="shared" si="11"/>
        <v>0</v>
      </c>
      <c r="Y31" s="4">
        <f t="shared" si="11"/>
        <v>0</v>
      </c>
      <c r="Z31" s="4">
        <f t="shared" si="11"/>
        <v>0</v>
      </c>
      <c r="AA31" s="4">
        <f t="shared" si="11"/>
        <v>0</v>
      </c>
      <c r="AB31" s="4">
        <f t="shared" si="11"/>
        <v>0</v>
      </c>
      <c r="AC31" s="4">
        <f t="shared" si="11"/>
        <v>0</v>
      </c>
      <c r="AD31" s="4">
        <f t="shared" si="11"/>
        <v>0</v>
      </c>
      <c r="AE31" s="4">
        <f t="shared" si="11"/>
        <v>0</v>
      </c>
      <c r="AF31" s="4">
        <f t="shared" si="11"/>
        <v>0</v>
      </c>
      <c r="AG31" s="4">
        <f t="shared" si="11"/>
        <v>0</v>
      </c>
      <c r="AH31" s="4">
        <f t="shared" si="11"/>
        <v>0</v>
      </c>
      <c r="AI31" s="4">
        <f t="shared" si="11"/>
        <v>0</v>
      </c>
    </row>
    <row r="32" spans="1:35" x14ac:dyDescent="0.2">
      <c r="A32" s="7"/>
      <c r="B32" s="1" t="s">
        <v>11</v>
      </c>
      <c r="C32" s="4">
        <f t="shared" si="1"/>
        <v>4.4492980001426166E-2</v>
      </c>
      <c r="D32" s="4">
        <f t="shared" si="1"/>
        <v>3.9994139132106539E-2</v>
      </c>
      <c r="E32" s="4">
        <f t="shared" ref="E32:AI32" si="12">+E16/SUM(E$5:E$18)</f>
        <v>4.5475312127821327E-2</v>
      </c>
      <c r="F32" s="4">
        <f t="shared" si="12"/>
        <v>4.3964179154241563E-2</v>
      </c>
      <c r="G32" s="4">
        <f t="shared" si="12"/>
        <v>4.3166706947389021E-2</v>
      </c>
      <c r="H32" s="4">
        <f t="shared" si="12"/>
        <v>4.0273269081644768E-2</v>
      </c>
      <c r="I32" s="4">
        <f t="shared" si="12"/>
        <v>5.1531356263250727E-2</v>
      </c>
      <c r="J32" s="4">
        <f t="shared" si="12"/>
        <v>6.3891157844032362E-2</v>
      </c>
      <c r="K32" s="4">
        <f t="shared" si="12"/>
        <v>7.9256648720194792E-2</v>
      </c>
      <c r="L32" s="4">
        <f t="shared" si="12"/>
        <v>0.10524454575939471</v>
      </c>
      <c r="M32" s="4">
        <f t="shared" si="12"/>
        <v>0.16161145574313734</v>
      </c>
      <c r="N32" s="4">
        <f t="shared" si="12"/>
        <v>0.26436245694681482</v>
      </c>
      <c r="O32" s="4">
        <f t="shared" si="12"/>
        <v>0.36696183026775692</v>
      </c>
      <c r="P32" s="4">
        <f t="shared" si="12"/>
        <v>0.42299377761960899</v>
      </c>
      <c r="Q32" s="4">
        <f t="shared" si="12"/>
        <v>0.44858190284278404</v>
      </c>
      <c r="R32" s="4">
        <f t="shared" si="12"/>
        <v>0.46353453639962144</v>
      </c>
      <c r="S32" s="4">
        <f t="shared" si="12"/>
        <v>0.47542274485131319</v>
      </c>
      <c r="T32" s="4">
        <f t="shared" si="12"/>
        <v>0.4864696766523624</v>
      </c>
      <c r="U32" s="4">
        <f t="shared" si="12"/>
        <v>0.48651490409640752</v>
      </c>
      <c r="V32" s="4">
        <f t="shared" si="12"/>
        <v>0.48657233161677133</v>
      </c>
      <c r="W32" s="4">
        <f t="shared" si="12"/>
        <v>0.48661935689688912</v>
      </c>
      <c r="X32" s="4">
        <f t="shared" si="12"/>
        <v>0.4866444911805361</v>
      </c>
      <c r="Y32" s="4">
        <f t="shared" si="12"/>
        <v>0.48665213520333211</v>
      </c>
      <c r="Z32" s="4">
        <f t="shared" si="12"/>
        <v>0.48665015199256983</v>
      </c>
      <c r="AA32" s="4">
        <f t="shared" si="12"/>
        <v>0.48664374097249607</v>
      </c>
      <c r="AB32" s="4">
        <f t="shared" si="12"/>
        <v>0.48663648884396082</v>
      </c>
      <c r="AC32" s="4">
        <f t="shared" si="12"/>
        <v>0.48662837036589224</v>
      </c>
      <c r="AD32" s="4">
        <f t="shared" si="12"/>
        <v>0.48661718161944523</v>
      </c>
      <c r="AE32" s="4">
        <f t="shared" si="12"/>
        <v>0.48660994967781462</v>
      </c>
      <c r="AF32" s="4">
        <f t="shared" si="12"/>
        <v>0.48660170130262881</v>
      </c>
      <c r="AG32" s="4">
        <f t="shared" si="12"/>
        <v>0.48659239450954972</v>
      </c>
      <c r="AH32" s="4">
        <f t="shared" si="12"/>
        <v>0.48658270770542672</v>
      </c>
      <c r="AI32" s="4">
        <f t="shared" si="12"/>
        <v>0.48657198952898351</v>
      </c>
    </row>
    <row r="33" spans="1:35" x14ac:dyDescent="0.2">
      <c r="A33" s="7"/>
      <c r="B33" s="1" t="s">
        <v>12</v>
      </c>
      <c r="C33" s="4">
        <f t="shared" si="1"/>
        <v>9.3122495689798297E-5</v>
      </c>
      <c r="D33" s="4">
        <f t="shared" si="1"/>
        <v>1.2398569416734612E-4</v>
      </c>
      <c r="E33" s="4">
        <f t="shared" ref="E33:AI33" si="13">+E17/SUM(E$5:E$18)</f>
        <v>1.6640448014986538E-4</v>
      </c>
      <c r="F33" s="4">
        <f t="shared" si="13"/>
        <v>2.0282593389894614E-4</v>
      </c>
      <c r="G33" s="4">
        <f t="shared" si="13"/>
        <v>1.9992874212647829E-4</v>
      </c>
      <c r="H33" s="4">
        <f t="shared" si="13"/>
        <v>1.8725577810165583E-4</v>
      </c>
      <c r="I33" s="4">
        <f t="shared" si="13"/>
        <v>1.7967655283402734E-4</v>
      </c>
      <c r="J33" s="4">
        <f t="shared" si="13"/>
        <v>1.7450325909927839E-4</v>
      </c>
      <c r="K33" s="4">
        <f t="shared" si="13"/>
        <v>1.718646540400962E-4</v>
      </c>
      <c r="L33" s="4">
        <f t="shared" si="13"/>
        <v>1.7007841861051338E-4</v>
      </c>
      <c r="M33" s="4">
        <f t="shared" si="13"/>
        <v>1.685245028008046E-4</v>
      </c>
      <c r="N33" s="4">
        <f t="shared" si="13"/>
        <v>1.6761922541993891E-4</v>
      </c>
      <c r="O33" s="4">
        <f t="shared" si="13"/>
        <v>1.6562964196434839E-4</v>
      </c>
      <c r="P33" s="4">
        <f t="shared" si="13"/>
        <v>1.6009692141217299E-4</v>
      </c>
      <c r="Q33" s="4">
        <f t="shared" si="13"/>
        <v>1.5770451347423264E-4</v>
      </c>
      <c r="R33" s="4">
        <f t="shared" si="13"/>
        <v>1.5088641314288753E-4</v>
      </c>
      <c r="S33" s="4">
        <f t="shared" si="13"/>
        <v>1.4410981342192895E-4</v>
      </c>
      <c r="T33" s="4">
        <f t="shared" si="13"/>
        <v>1.3680215660093691E-4</v>
      </c>
      <c r="U33" s="4">
        <f t="shared" si="13"/>
        <v>1.3285456216548223E-4</v>
      </c>
      <c r="V33" s="4">
        <f t="shared" si="13"/>
        <v>1.288485289973512E-4</v>
      </c>
      <c r="W33" s="4">
        <f t="shared" si="13"/>
        <v>1.2549464603556107E-4</v>
      </c>
      <c r="X33" s="4">
        <f t="shared" si="13"/>
        <v>1.2295006677160765E-4</v>
      </c>
      <c r="Y33" s="4">
        <f t="shared" si="13"/>
        <v>1.2148664789821324E-4</v>
      </c>
      <c r="Z33" s="4">
        <f t="shared" si="13"/>
        <v>1.1925232080849559E-4</v>
      </c>
      <c r="AA33" s="4">
        <f t="shared" si="13"/>
        <v>1.183470924815608E-4</v>
      </c>
      <c r="AB33" s="4">
        <f t="shared" si="13"/>
        <v>1.1917420768397284E-4</v>
      </c>
      <c r="AC33" s="4">
        <f t="shared" si="13"/>
        <v>1.1884659991109081E-4</v>
      </c>
      <c r="AD33" s="4">
        <f t="shared" si="13"/>
        <v>1.1869183328118177E-4</v>
      </c>
      <c r="AE33" s="4">
        <f t="shared" si="13"/>
        <v>1.1850706151478744E-4</v>
      </c>
      <c r="AF33" s="4">
        <f t="shared" si="13"/>
        <v>1.1847389827941354E-4</v>
      </c>
      <c r="AG33" s="4">
        <f t="shared" si="13"/>
        <v>1.1856420460741094E-4</v>
      </c>
      <c r="AH33" s="4">
        <f t="shared" si="13"/>
        <v>1.1879611941384648E-4</v>
      </c>
      <c r="AI33" s="4">
        <f t="shared" si="13"/>
        <v>1.1911797570247534E-4</v>
      </c>
    </row>
    <row r="34" spans="1:35" x14ac:dyDescent="0.2">
      <c r="A34" s="7"/>
      <c r="B34" s="1" t="s">
        <v>13</v>
      </c>
      <c r="C34" s="4">
        <f>+C18/SUM(C$5:C$18)</f>
        <v>0.15255874175156742</v>
      </c>
      <c r="D34" s="4">
        <f t="shared" ref="D34:AI34" si="14">+D18/SUM(D$5:D$18)</f>
        <v>0.15559904500815672</v>
      </c>
      <c r="E34" s="4">
        <f t="shared" si="14"/>
        <v>0.15370090834901476</v>
      </c>
      <c r="F34" s="4">
        <f t="shared" si="14"/>
        <v>0.14996254601341391</v>
      </c>
      <c r="G34" s="4">
        <f t="shared" si="14"/>
        <v>0.14996122733240577</v>
      </c>
      <c r="H34" s="4">
        <f t="shared" si="14"/>
        <v>0.14996154066429646</v>
      </c>
      <c r="I34" s="4">
        <f t="shared" si="14"/>
        <v>0.15897256938986107</v>
      </c>
      <c r="J34" s="4">
        <f t="shared" si="14"/>
        <v>0.16975410633547741</v>
      </c>
      <c r="K34" s="4">
        <f t="shared" si="14"/>
        <v>0.17957434230223218</v>
      </c>
      <c r="L34" s="4">
        <f t="shared" si="14"/>
        <v>0.20467721015915583</v>
      </c>
      <c r="M34" s="4">
        <f t="shared" si="14"/>
        <v>0.24167067774297613</v>
      </c>
      <c r="N34" s="4">
        <f t="shared" si="14"/>
        <v>0.31923013669049338</v>
      </c>
      <c r="O34" s="4">
        <f t="shared" si="14"/>
        <v>0.3966674996612049</v>
      </c>
      <c r="P34" s="4">
        <f t="shared" si="14"/>
        <v>0.43891247010520212</v>
      </c>
      <c r="Q34" s="4">
        <f t="shared" si="14"/>
        <v>0.45814706006661715</v>
      </c>
      <c r="R34" s="4">
        <f t="shared" si="14"/>
        <v>0.46934685314862551</v>
      </c>
      <c r="S34" s="4">
        <f t="shared" si="14"/>
        <v>0.47822695380304509</v>
      </c>
      <c r="T34" s="4">
        <f t="shared" si="14"/>
        <v>0.4864696766523624</v>
      </c>
      <c r="U34" s="4">
        <f t="shared" si="14"/>
        <v>0.48651490409640752</v>
      </c>
      <c r="V34" s="4">
        <f t="shared" si="14"/>
        <v>0.48657233161677133</v>
      </c>
      <c r="W34" s="4">
        <f t="shared" si="14"/>
        <v>0.48661935689688912</v>
      </c>
      <c r="X34" s="4">
        <f t="shared" si="14"/>
        <v>0.4866444911805361</v>
      </c>
      <c r="Y34" s="4">
        <f t="shared" si="14"/>
        <v>0.48665213520333211</v>
      </c>
      <c r="Z34" s="4">
        <f t="shared" si="14"/>
        <v>0.48665015199256983</v>
      </c>
      <c r="AA34" s="4">
        <f t="shared" si="14"/>
        <v>0.48664374097249607</v>
      </c>
      <c r="AB34" s="4">
        <f t="shared" si="14"/>
        <v>0.48663648884396082</v>
      </c>
      <c r="AC34" s="4">
        <f t="shared" si="14"/>
        <v>0.48662837036589224</v>
      </c>
      <c r="AD34" s="4">
        <f t="shared" si="14"/>
        <v>0.48661718161944523</v>
      </c>
      <c r="AE34" s="4">
        <f t="shared" si="14"/>
        <v>0.48660994967781462</v>
      </c>
      <c r="AF34" s="4">
        <f t="shared" si="14"/>
        <v>0.48660170130262881</v>
      </c>
      <c r="AG34" s="4">
        <f t="shared" si="14"/>
        <v>0.48659239450954972</v>
      </c>
      <c r="AH34" s="4">
        <f t="shared" si="14"/>
        <v>0.48658270770542672</v>
      </c>
      <c r="AI34" s="4">
        <f t="shared" si="14"/>
        <v>0.48657198952898351</v>
      </c>
    </row>
    <row r="35" spans="1:35" x14ac:dyDescent="0.2">
      <c r="A35" s="5"/>
      <c r="B35" s="6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</sheetData>
  <mergeCells count="5">
    <mergeCell ref="C4:AI4"/>
    <mergeCell ref="C2:AI2"/>
    <mergeCell ref="A5:A18"/>
    <mergeCell ref="A21:A34"/>
    <mergeCell ref="C20:AI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Fabian Fuentes Rivas</cp:lastModifiedBy>
  <dcterms:created xsi:type="dcterms:W3CDTF">2026-07-30T16:23:00Z</dcterms:created>
  <dcterms:modified xsi:type="dcterms:W3CDTF">2026-07-30T19:19:44Z</dcterms:modified>
</cp:coreProperties>
</file>