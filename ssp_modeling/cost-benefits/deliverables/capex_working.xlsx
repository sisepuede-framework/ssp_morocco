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bianfuentes/git/ssp_morocco/ssp_modeling/cost-benefits/deliverables/"/>
    </mc:Choice>
  </mc:AlternateContent>
  <xr:revisionPtr revIDLastSave="0" documentId="8_{80B2C0D0-14DC-1C43-ADFB-7E9435EE0112}" xr6:coauthVersionLast="47" xr6:coauthVersionMax="47" xr10:uidLastSave="{00000000-0000-0000-0000-000000000000}"/>
  <bookViews>
    <workbookView xWindow="0" yWindow="660" windowWidth="34560" windowHeight="21680" activeTab="1" xr2:uid="{00000000-000D-0000-FFFF-FFFF00000000}"/>
  </bookViews>
  <sheets>
    <sheet name="Sheet 1" sheetId="1" r:id="rId1"/>
    <sheet name="Sheet1" sheetId="2" r:id="rId2"/>
  </sheets>
  <definedNames>
    <definedName name="_xlnm._FilterDatabase" localSheetId="1" hidden="1">Sheet1!$A$1:$Q$100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AJ69" i="2"/>
  <c r="AH34" i="2"/>
  <c r="AK34" i="2" s="1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AF30" i="2"/>
  <c r="AE30" i="2"/>
  <c r="AD30" i="2"/>
  <c r="AC30" i="2"/>
  <c r="AB30" i="2"/>
  <c r="AA30" i="2"/>
  <c r="Z30" i="2"/>
  <c r="Y30" i="2"/>
  <c r="X30" i="2"/>
  <c r="W30" i="2"/>
  <c r="V30" i="2"/>
  <c r="U30" i="2"/>
  <c r="T30" i="2"/>
  <c r="S30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S29" i="2"/>
  <c r="AF27" i="2"/>
  <c r="AE27" i="2"/>
  <c r="AD27" i="2"/>
  <c r="AC27" i="2"/>
  <c r="AB27" i="2"/>
  <c r="AA27" i="2"/>
  <c r="Z27" i="2"/>
  <c r="Y27" i="2"/>
  <c r="X27" i="2"/>
  <c r="W27" i="2"/>
  <c r="V27" i="2"/>
  <c r="U27" i="2"/>
  <c r="T27" i="2"/>
  <c r="S27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S26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S25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S11" i="2"/>
  <c r="AF10" i="2"/>
  <c r="AE10" i="2"/>
  <c r="AD10" i="2"/>
  <c r="AC10" i="2"/>
  <c r="AB10" i="2"/>
  <c r="AA10" i="2"/>
  <c r="Z10" i="2"/>
  <c r="Y10" i="2"/>
  <c r="X10" i="2"/>
  <c r="W10" i="2"/>
  <c r="V10" i="2"/>
  <c r="U10" i="2"/>
  <c r="T10" i="2"/>
  <c r="S10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AE8" i="2"/>
  <c r="AD8" i="2"/>
  <c r="AC8" i="2"/>
  <c r="AB8" i="2"/>
  <c r="Z8" i="2"/>
  <c r="Y8" i="2"/>
  <c r="X8" i="2"/>
  <c r="W8" i="2"/>
  <c r="V8" i="2"/>
  <c r="U8" i="2"/>
  <c r="T8" i="2"/>
  <c r="AF7" i="2"/>
  <c r="AE7" i="2"/>
  <c r="AD7" i="2"/>
  <c r="AC7" i="2"/>
  <c r="AB7" i="2"/>
  <c r="Z7" i="2"/>
  <c r="Y7" i="2"/>
  <c r="X7" i="2"/>
  <c r="W7" i="2"/>
  <c r="V7" i="2"/>
  <c r="U7" i="2"/>
  <c r="T7" i="2"/>
  <c r="AH7" i="2"/>
  <c r="AK7" i="2" s="1"/>
  <c r="AH17" i="2"/>
  <c r="AK17" i="2" s="1"/>
  <c r="AH8" i="2"/>
  <c r="AK8" i="2" s="1"/>
  <c r="AH9" i="2"/>
  <c r="AK9" i="2" s="1"/>
  <c r="AH10" i="2"/>
  <c r="AK10" i="2" s="1"/>
  <c r="AH11" i="2"/>
  <c r="AK11" i="2" s="1"/>
  <c r="AH12" i="2"/>
  <c r="AK12" i="2" s="1"/>
  <c r="AH13" i="2"/>
  <c r="AK13" i="2" s="1"/>
  <c r="AH14" i="2"/>
  <c r="AK14" i="2" s="1"/>
  <c r="AH15" i="2"/>
  <c r="AK15" i="2" s="1"/>
  <c r="AH16" i="2"/>
  <c r="AK16" i="2" s="1"/>
  <c r="AH18" i="2"/>
  <c r="AK18" i="2" s="1"/>
  <c r="AH19" i="2"/>
  <c r="AK19" i="2" s="1"/>
  <c r="AH20" i="2"/>
  <c r="AK20" i="2" s="1"/>
  <c r="AH21" i="2"/>
  <c r="AK21" i="2" s="1"/>
  <c r="AH22" i="2"/>
  <c r="AK22" i="2" s="1"/>
  <c r="AH23" i="2"/>
  <c r="AK23" i="2" s="1"/>
  <c r="AH24" i="2"/>
  <c r="AK24" i="2" s="1"/>
  <c r="AH25" i="2"/>
  <c r="AK25" i="2" s="1"/>
  <c r="AH26" i="2"/>
  <c r="AK26" i="2" s="1"/>
  <c r="AH27" i="2"/>
  <c r="AK27" i="2" s="1"/>
  <c r="AH28" i="2"/>
  <c r="AK28" i="2" s="1"/>
  <c r="AH29" i="2"/>
  <c r="AK29" i="2" s="1"/>
  <c r="AH30" i="2"/>
  <c r="AK30" i="2" s="1"/>
  <c r="AH31" i="2"/>
  <c r="AK31" i="2" s="1"/>
  <c r="AH32" i="2"/>
  <c r="AK32" i="2" s="1"/>
  <c r="AH33" i="2"/>
  <c r="AK33" i="2" s="1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AA21" i="1"/>
  <c r="AB21" i="1"/>
  <c r="AC21" i="1"/>
  <c r="AD21" i="1"/>
  <c r="AE21" i="1"/>
  <c r="AF21" i="1"/>
  <c r="AG21" i="1"/>
  <c r="AH21" i="1"/>
  <c r="AI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  <c r="AC22" i="1"/>
  <c r="AD22" i="1"/>
  <c r="AE22" i="1"/>
  <c r="AF22" i="1"/>
  <c r="AG22" i="1"/>
  <c r="AH22" i="1"/>
  <c r="AI2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AA25" i="1"/>
  <c r="AB25" i="1"/>
  <c r="AC25" i="1"/>
  <c r="AD25" i="1"/>
  <c r="AE25" i="1"/>
  <c r="AF25" i="1"/>
  <c r="AG25" i="1"/>
  <c r="AH25" i="1"/>
  <c r="AI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AH29" i="1"/>
  <c r="AI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AA30" i="1"/>
  <c r="AB30" i="1"/>
  <c r="AC30" i="1"/>
  <c r="AD30" i="1"/>
  <c r="AE30" i="1"/>
  <c r="AF30" i="1"/>
  <c r="AG30" i="1"/>
  <c r="AH30" i="1"/>
  <c r="AI30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AA33" i="1"/>
  <c r="AB33" i="1"/>
  <c r="AC33" i="1"/>
  <c r="AD33" i="1"/>
  <c r="AE33" i="1"/>
  <c r="AF33" i="1"/>
  <c r="AG33" i="1"/>
  <c r="AH33" i="1"/>
  <c r="AI33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AA34" i="1"/>
  <c r="AB34" i="1"/>
  <c r="AC34" i="1"/>
  <c r="AD34" i="1"/>
  <c r="AE34" i="1"/>
  <c r="AF34" i="1"/>
  <c r="AG34" i="1"/>
  <c r="AH34" i="1"/>
  <c r="AI34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C34" i="1"/>
  <c r="C22" i="1"/>
  <c r="C23" i="1"/>
  <c r="C24" i="1"/>
  <c r="C25" i="1"/>
  <c r="C26" i="1"/>
  <c r="C27" i="1"/>
  <c r="C28" i="1"/>
  <c r="C29" i="1"/>
  <c r="C30" i="1"/>
  <c r="C31" i="1"/>
  <c r="C32" i="1"/>
  <c r="C33" i="1"/>
  <c r="C21" i="1"/>
  <c r="AH69" i="2" l="1"/>
</calcChain>
</file>

<file path=xl/sharedStrings.xml><?xml version="1.0" encoding="utf-8"?>
<sst xmlns="http://schemas.openxmlformats.org/spreadsheetml/2006/main" count="213" uniqueCount="71">
  <si>
    <t>pp_biogas</t>
  </si>
  <si>
    <t>pp_biomass</t>
  </si>
  <si>
    <t>pp_coal</t>
  </si>
  <si>
    <t>pp_coal_ccs</t>
  </si>
  <si>
    <t>pp_gas</t>
  </si>
  <si>
    <t>pp_gas_ccs</t>
  </si>
  <si>
    <t>pp_geothermal</t>
  </si>
  <si>
    <t>pp_hydropower</t>
  </si>
  <si>
    <t>pp_nuclear</t>
  </si>
  <si>
    <t>pp_ocean</t>
  </si>
  <si>
    <t>pp_oil</t>
  </si>
  <si>
    <t>pp_solar</t>
  </si>
  <si>
    <t>pp_waste_incineration</t>
  </si>
  <si>
    <t>pp_wind</t>
  </si>
  <si>
    <t>Electricity production by technology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</si>
  <si>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</si>
  <si>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</si>
  <si>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</si>
  <si>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</si>
  <si>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</si>
  <si>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</si>
  <si>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</si>
  <si>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</si>
  <si>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</si>
  <si>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</si>
  <si>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</si>
  <si>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</si>
  <si>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</si>
  <si>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</si>
  <si>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</si>
  <si>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</si>
  <si>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</si>
  <si>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</si>
  <si>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</si>
  <si>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</si>
  <si>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</si>
  <si>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</si>
  <si>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</si>
  <si>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</si>
  <si>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</si>
  <si>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</si>
  <si>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</si>
  <si>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</si>
  <si>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</si>
  <si>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</si>
  <si>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</si>
  <si>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</si>
  <si>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</si>
  <si>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LTS</t>
  </si>
  <si>
    <t>PJ</t>
  </si>
  <si>
    <t>%</t>
  </si>
  <si>
    <t>Investment (Billion USD)</t>
  </si>
  <si>
    <t>primary_id</t>
  </si>
  <si>
    <t>region</t>
  </si>
  <si>
    <t>time_period</t>
  </si>
  <si>
    <t>nemomod_entc_discounted_capital_investment_pp_biogas</t>
  </si>
  <si>
    <t>nemomod_entc_discounted_capital_investment_pp_biomass</t>
  </si>
  <si>
    <t>nemomod_entc_discounted_capital_investment_pp_coal</t>
  </si>
  <si>
    <t>nemomod_entc_discounted_capital_investment_pp_coal_ccs</t>
  </si>
  <si>
    <t>nemomod_entc_discounted_capital_investment_pp_gas</t>
  </si>
  <si>
    <t>nemomod_entc_discounted_capital_investment_pp_gas_ccs</t>
  </si>
  <si>
    <t>nemomod_entc_discounted_capital_investment_pp_geothermal</t>
  </si>
  <si>
    <t>nemomod_entc_discounted_capital_investment_pp_hydropower</t>
  </si>
  <si>
    <t>nemomod_entc_discounted_capital_investment_pp_nuclear</t>
  </si>
  <si>
    <t>nemomod_entc_discounted_capital_investment_pp_ocean</t>
  </si>
  <si>
    <t>nemomod_entc_discounted_capital_investment_pp_oil</t>
  </si>
  <si>
    <t>nemomod_entc_discounted_capital_investment_pp_solar</t>
  </si>
  <si>
    <t>nemomod_entc_discounted_capital_investment_pp_waste_incineration</t>
  </si>
  <si>
    <t>nemomod_entc_discounted_capital_investment_pp_wind</t>
  </si>
  <si>
    <t>morocco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</si>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</sst>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#,##0.0"/>
    <numFmt numFmtId="165" formatCode="0.000"/>
    <numFmt numFmtId="166" formatCode="#,##0.0000"/>
    <numFmt numFmtId="167" formatCode="&quot;$&quot;#,##0.00"/>
  </numFmts>
  <fonts count="4" x14ac:knownFonts="1">
    <font>
      <sz val="11"/>
      <name val="Calibri"/>
    </font>
    <font>
      <sz val="9"/>
      <color rgb="FF000000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left" vertical="top"/>
    </xf>
    <xf numFmtId="0" fontId="1" fillId="0" borderId="3" xfId="0" applyFont="1" applyBorder="1" applyAlignment="1">
      <alignment horizontal="center"/>
    </xf>
    <xf numFmtId="164" fontId="1" fillId="0" borderId="4" xfId="0" applyNumberFormat="1" applyFont="1" applyBorder="1" applyAlignment="1">
      <alignment vertical="center"/>
    </xf>
    <xf numFmtId="9" fontId="1" fillId="0" borderId="4" xfId="1" applyFont="1" applyBorder="1" applyAlignment="1">
      <alignment vertical="center"/>
    </xf>
    <xf numFmtId="0" fontId="1" fillId="0" borderId="4" xfId="0" applyFont="1" applyBorder="1" applyAlignment="1">
      <alignment horizontal="left" vertical="top" textRotation="90"/>
    </xf>
    <xf numFmtId="0" fontId="1" fillId="0" borderId="4" xfId="0" applyFont="1" applyBorder="1" applyAlignment="1">
      <alignment horizontal="left" vertical="top"/>
    </xf>
    <xf numFmtId="0" fontId="0" fillId="2" borderId="0" xfId="0" applyFill="1" applyAlignment="1">
      <alignment wrapText="1"/>
    </xf>
    <xf numFmtId="165" fontId="2" fillId="0" borderId="0" xfId="0" applyNumberFormat="1" applyFont="1"/>
    <xf numFmtId="165" fontId="0" fillId="0" borderId="0" xfId="0" applyNumberFormat="1"/>
    <xf numFmtId="4" fontId="1" fillId="0" borderId="4" xfId="0" applyNumberFormat="1" applyFont="1" applyBorder="1" applyAlignment="1">
      <alignment vertical="center"/>
    </xf>
    <xf numFmtId="166" fontId="0" fillId="0" borderId="0" xfId="0" applyNumberFormat="1"/>
    <xf numFmtId="167" fontId="0" fillId="0" borderId="0" xfId="2" applyNumberFormat="1" applyFont="1"/>
    <xf numFmtId="0" fontId="1" fillId="0" borderId="2" xfId="0" applyFont="1" applyBorder="1" applyAlignment="1">
      <alignment horizontal="center" vertical="center" textRotation="90"/>
    </xf>
    <xf numFmtId="0" fontId="1" fillId="2" borderId="4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'Sheet 1'!$B$21</c:f>
              <c:strCache>
                <c:ptCount val="1"/>
                <c:pt idx="0">
                  <c:v>pp_biogas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1'!$C$21:$AI$21</c:f>
              <c:numCache>
                <c:formatCode>0%</c:formatCode>
                <c:ptCount val="33"/>
                <c:pt idx="0">
                  <c:v>1.6997370315124682E-5</c:v>
                </c:pt>
                <c:pt idx="1">
                  <c:v>2.2536003168025804E-5</c:v>
                </c:pt>
                <c:pt idx="2">
                  <c:v>3.0909100118969395E-5</c:v>
                </c:pt>
                <c:pt idx="3">
                  <c:v>4.6867310009580158E-5</c:v>
                </c:pt>
                <c:pt idx="4">
                  <c:v>5.8555708502078943E-5</c:v>
                </c:pt>
                <c:pt idx="5">
                  <c:v>6.9139793256109742E-5</c:v>
                </c:pt>
                <c:pt idx="6">
                  <c:v>8.3709335199596196E-5</c:v>
                </c:pt>
                <c:pt idx="7">
                  <c:v>1.0165674237761324E-4</c:v>
                </c:pt>
                <c:pt idx="8">
                  <c:v>5.4777300813800393E-4</c:v>
                </c:pt>
                <c:pt idx="9">
                  <c:v>1.0516721468799793E-3</c:v>
                </c:pt>
                <c:pt idx="10">
                  <c:v>1.6123246425372062E-3</c:v>
                </c:pt>
                <c:pt idx="11">
                  <c:v>2.2327340446550896E-3</c:v>
                </c:pt>
                <c:pt idx="12">
                  <c:v>2.8862363442389255E-3</c:v>
                </c:pt>
                <c:pt idx="13">
                  <c:v>3.5022508967316769E-3</c:v>
                </c:pt>
                <c:pt idx="14">
                  <c:v>4.2062434053317457E-3</c:v>
                </c:pt>
                <c:pt idx="15">
                  <c:v>4.8013838985249031E-3</c:v>
                </c:pt>
                <c:pt idx="16">
                  <c:v>5.3803181358204732E-3</c:v>
                </c:pt>
                <c:pt idx="17">
                  <c:v>5.9131005545920035E-3</c:v>
                </c:pt>
                <c:pt idx="18">
                  <c:v>5.7855518243711069E-3</c:v>
                </c:pt>
                <c:pt idx="19">
                  <c:v>5.6498437291682526E-3</c:v>
                </c:pt>
                <c:pt idx="20">
                  <c:v>5.5381398361554505E-3</c:v>
                </c:pt>
                <c:pt idx="21">
                  <c:v>5.4585035804364992E-3</c:v>
                </c:pt>
                <c:pt idx="22">
                  <c:v>5.4240495142226612E-3</c:v>
                </c:pt>
                <c:pt idx="23">
                  <c:v>5.3524409492406002E-3</c:v>
                </c:pt>
                <c:pt idx="24">
                  <c:v>5.3380141296817969E-3</c:v>
                </c:pt>
                <c:pt idx="25">
                  <c:v>5.3819212158163496E-3</c:v>
                </c:pt>
                <c:pt idx="26">
                  <c:v>5.3729607006932452E-3</c:v>
                </c:pt>
                <c:pt idx="27">
                  <c:v>5.3710588955569018E-3</c:v>
                </c:pt>
                <c:pt idx="28">
                  <c:v>5.3670718041125831E-3</c:v>
                </c:pt>
                <c:pt idx="29">
                  <c:v>5.3692454566837394E-3</c:v>
                </c:pt>
                <c:pt idx="30">
                  <c:v>5.376337336733583E-3</c:v>
                </c:pt>
                <c:pt idx="31">
                  <c:v>5.3892800748851699E-3</c:v>
                </c:pt>
                <c:pt idx="32">
                  <c:v>5.405669269588507E-3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53-A649-9006-248691A6B086}"/>
            </c:ext>
          </c:extLst>
        </c:ser>
        <c:ser>
          <c:idx val="1"/>
          <c:order val="1"/>
          <c:tx>
            <c:strRef>
              <c:f>'Sheet 1'!$B$22</c:f>
              <c:strCache>
                <c:ptCount val="1"/>
                <c:pt idx="0">
                  <c:v>pp_biomass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1'!$C$22:$AI$22</c:f>
              <c:numCache>
                <c:formatCode>0%</c:formatCode>
                <c:ptCount val="33"/>
                <c:pt idx="0">
                  <c:v>2.9262542738049744E-3</c:v>
                </c:pt>
                <c:pt idx="1">
                  <c:v>4.3775115202705711E-3</c:v>
                </c:pt>
                <c:pt idx="2">
                  <c:v>7.8431680710948717E-4</c:v>
                </c:pt>
                <c:pt idx="3">
                  <c:v>6.0233361835621661E-3</c:v>
                </c:pt>
                <c:pt idx="4">
                  <c:v>6.8203688300790925E-3</c:v>
                </c:pt>
                <c:pt idx="5">
                  <c:v>9.7139111397865786E-3</c:v>
                </c:pt>
                <c:pt idx="6">
                  <c:v>9.3781683702564705E-3</c:v>
                </c:pt>
                <c:pt idx="7">
                  <c:v>8.2611492994702131E-3</c:v>
                </c:pt>
                <c:pt idx="8">
                  <c:v>9.9931353169154889E-3</c:v>
                </c:pt>
                <c:pt idx="9">
                  <c:v>4.460374614027633E-3</c:v>
                </c:pt>
                <c:pt idx="10">
                  <c:v>2.6982360779610201E-3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2.574948849370538E-4</c:v>
                </c:pt>
                <c:pt idx="20">
                  <c:v>4.2996975220324093E-4</c:v>
                </c:pt>
                <c:pt idx="21">
                  <c:v>7.9343104270779513E-4</c:v>
                </c:pt>
                <c:pt idx="22">
                  <c:v>8.468900136585542E-4</c:v>
                </c:pt>
                <c:pt idx="23">
                  <c:v>8.1563579288145569E-4</c:v>
                </c:pt>
                <c:pt idx="24">
                  <c:v>7.9393258868581734E-4</c:v>
                </c:pt>
                <c:pt idx="25">
                  <c:v>7.815967624522184E-4</c:v>
                </c:pt>
                <c:pt idx="26">
                  <c:v>6.0215297873027825E-4</c:v>
                </c:pt>
                <c:pt idx="27">
                  <c:v>1.2974290676902707E-4</c:v>
                </c:pt>
                <c:pt idx="28">
                  <c:v>1.2659108646611932E-4</c:v>
                </c:pt>
                <c:pt idx="29">
                  <c:v>1.2365663895570853E-4</c:v>
                </c:pt>
                <c:pt idx="30">
                  <c:v>1.2089928887250653E-4</c:v>
                </c:pt>
                <c:pt idx="31">
                  <c:v>1.183302334444042E-4</c:v>
                </c:pt>
                <c:pt idx="32">
                  <c:v>1.1588665820351188E-4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053-A649-9006-248691A6B086}"/>
            </c:ext>
          </c:extLst>
        </c:ser>
        <c:ser>
          <c:idx val="2"/>
          <c:order val="2"/>
          <c:tx>
            <c:strRef>
              <c:f>'Sheet 1'!$B$23</c:f>
              <c:strCache>
                <c:ptCount val="1"/>
                <c:pt idx="0">
                  <c:v>pp_coal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1'!$C$23:$AI$23</c:f>
              <c:numCache>
                <c:formatCode>0%</c:formatCode>
                <c:ptCount val="33"/>
                <c:pt idx="0">
                  <c:v>0.61993172568307719</c:v>
                </c:pt>
                <c:pt idx="1">
                  <c:v>0.61990915654765144</c:v>
                </c:pt>
                <c:pt idx="2">
                  <c:v>0.61987766558023383</c:v>
                </c:pt>
                <c:pt idx="3">
                  <c:v>0.61984519018877737</c:v>
                </c:pt>
                <c:pt idx="4">
                  <c:v>0.61983973964061057</c:v>
                </c:pt>
                <c:pt idx="5">
                  <c:v>0.61984103474575869</c:v>
                </c:pt>
                <c:pt idx="6">
                  <c:v>0.60393453659969631</c:v>
                </c:pt>
                <c:pt idx="7">
                  <c:v>0.58689685648111389</c:v>
                </c:pt>
                <c:pt idx="8">
                  <c:v>0.56542700018966507</c:v>
                </c:pt>
                <c:pt idx="9">
                  <c:v>0.52928249422548146</c:v>
                </c:pt>
                <c:pt idx="10">
                  <c:v>0.45124288763545489</c:v>
                </c:pt>
                <c:pt idx="11">
                  <c:v>0.30925419491891554</c:v>
                </c:pt>
                <c:pt idx="12">
                  <c:v>0.16743195476307035</c:v>
                </c:pt>
                <c:pt idx="13">
                  <c:v>8.9723539464253071E-2</c:v>
                </c:pt>
                <c:pt idx="14">
                  <c:v>5.3912704352513378E-2</c:v>
                </c:pt>
                <c:pt idx="15">
                  <c:v>3.2760330767113308E-2</c:v>
                </c:pt>
                <c:pt idx="16">
                  <c:v>1.5805541364307039E-2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53-A649-9006-248691A6B086}"/>
            </c:ext>
          </c:extLst>
        </c:ser>
        <c:ser>
          <c:idx val="3"/>
          <c:order val="3"/>
          <c:tx>
            <c:strRef>
              <c:f>'Sheet 1'!$B$24</c:f>
              <c:strCache>
                <c:ptCount val="1"/>
                <c:pt idx="0">
                  <c:v>pp_coal_ccs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1'!$C$24:$AI$24</c:f>
              <c:numCache>
                <c:formatCode>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53-A649-9006-248691A6B086}"/>
            </c:ext>
          </c:extLst>
        </c:ser>
        <c:ser>
          <c:idx val="4"/>
          <c:order val="4"/>
          <c:tx>
            <c:strRef>
              <c:f>'Sheet 1'!$B$25</c:f>
              <c:strCache>
                <c:ptCount val="1"/>
                <c:pt idx="0">
                  <c:v>pp_gas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1'!$C$25:$AI$25</c:f>
              <c:numCache>
                <c:formatCode>0%</c:formatCode>
                <c:ptCount val="33"/>
                <c:pt idx="0">
                  <c:v>9.998898801339956E-2</c:v>
                </c:pt>
                <c:pt idx="1">
                  <c:v>9.9985347830266372E-2</c:v>
                </c:pt>
                <c:pt idx="2">
                  <c:v>9.9980268641973208E-2</c:v>
                </c:pt>
                <c:pt idx="3">
                  <c:v>9.9975030675609269E-2</c:v>
                </c:pt>
                <c:pt idx="4">
                  <c:v>9.9974151554937177E-2</c:v>
                </c:pt>
                <c:pt idx="5">
                  <c:v>9.9974360442864327E-2</c:v>
                </c:pt>
                <c:pt idx="6">
                  <c:v>9.7408796225757474E-2</c:v>
                </c:pt>
                <c:pt idx="7">
                  <c:v>9.4660783303405494E-2</c:v>
                </c:pt>
                <c:pt idx="8">
                  <c:v>9.1197903256397608E-2</c:v>
                </c:pt>
                <c:pt idx="9">
                  <c:v>8.5368144229916343E-2</c:v>
                </c:pt>
                <c:pt idx="10">
                  <c:v>7.2781110908944333E-2</c:v>
                </c:pt>
                <c:pt idx="11">
                  <c:v>4.9879708857889594E-2</c:v>
                </c:pt>
                <c:pt idx="12">
                  <c:v>2.7005153994043605E-2</c:v>
                </c:pt>
                <c:pt idx="13">
                  <c:v>1.4471538623266616E-2</c:v>
                </c:pt>
                <c:pt idx="14">
                  <c:v>8.6955974762118401E-3</c:v>
                </c:pt>
                <c:pt idx="15">
                  <c:v>5.2839243172763412E-3</c:v>
                </c:pt>
                <c:pt idx="16">
                  <c:v>2.5492808652108163E-3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53-A649-9006-248691A6B086}"/>
            </c:ext>
          </c:extLst>
        </c:ser>
        <c:ser>
          <c:idx val="5"/>
          <c:order val="5"/>
          <c:tx>
            <c:strRef>
              <c:f>'Sheet 1'!$B$26</c:f>
              <c:strCache>
                <c:ptCount val="1"/>
                <c:pt idx="0">
                  <c:v>pp_gas_ccs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1'!$C$26:$AI$26</c:f>
              <c:numCache>
                <c:formatCode>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53-A649-9006-248691A6B086}"/>
            </c:ext>
          </c:extLst>
        </c:ser>
        <c:ser>
          <c:idx val="6"/>
          <c:order val="6"/>
          <c:tx>
            <c:strRef>
              <c:f>'Sheet 1'!$B$27</c:f>
              <c:strCache>
                <c:ptCount val="1"/>
                <c:pt idx="0">
                  <c:v>pp_geothermal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1'!$C$27:$AI$27</c:f>
              <c:numCache>
                <c:formatCode>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53-A649-9006-248691A6B086}"/>
            </c:ext>
          </c:extLst>
        </c:ser>
        <c:ser>
          <c:idx val="7"/>
          <c:order val="7"/>
          <c:tx>
            <c:strRef>
              <c:f>'Sheet 1'!$B$28</c:f>
              <c:strCache>
                <c:ptCount val="1"/>
                <c:pt idx="0">
                  <c:v>pp_hydropower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1'!$C$28:$AI$28</c:f>
              <c:numCache>
                <c:formatCode>0%</c:formatCode>
                <c:ptCount val="33"/>
                <c:pt idx="0">
                  <c:v>1.9997797602679907E-2</c:v>
                </c:pt>
                <c:pt idx="1">
                  <c:v>1.9997069566053269E-2</c:v>
                </c:pt>
                <c:pt idx="2">
                  <c:v>1.9996053728394639E-2</c:v>
                </c:pt>
                <c:pt idx="3">
                  <c:v>1.9995006135121854E-2</c:v>
                </c:pt>
                <c:pt idx="4">
                  <c:v>1.9994830310987432E-2</c:v>
                </c:pt>
                <c:pt idx="5">
                  <c:v>1.9994872088572865E-2</c:v>
                </c:pt>
                <c:pt idx="6">
                  <c:v>1.9481759245151487E-2</c:v>
                </c:pt>
                <c:pt idx="7">
                  <c:v>1.8932156660681099E-2</c:v>
                </c:pt>
                <c:pt idx="8">
                  <c:v>1.8239580651279525E-2</c:v>
                </c:pt>
                <c:pt idx="9">
                  <c:v>1.7073628845983277E-2</c:v>
                </c:pt>
                <c:pt idx="10">
                  <c:v>2.1842054744095989E-2</c:v>
                </c:pt>
                <c:pt idx="11">
                  <c:v>1.9957353115288998E-2</c:v>
                </c:pt>
                <c:pt idx="12">
                  <c:v>1.5410036223740842E-2</c:v>
                </c:pt>
                <c:pt idx="13">
                  <c:v>1.3039012130865371E-2</c:v>
                </c:pt>
                <c:pt idx="14">
                  <c:v>1.199768061545689E-2</c:v>
                </c:pt>
                <c:pt idx="15">
                  <c:v>1.1534976043437749E-2</c:v>
                </c:pt>
                <c:pt idx="16">
                  <c:v>1.0244961203618124E-2</c:v>
                </c:pt>
                <c:pt idx="17">
                  <c:v>3.9500972888071679E-3</c:v>
                </c:pt>
                <c:pt idx="18">
                  <c:v>4.0815936134633718E-3</c:v>
                </c:pt>
                <c:pt idx="19">
                  <c:v>3.9638128568973375E-3</c:v>
                </c:pt>
                <c:pt idx="20">
                  <c:v>3.9063957656057281E-3</c:v>
                </c:pt>
                <c:pt idx="21">
                  <c:v>3.6251153100840365E-3</c:v>
                </c:pt>
                <c:pt idx="22">
                  <c:v>3.6075738242202652E-3</c:v>
                </c:pt>
                <c:pt idx="23">
                  <c:v>3.7126709370698947E-3</c:v>
                </c:pt>
                <c:pt idx="24">
                  <c:v>3.7497061891518251E-3</c:v>
                </c:pt>
                <c:pt idx="25">
                  <c:v>3.7173078140479896E-3</c:v>
                </c:pt>
                <c:pt idx="26">
                  <c:v>3.9060397206658296E-3</c:v>
                </c:pt>
                <c:pt idx="27">
                  <c:v>4.3805063643927037E-3</c:v>
                </c:pt>
                <c:pt idx="28">
                  <c:v>4.3878300479064493E-3</c:v>
                </c:pt>
                <c:pt idx="29">
                  <c:v>4.3886240060810079E-3</c:v>
                </c:pt>
                <c:pt idx="30">
                  <c:v>4.3841991697854011E-3</c:v>
                </c:pt>
                <c:pt idx="31">
                  <c:v>4.3735935722566989E-3</c:v>
                </c:pt>
                <c:pt idx="32">
                  <c:v>4.3593260965051469E-3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53-A649-9006-248691A6B086}"/>
            </c:ext>
          </c:extLst>
        </c:ser>
        <c:ser>
          <c:idx val="8"/>
          <c:order val="8"/>
          <c:tx>
            <c:strRef>
              <c:f>'Sheet 1'!$B$29</c:f>
              <c:strCache>
                <c:ptCount val="1"/>
                <c:pt idx="0">
                  <c:v>pp_nuclear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1'!$C$29:$AI$29</c:f>
              <c:numCache>
                <c:formatCode>0%</c:formatCode>
                <c:ptCount val="33"/>
                <c:pt idx="0">
                  <c:v>9.9988988013399536E-3</c:v>
                </c:pt>
                <c:pt idx="1">
                  <c:v>9.9985347830266347E-3</c:v>
                </c:pt>
                <c:pt idx="2">
                  <c:v>9.998026864197318E-3</c:v>
                </c:pt>
                <c:pt idx="3">
                  <c:v>9.9975030675609269E-3</c:v>
                </c:pt>
                <c:pt idx="4">
                  <c:v>9.9974151554937159E-3</c:v>
                </c:pt>
                <c:pt idx="5">
                  <c:v>9.9974360442864323E-3</c:v>
                </c:pt>
                <c:pt idx="6">
                  <c:v>1.0325029905114068E-2</c:v>
                </c:pt>
                <c:pt idx="7">
                  <c:v>9.9972384226399407E-3</c:v>
                </c:pt>
                <c:pt idx="8">
                  <c:v>9.9928002729384492E-3</c:v>
                </c:pt>
                <c:pt idx="9">
                  <c:v>9.9877794855922093E-3</c:v>
                </c:pt>
                <c:pt idx="10">
                  <c:v>9.9821725476201394E-3</c:v>
                </c:pt>
                <c:pt idx="11">
                  <c:v>9.9759417715779165E-3</c:v>
                </c:pt>
                <c:pt idx="12">
                  <c:v>9.9690821069582276E-3</c:v>
                </c:pt>
                <c:pt idx="13">
                  <c:v>9.9615449270267047E-3</c:v>
                </c:pt>
                <c:pt idx="14">
                  <c:v>9.9533079895048424E-3</c:v>
                </c:pt>
                <c:pt idx="15">
                  <c:v>9.9451468536196942E-3</c:v>
                </c:pt>
                <c:pt idx="16">
                  <c:v>1.0951449530657983E-2</c:v>
                </c:pt>
                <c:pt idx="17">
                  <c:v>1.7060646695275187E-2</c:v>
                </c:pt>
                <c:pt idx="18">
                  <c:v>1.6970191807184964E-2</c:v>
                </c:pt>
                <c:pt idx="19">
                  <c:v>1.6855336766457386E-2</c:v>
                </c:pt>
                <c:pt idx="20">
                  <c:v>1.67612862062217E-2</c:v>
                </c:pt>
                <c:pt idx="21">
                  <c:v>1.6711017638927888E-2</c:v>
                </c:pt>
                <c:pt idx="22">
                  <c:v>1.6695729593336157E-2</c:v>
                </c:pt>
                <c:pt idx="23">
                  <c:v>1.6699696014859888E-2</c:v>
                </c:pt>
                <c:pt idx="24">
                  <c:v>1.671251805500678E-2</c:v>
                </c:pt>
                <c:pt idx="25">
                  <c:v>1.6727022312077747E-2</c:v>
                </c:pt>
                <c:pt idx="26">
                  <c:v>1.6743259268215065E-2</c:v>
                </c:pt>
                <c:pt idx="27">
                  <c:v>1.6765636761109766E-2</c:v>
                </c:pt>
                <c:pt idx="28">
                  <c:v>1.6780100644370712E-2</c:v>
                </c:pt>
                <c:pt idx="29">
                  <c:v>1.6796597394742433E-2</c:v>
                </c:pt>
                <c:pt idx="30">
                  <c:v>1.6815210980901725E-2</c:v>
                </c:pt>
                <c:pt idx="31">
                  <c:v>1.6834584589146311E-2</c:v>
                </c:pt>
                <c:pt idx="32">
                  <c:v>1.685602094203335E-2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53-A649-9006-248691A6B086}"/>
            </c:ext>
          </c:extLst>
        </c:ser>
        <c:ser>
          <c:idx val="9"/>
          <c:order val="9"/>
          <c:tx>
            <c:strRef>
              <c:f>'Sheet 1'!$B$30</c:f>
              <c:strCache>
                <c:ptCount val="1"/>
                <c:pt idx="0">
                  <c:v>pp_ocean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1'!$C$30:$AI$30</c:f>
              <c:numCache>
                <c:formatCode>0%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053-A649-9006-248691A6B086}"/>
            </c:ext>
          </c:extLst>
        </c:ser>
        <c:ser>
          <c:idx val="10"/>
          <c:order val="10"/>
          <c:tx>
            <c:strRef>
              <c:f>'Sheet 1'!$B$31</c:f>
              <c:strCache>
                <c:ptCount val="1"/>
                <c:pt idx="0">
                  <c:v>pp_oil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1'!$C$31:$AI$31</c:f>
              <c:numCache>
                <c:formatCode>0%</c:formatCode>
                <c:ptCount val="33"/>
                <c:pt idx="0">
                  <c:v>4.9994494006699773E-2</c:v>
                </c:pt>
                <c:pt idx="1">
                  <c:v>4.9992673915133186E-2</c:v>
                </c:pt>
                <c:pt idx="2">
                  <c:v>4.9990134320986611E-2</c:v>
                </c:pt>
                <c:pt idx="3">
                  <c:v>4.9987515337804635E-2</c:v>
                </c:pt>
                <c:pt idx="4">
                  <c:v>4.9987075777468588E-2</c:v>
                </c:pt>
                <c:pt idx="5">
                  <c:v>4.9987180221432163E-2</c:v>
                </c:pt>
                <c:pt idx="6">
                  <c:v>4.8704398112878737E-2</c:v>
                </c:pt>
                <c:pt idx="7">
                  <c:v>4.7330391651702747E-2</c:v>
                </c:pt>
                <c:pt idx="8">
                  <c:v>4.5598951628198804E-2</c:v>
                </c:pt>
                <c:pt idx="9">
                  <c:v>4.2684072114958171E-2</c:v>
                </c:pt>
                <c:pt idx="10">
                  <c:v>3.6390555454472159E-2</c:v>
                </c:pt>
                <c:pt idx="11">
                  <c:v>2.4939854428944797E-2</c:v>
                </c:pt>
                <c:pt idx="12">
                  <c:v>1.3502576997021802E-2</c:v>
                </c:pt>
                <c:pt idx="13">
                  <c:v>7.2357693116333072E-3</c:v>
                </c:pt>
                <c:pt idx="14">
                  <c:v>4.3477987381059201E-3</c:v>
                </c:pt>
                <c:pt idx="15">
                  <c:v>2.6419621586381706E-3</c:v>
                </c:pt>
                <c:pt idx="16">
                  <c:v>1.2746404326054079E-3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53-A649-9006-248691A6B086}"/>
            </c:ext>
          </c:extLst>
        </c:ser>
        <c:ser>
          <c:idx val="11"/>
          <c:order val="11"/>
          <c:tx>
            <c:strRef>
              <c:f>'Sheet 1'!$B$32</c:f>
              <c:strCache>
                <c:ptCount val="1"/>
                <c:pt idx="0">
                  <c:v>pp_solar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1'!$C$32:$AI$32</c:f>
              <c:numCache>
                <c:formatCode>0%</c:formatCode>
                <c:ptCount val="33"/>
                <c:pt idx="0">
                  <c:v>4.4492980001426166E-2</c:v>
                </c:pt>
                <c:pt idx="1">
                  <c:v>3.9994139132106539E-2</c:v>
                </c:pt>
                <c:pt idx="2">
                  <c:v>4.5475312127821327E-2</c:v>
                </c:pt>
                <c:pt idx="3">
                  <c:v>4.3964179154241563E-2</c:v>
                </c:pt>
                <c:pt idx="4">
                  <c:v>4.3166706947389021E-2</c:v>
                </c:pt>
                <c:pt idx="5">
                  <c:v>4.0273269081644768E-2</c:v>
                </c:pt>
                <c:pt idx="6">
                  <c:v>5.1531356263250727E-2</c:v>
                </c:pt>
                <c:pt idx="7">
                  <c:v>6.3891157844032362E-2</c:v>
                </c:pt>
                <c:pt idx="8">
                  <c:v>7.9256648720194792E-2</c:v>
                </c:pt>
                <c:pt idx="9">
                  <c:v>0.10524454575939471</c:v>
                </c:pt>
                <c:pt idx="10">
                  <c:v>0.16161145574313734</c:v>
                </c:pt>
                <c:pt idx="11">
                  <c:v>0.26436245694681482</c:v>
                </c:pt>
                <c:pt idx="12">
                  <c:v>0.36696183026775692</c:v>
                </c:pt>
                <c:pt idx="13">
                  <c:v>0.42299377761960899</c:v>
                </c:pt>
                <c:pt idx="14">
                  <c:v>0.44858190284278404</c:v>
                </c:pt>
                <c:pt idx="15">
                  <c:v>0.46353453639962144</c:v>
                </c:pt>
                <c:pt idx="16">
                  <c:v>0.47542274485131319</c:v>
                </c:pt>
                <c:pt idx="17">
                  <c:v>0.4864696766523624</c:v>
                </c:pt>
                <c:pt idx="18">
                  <c:v>0.48651490409640752</c:v>
                </c:pt>
                <c:pt idx="19">
                  <c:v>0.48657233161677133</c:v>
                </c:pt>
                <c:pt idx="20">
                  <c:v>0.48661935689688912</c:v>
                </c:pt>
                <c:pt idx="21">
                  <c:v>0.4866444911805361</c:v>
                </c:pt>
                <c:pt idx="22">
                  <c:v>0.48665213520333211</c:v>
                </c:pt>
                <c:pt idx="23">
                  <c:v>0.48665015199256983</c:v>
                </c:pt>
                <c:pt idx="24">
                  <c:v>0.48664374097249607</c:v>
                </c:pt>
                <c:pt idx="25">
                  <c:v>0.48663648884396082</c:v>
                </c:pt>
                <c:pt idx="26">
                  <c:v>0.48662837036589224</c:v>
                </c:pt>
                <c:pt idx="27">
                  <c:v>0.48661718161944523</c:v>
                </c:pt>
                <c:pt idx="28">
                  <c:v>0.48660994967781462</c:v>
                </c:pt>
                <c:pt idx="29">
                  <c:v>0.48660170130262881</c:v>
                </c:pt>
                <c:pt idx="30">
                  <c:v>0.48659239450954972</c:v>
                </c:pt>
                <c:pt idx="31">
                  <c:v>0.48658270770542672</c:v>
                </c:pt>
                <c:pt idx="32">
                  <c:v>0.48657198952898351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053-A649-9006-248691A6B086}"/>
            </c:ext>
          </c:extLst>
        </c:ser>
        <c:ser>
          <c:idx val="12"/>
          <c:order val="12"/>
          <c:tx>
            <c:strRef>
              <c:f>'Sheet 1'!$B$33</c:f>
              <c:strCache>
                <c:ptCount val="1"/>
                <c:pt idx="0">
                  <c:v>pp_waste_incineration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1'!$C$33:$AI$33</c:f>
              <c:numCache>
                <c:formatCode>0%</c:formatCode>
                <c:ptCount val="33"/>
                <c:pt idx="0">
                  <c:v>9.3122495689798297E-5</c:v>
                </c:pt>
                <c:pt idx="1">
                  <c:v>1.2398569416734612E-4</c:v>
                </c:pt>
                <c:pt idx="2">
                  <c:v>1.6640448014986538E-4</c:v>
                </c:pt>
                <c:pt idx="3">
                  <c:v>2.0282593389894614E-4</c:v>
                </c:pt>
                <c:pt idx="4">
                  <c:v>1.9992874212647829E-4</c:v>
                </c:pt>
                <c:pt idx="5">
                  <c:v>1.8725577810165583E-4</c:v>
                </c:pt>
                <c:pt idx="6">
                  <c:v>1.7967655283402734E-4</c:v>
                </c:pt>
                <c:pt idx="7">
                  <c:v>1.7450325909927839E-4</c:v>
                </c:pt>
                <c:pt idx="8">
                  <c:v>1.718646540400962E-4</c:v>
                </c:pt>
                <c:pt idx="9">
                  <c:v>1.7007841861051338E-4</c:v>
                </c:pt>
                <c:pt idx="10">
                  <c:v>1.685245028008046E-4</c:v>
                </c:pt>
                <c:pt idx="11">
                  <c:v>1.6761922541993891E-4</c:v>
                </c:pt>
                <c:pt idx="12">
                  <c:v>1.6562964196434839E-4</c:v>
                </c:pt>
                <c:pt idx="13">
                  <c:v>1.6009692141217299E-4</c:v>
                </c:pt>
                <c:pt idx="14">
                  <c:v>1.5770451347423264E-4</c:v>
                </c:pt>
                <c:pt idx="15">
                  <c:v>1.5088641314288753E-4</c:v>
                </c:pt>
                <c:pt idx="16">
                  <c:v>1.4410981342192895E-4</c:v>
                </c:pt>
                <c:pt idx="17">
                  <c:v>1.3680215660093691E-4</c:v>
                </c:pt>
                <c:pt idx="18">
                  <c:v>1.3285456216548223E-4</c:v>
                </c:pt>
                <c:pt idx="19">
                  <c:v>1.288485289973512E-4</c:v>
                </c:pt>
                <c:pt idx="20">
                  <c:v>1.2549464603556107E-4</c:v>
                </c:pt>
                <c:pt idx="21">
                  <c:v>1.2295006677160765E-4</c:v>
                </c:pt>
                <c:pt idx="22">
                  <c:v>1.2148664789821324E-4</c:v>
                </c:pt>
                <c:pt idx="23">
                  <c:v>1.1925232080849559E-4</c:v>
                </c:pt>
                <c:pt idx="24">
                  <c:v>1.183470924815608E-4</c:v>
                </c:pt>
                <c:pt idx="25">
                  <c:v>1.1917420768397284E-4</c:v>
                </c:pt>
                <c:pt idx="26">
                  <c:v>1.1884659991109081E-4</c:v>
                </c:pt>
                <c:pt idx="27">
                  <c:v>1.1869183328118177E-4</c:v>
                </c:pt>
                <c:pt idx="28">
                  <c:v>1.1850706151478744E-4</c:v>
                </c:pt>
                <c:pt idx="29">
                  <c:v>1.1847389827941354E-4</c:v>
                </c:pt>
                <c:pt idx="30">
                  <c:v>1.1856420460741094E-4</c:v>
                </c:pt>
                <c:pt idx="31">
                  <c:v>1.1879611941384648E-4</c:v>
                </c:pt>
                <c:pt idx="32">
                  <c:v>1.1911797570247534E-4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053-A649-9006-248691A6B086}"/>
            </c:ext>
          </c:extLst>
        </c:ser>
        <c:ser>
          <c:idx val="13"/>
          <c:order val="13"/>
          <c:tx>
            <c:strRef>
              <c:f>'Sheet 1'!$B$34</c:f>
              <c:strCache>
                <c:ptCount val="1"/>
                <c:pt idx="0">
                  <c:v>pp_wind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'Sheet 1'!$C$3:$AI$4</c15:sqref>
                  </c15:fullRef>
                  <c15:levelRef>
                    <c15:sqref>'Sheet 1'!$C$3:$AI$3</c15:sqref>
                  </c15:levelRef>
                </c:ext>
              </c:extLst>
              <c:f>'Sheet 1'!$C$3:$AI$3</c:f>
              <c:strCache>
                <c:ptCount val="33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  <c:pt idx="8">
                  <c:v>2026</c:v>
                </c:pt>
                <c:pt idx="9">
                  <c:v>2027</c:v>
                </c:pt>
                <c:pt idx="10">
                  <c:v>2028</c:v>
                </c:pt>
                <c:pt idx="11">
                  <c:v>2029</c:v>
                </c:pt>
                <c:pt idx="12">
                  <c:v>2030</c:v>
                </c:pt>
                <c:pt idx="13">
                  <c:v>2031</c:v>
                </c:pt>
                <c:pt idx="14">
                  <c:v>2032</c:v>
                </c:pt>
                <c:pt idx="15">
                  <c:v>2033</c:v>
                </c:pt>
                <c:pt idx="16">
                  <c:v>2034</c:v>
                </c:pt>
                <c:pt idx="17">
                  <c:v>2035</c:v>
                </c:pt>
                <c:pt idx="18">
                  <c:v>2036</c:v>
                </c:pt>
                <c:pt idx="19">
                  <c:v>2037</c:v>
                </c:pt>
                <c:pt idx="20">
                  <c:v>2038</c:v>
                </c:pt>
                <c:pt idx="21">
                  <c:v>2039</c:v>
                </c:pt>
                <c:pt idx="22">
                  <c:v>2040</c:v>
                </c:pt>
                <c:pt idx="23">
                  <c:v>2041</c:v>
                </c:pt>
                <c:pt idx="24">
                  <c:v>2042</c:v>
                </c:pt>
                <c:pt idx="25">
                  <c:v>2043</c:v>
                </c:pt>
                <c:pt idx="26">
                  <c:v>2044</c:v>
                </c:pt>
                <c:pt idx="27">
                  <c:v>2045</c:v>
                </c:pt>
                <c:pt idx="28">
                  <c:v>2046</c:v>
                </c:pt>
                <c:pt idx="29">
                  <c:v>2047</c:v>
                </c:pt>
                <c:pt idx="30">
                  <c:v>2048</c:v>
                </c:pt>
                <c:pt idx="31">
                  <c:v>2049</c:v>
                </c:pt>
                <c:pt idx="32">
                  <c:v>2050</c:v>
                </c:pt>
              </c:strCache>
            </c:strRef>
          </c:cat>
          <c:val>
            <c:numRef>
              <c:f>'Sheet 1'!$C$34:$AI$34</c:f>
              <c:numCache>
                <c:formatCode>0%</c:formatCode>
                <c:ptCount val="33"/>
                <c:pt idx="0">
                  <c:v>0.15255874175156742</c:v>
                </c:pt>
                <c:pt idx="1">
                  <c:v>0.15559904500815672</c:v>
                </c:pt>
                <c:pt idx="2">
                  <c:v>0.15370090834901476</c:v>
                </c:pt>
                <c:pt idx="3">
                  <c:v>0.14996254601341391</c:v>
                </c:pt>
                <c:pt idx="4">
                  <c:v>0.14996122733240577</c:v>
                </c:pt>
                <c:pt idx="5">
                  <c:v>0.14996154066429646</c:v>
                </c:pt>
                <c:pt idx="6">
                  <c:v>0.15897256938986107</c:v>
                </c:pt>
                <c:pt idx="7">
                  <c:v>0.16975410633547741</c:v>
                </c:pt>
                <c:pt idx="8">
                  <c:v>0.17957434230223218</c:v>
                </c:pt>
                <c:pt idx="9">
                  <c:v>0.20467721015915583</c:v>
                </c:pt>
                <c:pt idx="10">
                  <c:v>0.24167067774297613</c:v>
                </c:pt>
                <c:pt idx="11">
                  <c:v>0.31923013669049338</c:v>
                </c:pt>
                <c:pt idx="12">
                  <c:v>0.3966674996612049</c:v>
                </c:pt>
                <c:pt idx="13">
                  <c:v>0.43891247010520212</c:v>
                </c:pt>
                <c:pt idx="14">
                  <c:v>0.45814706006661715</c:v>
                </c:pt>
                <c:pt idx="15">
                  <c:v>0.46934685314862551</c:v>
                </c:pt>
                <c:pt idx="16">
                  <c:v>0.47822695380304509</c:v>
                </c:pt>
                <c:pt idx="17">
                  <c:v>0.4864696766523624</c:v>
                </c:pt>
                <c:pt idx="18">
                  <c:v>0.48651490409640752</c:v>
                </c:pt>
                <c:pt idx="19">
                  <c:v>0.48657233161677133</c:v>
                </c:pt>
                <c:pt idx="20">
                  <c:v>0.48661935689688912</c:v>
                </c:pt>
                <c:pt idx="21">
                  <c:v>0.4866444911805361</c:v>
                </c:pt>
                <c:pt idx="22">
                  <c:v>0.48665213520333211</c:v>
                </c:pt>
                <c:pt idx="23">
                  <c:v>0.48665015199256983</c:v>
                </c:pt>
                <c:pt idx="24">
                  <c:v>0.48664374097249607</c:v>
                </c:pt>
                <c:pt idx="25">
                  <c:v>0.48663648884396082</c:v>
                </c:pt>
                <c:pt idx="26">
                  <c:v>0.48662837036589224</c:v>
                </c:pt>
                <c:pt idx="27">
                  <c:v>0.48661718161944523</c:v>
                </c:pt>
                <c:pt idx="28">
                  <c:v>0.48660994967781462</c:v>
                </c:pt>
                <c:pt idx="29">
                  <c:v>0.48660170130262881</c:v>
                </c:pt>
                <c:pt idx="30">
                  <c:v>0.48659239450954972</c:v>
                </c:pt>
                <c:pt idx="31">
                  <c:v>0.48658270770542672</c:v>
                </c:pt>
                <c:pt idx="32">
                  <c:v>0.48657198952898351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053-A649-9006-248691A6B0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6350079"/>
        <c:axId val="786364415"/>
      </c:barChart>
      <c:catAx>
        <c:axId val="786350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786364415"/>
        <c:crosses val="autoZero"/>
        <c:auto val="1"/>
        <c:lblAlgn val="ctr"/>
        <c:lblOffset val="100"/>
        <c:noMultiLvlLbl val="0"/>
      </c:catAx>
      <c:valAx>
        <c:axId val="78636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MX"/>
          </a:p>
        </c:txPr>
        <c:crossAx val="7863500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7055</xdr:colOff>
      <xdr:row>2</xdr:row>
      <xdr:rowOff>4231</xdr:rowOff>
    </xdr:from>
    <xdr:to>
      <xdr:col>53</xdr:col>
      <xdr:colOff>517408</xdr:colOff>
      <xdr:row>35</xdr:row>
      <xdr:rowOff>94074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C46836-8A0D-3DA5-A9FA-363F99DE8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50"/>
  <sheetViews>
    <sheetView zoomScale="75" workbookViewId="0"/>
  </sheetViews>
  <sheetFormatPr baseColWidth="10" defaultColWidth="8.83203125" defaultRowHeight="15" x14ac:dyDescent="0.2"/>
  <cols>
    <col min="2" max="2" width="57.33203125" bestFit="1" customWidth="1"/>
  </cols>
  <sheetData>
    <row r="2" spans="1:35" x14ac:dyDescent="0.2">
      <c r="C2" s="15" t="s">
        <v>48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</row>
    <row r="3" spans="1:35" ht="15" customHeight="1" x14ac:dyDescent="0.2"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24</v>
      </c>
      <c r="M3" s="2" t="s">
        <v>25</v>
      </c>
      <c r="N3" s="2" t="s">
        <v>26</v>
      </c>
      <c r="O3" s="2" t="s">
        <v>27</v>
      </c>
      <c r="P3" s="2" t="s">
        <v>28</v>
      </c>
      <c r="Q3" s="2" t="s">
        <v>29</v>
      </c>
      <c r="R3" s="2" t="s">
        <v>30</v>
      </c>
      <c r="S3" s="2" t="s">
        <v>31</v>
      </c>
      <c r="T3" s="2" t="s">
        <v>32</v>
      </c>
      <c r="U3" s="2" t="s">
        <v>33</v>
      </c>
      <c r="V3" s="2" t="s">
        <v>34</v>
      </c>
      <c r="W3" s="2" t="s">
        <v>35</v>
      </c>
      <c r="X3" s="2" t="s">
        <v>36</v>
      </c>
      <c r="Y3" s="2" t="s">
        <v>37</v>
      </c>
      <c r="Z3" s="2" t="s">
        <v>38</v>
      </c>
      <c r="AA3" s="2" t="s">
        <v>39</v>
      </c>
      <c r="AB3" s="2" t="s">
        <v>40</v>
      </c>
      <c r="AC3" s="2" t="s">
        <v>41</v>
      </c>
      <c r="AD3" s="2" t="s">
        <v>42</v>
      </c>
      <c r="AE3" s="2" t="s">
        <v>43</v>
      </c>
      <c r="AF3" s="2" t="s">
        <v>44</v>
      </c>
      <c r="AG3" s="2" t="s">
        <v>45</v>
      </c>
      <c r="AH3" s="2" t="s">
        <v>46</v>
      </c>
      <c r="AI3" s="2" t="s">
        <v>47</v>
      </c>
    </row>
    <row r="4" spans="1:35" ht="15" customHeight="1" x14ac:dyDescent="0.2">
      <c r="C4" s="14" t="s">
        <v>49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</row>
    <row r="5" spans="1:35" x14ac:dyDescent="0.2">
      <c r="A5" s="13" t="s">
        <v>14</v>
      </c>
      <c r="B5" s="1" t="s">
        <v>0</v>
      </c>
      <c r="C5" s="3">
        <v>2.4163870781619E-3</v>
      </c>
      <c r="D5" s="3">
        <v>3.6809685470531998E-3</v>
      </c>
      <c r="E5" s="3">
        <v>4.8543447822632004E-3</v>
      </c>
      <c r="F5" s="3">
        <v>7.8254434236433995E-3</v>
      </c>
      <c r="G5" s="3">
        <v>9.9302838965178008E-3</v>
      </c>
      <c r="H5" s="3">
        <v>1.24120420680678E-2</v>
      </c>
      <c r="I5" s="3">
        <v>1.5725313083043702E-2</v>
      </c>
      <c r="J5" s="3">
        <v>1.9704928322896598E-2</v>
      </c>
      <c r="K5" s="3">
        <v>0.1076046231570449</v>
      </c>
      <c r="L5" s="3">
        <v>0.20851417234972189</v>
      </c>
      <c r="M5" s="3">
        <v>0.3230517928330458</v>
      </c>
      <c r="N5" s="3">
        <v>0.4521489855656417</v>
      </c>
      <c r="O5" s="3">
        <v>0.59679496092849549</v>
      </c>
      <c r="P5" s="3">
        <v>0.75820620410604422</v>
      </c>
      <c r="Q5" s="3">
        <v>0.93768117327240363</v>
      </c>
      <c r="R5" s="3">
        <v>1.1365476795021516</v>
      </c>
      <c r="S5" s="3">
        <v>1.356143869048458</v>
      </c>
      <c r="T5" s="3">
        <v>1.5978167904906069</v>
      </c>
      <c r="U5" s="3">
        <v>1.6392188158825671</v>
      </c>
      <c r="V5" s="3">
        <v>1.6811517267764799</v>
      </c>
      <c r="W5" s="3">
        <v>1.7236259999826009</v>
      </c>
      <c r="X5" s="3">
        <v>1.7666469277568535</v>
      </c>
      <c r="Y5" s="3">
        <v>1.810216208841064</v>
      </c>
      <c r="Z5" s="3">
        <v>1.8547672739646217</v>
      </c>
      <c r="AA5" s="3">
        <v>1.9003338564704748</v>
      </c>
      <c r="AB5" s="3">
        <v>1.9462041750947967</v>
      </c>
      <c r="AC5" s="3">
        <v>1.993170349409908</v>
      </c>
      <c r="AD5" s="3">
        <v>2.0412691539882037</v>
      </c>
      <c r="AE5" s="3">
        <v>2.0905389347218297</v>
      </c>
      <c r="AF5" s="3">
        <v>2.1410154551383451</v>
      </c>
      <c r="AG5" s="3">
        <v>2.1927380163968517</v>
      </c>
      <c r="AH5" s="3">
        <v>2.2457376221981167</v>
      </c>
      <c r="AI5" s="3">
        <v>2.300064493232119</v>
      </c>
    </row>
    <row r="6" spans="1:35" x14ac:dyDescent="0.2">
      <c r="A6" s="13"/>
      <c r="B6" s="1" t="s">
        <v>1</v>
      </c>
      <c r="C6" s="3">
        <v>0.4160033513152594</v>
      </c>
      <c r="D6" s="3">
        <v>0.71501064764407285</v>
      </c>
      <c r="E6" s="3">
        <v>0.1231787462455643</v>
      </c>
      <c r="F6" s="3">
        <v>1.005717557001137</v>
      </c>
      <c r="G6" s="3">
        <v>1.1566455345552136</v>
      </c>
      <c r="H6" s="3">
        <v>1.7438506543675405</v>
      </c>
      <c r="I6" s="3">
        <v>1.7617465652563455</v>
      </c>
      <c r="J6" s="3">
        <v>1.6013237391193091</v>
      </c>
      <c r="K6" s="3">
        <v>1.9630532062710517</v>
      </c>
      <c r="L6" s="3">
        <v>0.88435480940793898</v>
      </c>
      <c r="M6" s="3">
        <v>0.54062933696803483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7.6619459085776706E-2</v>
      </c>
      <c r="W6" s="3">
        <v>0.13381876695588371</v>
      </c>
      <c r="X6" s="3">
        <v>0.25679428314573949</v>
      </c>
      <c r="Y6" s="3">
        <v>0.28264012446981729</v>
      </c>
      <c r="Z6" s="3">
        <v>0.28264012446981729</v>
      </c>
      <c r="AA6" s="3">
        <v>0.28264012446981729</v>
      </c>
      <c r="AB6" s="3">
        <v>0.28264012446981729</v>
      </c>
      <c r="AC6" s="3">
        <v>0.2233765571483132</v>
      </c>
      <c r="AD6" s="3">
        <v>4.9308748737696001E-2</v>
      </c>
      <c r="AE6" s="3">
        <v>4.9308748737696001E-2</v>
      </c>
      <c r="AF6" s="3">
        <v>4.9308748737696001E-2</v>
      </c>
      <c r="AG6" s="3">
        <v>4.9308748737696001E-2</v>
      </c>
      <c r="AH6" s="3">
        <v>4.9308748737696001E-2</v>
      </c>
      <c r="AI6" s="3">
        <v>4.9308748737696001E-2</v>
      </c>
    </row>
    <row r="7" spans="1:35" x14ac:dyDescent="0.2">
      <c r="A7" s="13"/>
      <c r="B7" s="1" t="s">
        <v>2</v>
      </c>
      <c r="C7" s="3">
        <v>88.130986353238555</v>
      </c>
      <c r="D7" s="3">
        <v>101.2542503774452</v>
      </c>
      <c r="E7" s="3">
        <v>97.353203424520601</v>
      </c>
      <c r="F7" s="3">
        <v>103.49566608897024</v>
      </c>
      <c r="G7" s="3">
        <v>105.11672973364176</v>
      </c>
      <c r="H7" s="3">
        <v>111.27445768141884</v>
      </c>
      <c r="I7" s="3">
        <v>113.45281439696528</v>
      </c>
      <c r="J7" s="3">
        <v>113.7628475928859</v>
      </c>
      <c r="K7" s="3">
        <v>111.07257636706848</v>
      </c>
      <c r="L7" s="3">
        <v>104.9404051919022</v>
      </c>
      <c r="M7" s="3">
        <v>90.412823824610385</v>
      </c>
      <c r="N7" s="3">
        <v>62.626791959051936</v>
      </c>
      <c r="O7" s="3">
        <v>34.620361946608661</v>
      </c>
      <c r="P7" s="3">
        <v>19.424349163458057</v>
      </c>
      <c r="Q7" s="3">
        <v>12.01854552864752</v>
      </c>
      <c r="R7" s="3">
        <v>7.7547804341420461</v>
      </c>
      <c r="S7" s="3">
        <v>3.983888587459544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</row>
    <row r="8" spans="1:35" x14ac:dyDescent="0.2">
      <c r="A8" s="13"/>
      <c r="B8" s="1" t="s">
        <v>3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 x14ac:dyDescent="0.2">
      <c r="A9" s="13"/>
      <c r="B9" s="1" t="s">
        <v>4</v>
      </c>
      <c r="C9" s="3">
        <v>14.214675218264285</v>
      </c>
      <c r="D9" s="3">
        <v>16.331330706039552</v>
      </c>
      <c r="E9" s="3">
        <v>15.702129584600099</v>
      </c>
      <c r="F9" s="3">
        <v>16.69284936918875</v>
      </c>
      <c r="G9" s="3">
        <v>16.954311247361574</v>
      </c>
      <c r="H9" s="3">
        <v>17.947493174422398</v>
      </c>
      <c r="I9" s="3">
        <v>18.298841031768596</v>
      </c>
      <c r="J9" s="3">
        <v>18.348846385949344</v>
      </c>
      <c r="K9" s="3">
        <v>17.914931672107823</v>
      </c>
      <c r="L9" s="3">
        <v>16.925871805145512</v>
      </c>
      <c r="M9" s="3">
        <v>14.58271352009845</v>
      </c>
      <c r="N9" s="3">
        <v>10.101095477266441</v>
      </c>
      <c r="O9" s="3">
        <v>5.5839293462272037</v>
      </c>
      <c r="P9" s="3">
        <v>3.1329595424932331</v>
      </c>
      <c r="Q9" s="3">
        <v>1.93847508526573</v>
      </c>
      <c r="R9" s="3">
        <v>1.2507710377648464</v>
      </c>
      <c r="S9" s="3">
        <v>0.64256267539670153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</row>
    <row r="10" spans="1:35" x14ac:dyDescent="0.2">
      <c r="A10" s="13"/>
      <c r="B10" s="1" t="s">
        <v>5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</row>
    <row r="11" spans="1:35" x14ac:dyDescent="0.2">
      <c r="A11" s="13"/>
      <c r="B11" s="1" t="s">
        <v>6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</row>
    <row r="12" spans="1:35" x14ac:dyDescent="0.2">
      <c r="A12" s="13"/>
      <c r="B12" s="1" t="s">
        <v>7</v>
      </c>
      <c r="C12" s="3">
        <v>2.8429350436528562</v>
      </c>
      <c r="D12" s="3">
        <v>3.2662661412079093</v>
      </c>
      <c r="E12" s="3">
        <v>3.1404259169200195</v>
      </c>
      <c r="F12" s="3">
        <v>3.3385698738377498</v>
      </c>
      <c r="G12" s="3">
        <v>3.3908622494723142</v>
      </c>
      <c r="H12" s="3">
        <v>3.5894986348844791</v>
      </c>
      <c r="I12" s="3">
        <v>3.6597682063537178</v>
      </c>
      <c r="J12" s="3">
        <v>3.6697692771898689</v>
      </c>
      <c r="K12" s="3">
        <v>3.5829863344215647</v>
      </c>
      <c r="L12" s="3">
        <v>3.3851743610291041</v>
      </c>
      <c r="M12" s="3">
        <v>4.3763611608230537</v>
      </c>
      <c r="N12" s="3">
        <v>4.0415458290945665</v>
      </c>
      <c r="O12" s="3">
        <v>3.1863752198987658</v>
      </c>
      <c r="P12" s="3">
        <v>2.8228302838788668</v>
      </c>
      <c r="Q12" s="3">
        <v>2.674595393549724</v>
      </c>
      <c r="R12" s="3">
        <v>2.7304732411232098</v>
      </c>
      <c r="S12" s="3">
        <v>2.5823085130276069</v>
      </c>
      <c r="T12" s="3">
        <v>1.0673810996205872</v>
      </c>
      <c r="U12" s="3">
        <v>1.1564368020681506</v>
      </c>
      <c r="V12" s="3">
        <v>1.1794610874968012</v>
      </c>
      <c r="W12" s="3">
        <v>1.2157810216099747</v>
      </c>
      <c r="X12" s="3">
        <v>1.173270060365549</v>
      </c>
      <c r="Y12" s="3">
        <v>1.2039876468808699</v>
      </c>
      <c r="Z12" s="3">
        <v>1.2865420876906275</v>
      </c>
      <c r="AA12" s="3">
        <v>1.3348959837779342</v>
      </c>
      <c r="AB12" s="3">
        <v>1.3442485866481293</v>
      </c>
      <c r="AC12" s="3">
        <v>1.4489967428654338</v>
      </c>
      <c r="AD12" s="3">
        <v>1.6648099926591291</v>
      </c>
      <c r="AE12" s="3">
        <v>1.709112508437453</v>
      </c>
      <c r="AF12" s="3">
        <v>1.749987386423941</v>
      </c>
      <c r="AG12" s="3">
        <v>1.7880946802502218</v>
      </c>
      <c r="AH12" s="3">
        <v>1.8224964175071201</v>
      </c>
      <c r="AI12" s="3">
        <v>1.8548547217641604</v>
      </c>
    </row>
    <row r="13" spans="1:35" x14ac:dyDescent="0.2">
      <c r="A13" s="13"/>
      <c r="B13" s="1" t="s">
        <v>8</v>
      </c>
      <c r="C13" s="3">
        <v>1.4214675218264281</v>
      </c>
      <c r="D13" s="3">
        <v>1.6331330706039546</v>
      </c>
      <c r="E13" s="3">
        <v>1.5702129584600095</v>
      </c>
      <c r="F13" s="3">
        <v>1.6692849369188751</v>
      </c>
      <c r="G13" s="3">
        <v>1.6954311247361571</v>
      </c>
      <c r="H13" s="3">
        <v>1.7947493174422395</v>
      </c>
      <c r="I13" s="3">
        <v>1.9396203238571528</v>
      </c>
      <c r="J13" s="3">
        <v>1.9378435894913144</v>
      </c>
      <c r="K13" s="3">
        <v>1.9629873901750508</v>
      </c>
      <c r="L13" s="3">
        <v>1.9802688311450201</v>
      </c>
      <c r="M13" s="3">
        <v>2.0000678850897633</v>
      </c>
      <c r="N13" s="3">
        <v>2.0202190954532875</v>
      </c>
      <c r="O13" s="3">
        <v>2.0613342973074951</v>
      </c>
      <c r="P13" s="3">
        <v>2.1565859753797647</v>
      </c>
      <c r="Q13" s="3">
        <v>2.2188515057664371</v>
      </c>
      <c r="R13" s="3">
        <v>2.3541407680944184</v>
      </c>
      <c r="S13" s="3">
        <v>2.7603834500635189</v>
      </c>
      <c r="T13" s="3">
        <v>4.6100666637859442</v>
      </c>
      <c r="U13" s="3">
        <v>4.8081598028892598</v>
      </c>
      <c r="V13" s="3">
        <v>5.015426951375253</v>
      </c>
      <c r="W13" s="3">
        <v>5.2165870766905158</v>
      </c>
      <c r="X13" s="3">
        <v>5.4085277286090419</v>
      </c>
      <c r="Y13" s="3">
        <v>5.5720140918764969</v>
      </c>
      <c r="Z13" s="3">
        <v>5.7869017047099049</v>
      </c>
      <c r="AA13" s="3">
        <v>5.9496590146149861</v>
      </c>
      <c r="AB13" s="3">
        <v>6.0488066166779788</v>
      </c>
      <c r="AC13" s="3">
        <v>6.2111319596257362</v>
      </c>
      <c r="AD13" s="3">
        <v>6.3717746971150282</v>
      </c>
      <c r="AE13" s="3">
        <v>6.5360507565275698</v>
      </c>
      <c r="AF13" s="3">
        <v>6.6977333977373137</v>
      </c>
      <c r="AG13" s="3">
        <v>6.8580801505209044</v>
      </c>
      <c r="AH13" s="3">
        <v>7.0150482885653389</v>
      </c>
      <c r="AI13" s="3">
        <v>7.1720879196331575</v>
      </c>
    </row>
    <row r="14" spans="1:35" x14ac:dyDescent="0.2">
      <c r="A14" s="13"/>
      <c r="B14" s="1" t="s">
        <v>9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 x14ac:dyDescent="0.2">
      <c r="A15" s="13"/>
      <c r="B15" s="1" t="s">
        <v>10</v>
      </c>
      <c r="C15" s="3">
        <v>7.1073376091321414</v>
      </c>
      <c r="D15" s="3">
        <v>8.1656653530197758</v>
      </c>
      <c r="E15" s="3">
        <v>7.8510647923000505</v>
      </c>
      <c r="F15" s="3">
        <v>8.3464246845943748</v>
      </c>
      <c r="G15" s="3">
        <v>8.4771556236807868</v>
      </c>
      <c r="H15" s="3">
        <v>8.973746587211199</v>
      </c>
      <c r="I15" s="3">
        <v>9.1494205158842981</v>
      </c>
      <c r="J15" s="3">
        <v>9.1744231929746718</v>
      </c>
      <c r="K15" s="3">
        <v>8.9574658360539114</v>
      </c>
      <c r="L15" s="3">
        <v>8.462935902572756</v>
      </c>
      <c r="M15" s="3">
        <v>7.2913567600492231</v>
      </c>
      <c r="N15" s="3">
        <v>5.0505477386332203</v>
      </c>
      <c r="O15" s="3">
        <v>2.7919646731136019</v>
      </c>
      <c r="P15" s="3">
        <v>1.5664797712466163</v>
      </c>
      <c r="Q15" s="3">
        <v>0.96923754263286499</v>
      </c>
      <c r="R15" s="3">
        <v>0.62538551888242322</v>
      </c>
      <c r="S15" s="3">
        <v>0.32128133769835071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</row>
    <row r="16" spans="1:35" x14ac:dyDescent="0.2">
      <c r="A16" s="13"/>
      <c r="B16" s="1" t="s">
        <v>11</v>
      </c>
      <c r="C16" s="3">
        <v>6.3252291355148591</v>
      </c>
      <c r="D16" s="3">
        <v>6.5325322824158185</v>
      </c>
      <c r="E16" s="3">
        <v>7.1420016532283466</v>
      </c>
      <c r="F16" s="3">
        <v>7.3407071275930873</v>
      </c>
      <c r="G16" s="3">
        <v>7.3205100891254924</v>
      </c>
      <c r="H16" s="3">
        <v>7.2298959328435117</v>
      </c>
      <c r="I16" s="3">
        <v>9.6804819785188272</v>
      </c>
      <c r="J16" s="3">
        <v>12.384527148302361</v>
      </c>
      <c r="K16" s="3">
        <v>15.569189594092297</v>
      </c>
      <c r="L16" s="3">
        <v>20.866749602951177</v>
      </c>
      <c r="M16" s="3">
        <v>32.381115528955377</v>
      </c>
      <c r="N16" s="3">
        <v>53.535806029512131</v>
      </c>
      <c r="O16" s="3">
        <v>75.877698510044837</v>
      </c>
      <c r="P16" s="3">
        <v>91.574394852388963</v>
      </c>
      <c r="Q16" s="3">
        <v>100.00058589885964</v>
      </c>
      <c r="R16" s="3">
        <v>109.72442796668469</v>
      </c>
      <c r="S16" s="3">
        <v>119.83336753709968</v>
      </c>
      <c r="T16" s="3">
        <v>131.45208850136203</v>
      </c>
      <c r="U16" s="3">
        <v>137.84413470167524</v>
      </c>
      <c r="V16" s="3">
        <v>144.78310457971128</v>
      </c>
      <c r="W16" s="3">
        <v>151.44972869167324</v>
      </c>
      <c r="X16" s="3">
        <v>157.50268962636488</v>
      </c>
      <c r="Y16" s="3">
        <v>162.41473845366178</v>
      </c>
      <c r="Z16" s="3">
        <v>168.63759625667441</v>
      </c>
      <c r="AA16" s="3">
        <v>173.24524711676051</v>
      </c>
      <c r="AB16" s="3">
        <v>175.97692875144222</v>
      </c>
      <c r="AC16" s="3">
        <v>180.521186181357</v>
      </c>
      <c r="AD16" s="3">
        <v>184.93869867302141</v>
      </c>
      <c r="AE16" s="3">
        <v>189.54042035454063</v>
      </c>
      <c r="AF16" s="3">
        <v>194.03504112270772</v>
      </c>
      <c r="AG16" s="3">
        <v>198.45660253508319</v>
      </c>
      <c r="AH16" s="3">
        <v>202.76123671831795</v>
      </c>
      <c r="AI16" s="3">
        <v>207.03208071072348</v>
      </c>
    </row>
    <row r="17" spans="1:35" x14ac:dyDescent="0.2">
      <c r="A17" s="13"/>
      <c r="B17" s="1" t="s">
        <v>12</v>
      </c>
      <c r="C17" s="3">
        <v>1.32385181412908E-2</v>
      </c>
      <c r="D17" s="3">
        <v>2.0251481024021301E-2</v>
      </c>
      <c r="E17" s="3">
        <v>2.6134203741019602E-2</v>
      </c>
      <c r="F17" s="3">
        <v>3.3865883709762699E-2</v>
      </c>
      <c r="G17" s="3">
        <v>3.3905305207247903E-2</v>
      </c>
      <c r="H17" s="3">
        <v>3.3616337073457098E-2</v>
      </c>
      <c r="I17" s="3">
        <v>3.3753344716692397E-2</v>
      </c>
      <c r="J17" s="3">
        <v>3.38253433293213E-2</v>
      </c>
      <c r="K17" s="3">
        <v>3.37611219560882E-2</v>
      </c>
      <c r="L17" s="3">
        <v>3.3721308295871402E-2</v>
      </c>
      <c r="M17" s="3">
        <v>3.3766241195957697E-2</v>
      </c>
      <c r="N17" s="3">
        <v>3.3944420257465899E-2</v>
      </c>
      <c r="O17" s="3">
        <v>3.4247692813520803E-2</v>
      </c>
      <c r="P17" s="3">
        <v>3.4659561137172099E-2</v>
      </c>
      <c r="Q17" s="3">
        <v>3.5156442215737403E-2</v>
      </c>
      <c r="R17" s="3">
        <v>3.5716703006947098E-2</v>
      </c>
      <c r="S17" s="3">
        <v>3.6323807441929902E-2</v>
      </c>
      <c r="T17" s="3">
        <v>3.6966187328330402E-2</v>
      </c>
      <c r="U17" s="3">
        <v>3.7641646758763803E-2</v>
      </c>
      <c r="V17" s="3">
        <v>3.8339808568191198E-2</v>
      </c>
      <c r="W17" s="3">
        <v>3.9057488825645997E-2</v>
      </c>
      <c r="X17" s="3">
        <v>3.9792839654451802E-2</v>
      </c>
      <c r="Y17" s="3">
        <v>4.0544817779863102E-2</v>
      </c>
      <c r="Z17" s="3">
        <v>4.1324192845380102E-2</v>
      </c>
      <c r="AA17" s="3">
        <v>4.2131583243103697E-2</v>
      </c>
      <c r="AB17" s="3">
        <v>4.3095640247677099E-2</v>
      </c>
      <c r="AC17" s="3">
        <v>4.4087707367821402E-2</v>
      </c>
      <c r="AD17" s="3">
        <v>4.5108791919524403E-2</v>
      </c>
      <c r="AE17" s="3">
        <v>4.6159923917228299E-2</v>
      </c>
      <c r="AF17" s="3">
        <v>4.7242103065144599E-2</v>
      </c>
      <c r="AG17" s="3">
        <v>4.8356385126770499E-2</v>
      </c>
      <c r="AH17" s="3">
        <v>4.9502885549049802E-2</v>
      </c>
      <c r="AI17" s="3">
        <v>5.0683645771729902E-2</v>
      </c>
    </row>
    <row r="18" spans="1:35" x14ac:dyDescent="0.2">
      <c r="A18" s="13"/>
      <c r="B18" s="1" t="s">
        <v>13</v>
      </c>
      <c r="C18" s="3">
        <v>21.68811794969837</v>
      </c>
      <c r="D18" s="3">
        <v>25.415118482019388</v>
      </c>
      <c r="E18" s="3">
        <v>24.139078769726151</v>
      </c>
      <c r="F18" s="3">
        <v>25.039274053783124</v>
      </c>
      <c r="G18" s="3">
        <v>25.43146687104236</v>
      </c>
      <c r="H18" s="3">
        <v>26.92123976163359</v>
      </c>
      <c r="I18" s="3">
        <v>29.863974182935745</v>
      </c>
      <c r="J18" s="3">
        <v>32.904777584084584</v>
      </c>
      <c r="K18" s="3">
        <v>35.275614433410901</v>
      </c>
      <c r="L18" s="3">
        <v>40.581182264644539</v>
      </c>
      <c r="M18" s="3">
        <v>48.422100401063673</v>
      </c>
      <c r="N18" s="3">
        <v>64.647011054505214</v>
      </c>
      <c r="O18" s="3">
        <v>82.020020790894776</v>
      </c>
      <c r="P18" s="3">
        <v>95.020650349131486</v>
      </c>
      <c r="Q18" s="3">
        <v>102.13290849265196</v>
      </c>
      <c r="R18" s="3">
        <v>111.10027610822604</v>
      </c>
      <c r="S18" s="3">
        <v>120.54018648003606</v>
      </c>
      <c r="T18" s="3">
        <v>131.45208850136203</v>
      </c>
      <c r="U18" s="3">
        <v>137.84413470167524</v>
      </c>
      <c r="V18" s="3">
        <v>144.78310457971128</v>
      </c>
      <c r="W18" s="3">
        <v>151.44972869167324</v>
      </c>
      <c r="X18" s="3">
        <v>157.50268962636488</v>
      </c>
      <c r="Y18" s="3">
        <v>162.41473845366178</v>
      </c>
      <c r="Z18" s="3">
        <v>168.63759625667441</v>
      </c>
      <c r="AA18" s="3">
        <v>173.24524711676051</v>
      </c>
      <c r="AB18" s="3">
        <v>175.97692875144222</v>
      </c>
      <c r="AC18" s="3">
        <v>180.521186181357</v>
      </c>
      <c r="AD18" s="3">
        <v>184.93869867302141</v>
      </c>
      <c r="AE18" s="3">
        <v>189.54042035454063</v>
      </c>
      <c r="AF18" s="3">
        <v>194.03504112270772</v>
      </c>
      <c r="AG18" s="3">
        <v>198.45660253508319</v>
      </c>
      <c r="AH18" s="3">
        <v>202.76123671831795</v>
      </c>
      <c r="AI18" s="3">
        <v>207.03208071072348</v>
      </c>
    </row>
    <row r="19" spans="1:35" x14ac:dyDescent="0.2">
      <c r="A19" s="5"/>
      <c r="B19" s="6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 ht="15" customHeight="1" x14ac:dyDescent="0.2">
      <c r="C20" s="14" t="s">
        <v>50</v>
      </c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</row>
    <row r="21" spans="1:35" x14ac:dyDescent="0.2">
      <c r="A21" s="13" t="s">
        <v>14</v>
      </c>
      <c r="B21" s="1" t="s">
        <v>0</v>
      </c>
      <c r="C21" s="4">
        <f>+C5/SUM(C$5:C$18)</f>
        <v>1.6997370315124682E-5</v>
      </c>
      <c r="D21" s="4">
        <f>+D5/SUM(D$5:D$18)</f>
        <v>2.2536003168025804E-5</v>
      </c>
      <c r="E21" s="4">
        <f t="shared" ref="E21:AI21" si="0">+E5/SUM(E$5:E$18)</f>
        <v>3.0909100118969395E-5</v>
      </c>
      <c r="F21" s="4">
        <f t="shared" si="0"/>
        <v>4.6867310009580158E-5</v>
      </c>
      <c r="G21" s="4">
        <f t="shared" si="0"/>
        <v>5.8555708502078943E-5</v>
      </c>
      <c r="H21" s="4">
        <f t="shared" si="0"/>
        <v>6.9139793256109742E-5</v>
      </c>
      <c r="I21" s="4">
        <f t="shared" si="0"/>
        <v>8.3709335199596196E-5</v>
      </c>
      <c r="J21" s="4">
        <f t="shared" si="0"/>
        <v>1.0165674237761324E-4</v>
      </c>
      <c r="K21" s="4">
        <f t="shared" si="0"/>
        <v>5.4777300813800393E-4</v>
      </c>
      <c r="L21" s="4">
        <f t="shared" si="0"/>
        <v>1.0516721468799793E-3</v>
      </c>
      <c r="M21" s="4">
        <f t="shared" si="0"/>
        <v>1.6123246425372062E-3</v>
      </c>
      <c r="N21" s="4">
        <f t="shared" si="0"/>
        <v>2.2327340446550896E-3</v>
      </c>
      <c r="O21" s="4">
        <f t="shared" si="0"/>
        <v>2.8862363442389255E-3</v>
      </c>
      <c r="P21" s="4">
        <f t="shared" si="0"/>
        <v>3.5022508967316769E-3</v>
      </c>
      <c r="Q21" s="4">
        <f t="shared" si="0"/>
        <v>4.2062434053317457E-3</v>
      </c>
      <c r="R21" s="4">
        <f t="shared" si="0"/>
        <v>4.8013838985249031E-3</v>
      </c>
      <c r="S21" s="4">
        <f t="shared" si="0"/>
        <v>5.3803181358204732E-3</v>
      </c>
      <c r="T21" s="4">
        <f t="shared" si="0"/>
        <v>5.9131005545920035E-3</v>
      </c>
      <c r="U21" s="4">
        <f t="shared" si="0"/>
        <v>5.7855518243711069E-3</v>
      </c>
      <c r="V21" s="4">
        <f t="shared" si="0"/>
        <v>5.6498437291682526E-3</v>
      </c>
      <c r="W21" s="4">
        <f t="shared" si="0"/>
        <v>5.5381398361554505E-3</v>
      </c>
      <c r="X21" s="4">
        <f t="shared" si="0"/>
        <v>5.4585035804364992E-3</v>
      </c>
      <c r="Y21" s="4">
        <f t="shared" si="0"/>
        <v>5.4240495142226612E-3</v>
      </c>
      <c r="Z21" s="4">
        <f t="shared" si="0"/>
        <v>5.3524409492406002E-3</v>
      </c>
      <c r="AA21" s="4">
        <f t="shared" si="0"/>
        <v>5.3380141296817969E-3</v>
      </c>
      <c r="AB21" s="4">
        <f t="shared" si="0"/>
        <v>5.3819212158163496E-3</v>
      </c>
      <c r="AC21" s="4">
        <f t="shared" si="0"/>
        <v>5.3729607006932452E-3</v>
      </c>
      <c r="AD21" s="4">
        <f t="shared" si="0"/>
        <v>5.3710588955569018E-3</v>
      </c>
      <c r="AE21" s="4">
        <f t="shared" si="0"/>
        <v>5.3670718041125831E-3</v>
      </c>
      <c r="AF21" s="4">
        <f t="shared" si="0"/>
        <v>5.3692454566837394E-3</v>
      </c>
      <c r="AG21" s="4">
        <f t="shared" si="0"/>
        <v>5.376337336733583E-3</v>
      </c>
      <c r="AH21" s="4">
        <f t="shared" si="0"/>
        <v>5.3892800748851699E-3</v>
      </c>
      <c r="AI21" s="4">
        <f t="shared" si="0"/>
        <v>5.405669269588507E-3</v>
      </c>
    </row>
    <row r="22" spans="1:35" x14ac:dyDescent="0.2">
      <c r="A22" s="13"/>
      <c r="B22" s="1" t="s">
        <v>1</v>
      </c>
      <c r="C22" s="4">
        <f t="shared" ref="C22:D33" si="1">+C6/SUM(C$5:C$18)</f>
        <v>2.9262542738049744E-3</v>
      </c>
      <c r="D22" s="4">
        <f t="shared" si="1"/>
        <v>4.3775115202705711E-3</v>
      </c>
      <c r="E22" s="4">
        <f t="shared" ref="E22:AI22" si="2">+E6/SUM(E$5:E$18)</f>
        <v>7.8431680710948717E-4</v>
      </c>
      <c r="F22" s="4">
        <f t="shared" si="2"/>
        <v>6.0233361835621661E-3</v>
      </c>
      <c r="G22" s="4">
        <f t="shared" si="2"/>
        <v>6.8203688300790925E-3</v>
      </c>
      <c r="H22" s="4">
        <f t="shared" si="2"/>
        <v>9.7139111397865786E-3</v>
      </c>
      <c r="I22" s="4">
        <f t="shared" si="2"/>
        <v>9.3781683702564705E-3</v>
      </c>
      <c r="J22" s="4">
        <f t="shared" si="2"/>
        <v>8.2611492994702131E-3</v>
      </c>
      <c r="K22" s="4">
        <f t="shared" si="2"/>
        <v>9.9931353169154889E-3</v>
      </c>
      <c r="L22" s="4">
        <f t="shared" si="2"/>
        <v>4.460374614027633E-3</v>
      </c>
      <c r="M22" s="4">
        <f t="shared" si="2"/>
        <v>2.6982360779610201E-3</v>
      </c>
      <c r="N22" s="4">
        <f t="shared" si="2"/>
        <v>0</v>
      </c>
      <c r="O22" s="4">
        <f t="shared" si="2"/>
        <v>0</v>
      </c>
      <c r="P22" s="4">
        <f t="shared" si="2"/>
        <v>0</v>
      </c>
      <c r="Q22" s="4">
        <f t="shared" si="2"/>
        <v>0</v>
      </c>
      <c r="R22" s="4">
        <f t="shared" si="2"/>
        <v>0</v>
      </c>
      <c r="S22" s="4">
        <f t="shared" si="2"/>
        <v>0</v>
      </c>
      <c r="T22" s="4">
        <f t="shared" si="2"/>
        <v>0</v>
      </c>
      <c r="U22" s="4">
        <f t="shared" si="2"/>
        <v>0</v>
      </c>
      <c r="V22" s="4">
        <f t="shared" si="2"/>
        <v>2.574948849370538E-4</v>
      </c>
      <c r="W22" s="4">
        <f t="shared" si="2"/>
        <v>4.2996975220324093E-4</v>
      </c>
      <c r="X22" s="4">
        <f t="shared" si="2"/>
        <v>7.9343104270779513E-4</v>
      </c>
      <c r="Y22" s="4">
        <f t="shared" si="2"/>
        <v>8.468900136585542E-4</v>
      </c>
      <c r="Z22" s="4">
        <f t="shared" si="2"/>
        <v>8.1563579288145569E-4</v>
      </c>
      <c r="AA22" s="4">
        <f t="shared" si="2"/>
        <v>7.9393258868581734E-4</v>
      </c>
      <c r="AB22" s="4">
        <f t="shared" si="2"/>
        <v>7.815967624522184E-4</v>
      </c>
      <c r="AC22" s="4">
        <f t="shared" si="2"/>
        <v>6.0215297873027825E-4</v>
      </c>
      <c r="AD22" s="4">
        <f t="shared" si="2"/>
        <v>1.2974290676902707E-4</v>
      </c>
      <c r="AE22" s="4">
        <f t="shared" si="2"/>
        <v>1.2659108646611932E-4</v>
      </c>
      <c r="AF22" s="4">
        <f t="shared" si="2"/>
        <v>1.2365663895570853E-4</v>
      </c>
      <c r="AG22" s="4">
        <f t="shared" si="2"/>
        <v>1.2089928887250653E-4</v>
      </c>
      <c r="AH22" s="4">
        <f t="shared" si="2"/>
        <v>1.183302334444042E-4</v>
      </c>
      <c r="AI22" s="4">
        <f t="shared" si="2"/>
        <v>1.1588665820351188E-4</v>
      </c>
    </row>
    <row r="23" spans="1:35" x14ac:dyDescent="0.2">
      <c r="A23" s="13"/>
      <c r="B23" s="1" t="s">
        <v>2</v>
      </c>
      <c r="C23" s="4">
        <f t="shared" si="1"/>
        <v>0.61993172568307719</v>
      </c>
      <c r="D23" s="4">
        <f t="shared" si="1"/>
        <v>0.61990915654765144</v>
      </c>
      <c r="E23" s="4">
        <f t="shared" ref="E23:AI23" si="3">+E7/SUM(E$5:E$18)</f>
        <v>0.61987766558023383</v>
      </c>
      <c r="F23" s="4">
        <f t="shared" si="3"/>
        <v>0.61984519018877737</v>
      </c>
      <c r="G23" s="4">
        <f t="shared" si="3"/>
        <v>0.61983973964061057</v>
      </c>
      <c r="H23" s="4">
        <f t="shared" si="3"/>
        <v>0.61984103474575869</v>
      </c>
      <c r="I23" s="4">
        <f t="shared" si="3"/>
        <v>0.60393453659969631</v>
      </c>
      <c r="J23" s="4">
        <f t="shared" si="3"/>
        <v>0.58689685648111389</v>
      </c>
      <c r="K23" s="4">
        <f t="shared" si="3"/>
        <v>0.56542700018966507</v>
      </c>
      <c r="L23" s="4">
        <f t="shared" si="3"/>
        <v>0.52928249422548146</v>
      </c>
      <c r="M23" s="4">
        <f t="shared" si="3"/>
        <v>0.45124288763545489</v>
      </c>
      <c r="N23" s="4">
        <f t="shared" si="3"/>
        <v>0.30925419491891554</v>
      </c>
      <c r="O23" s="4">
        <f t="shared" si="3"/>
        <v>0.16743195476307035</v>
      </c>
      <c r="P23" s="4">
        <f t="shared" si="3"/>
        <v>8.9723539464253071E-2</v>
      </c>
      <c r="Q23" s="4">
        <f t="shared" si="3"/>
        <v>5.3912704352513378E-2</v>
      </c>
      <c r="R23" s="4">
        <f t="shared" si="3"/>
        <v>3.2760330767113308E-2</v>
      </c>
      <c r="S23" s="4">
        <f t="shared" si="3"/>
        <v>1.5805541364307039E-2</v>
      </c>
      <c r="T23" s="4">
        <f t="shared" si="3"/>
        <v>0</v>
      </c>
      <c r="U23" s="4">
        <f t="shared" si="3"/>
        <v>0</v>
      </c>
      <c r="V23" s="4">
        <f t="shared" si="3"/>
        <v>0</v>
      </c>
      <c r="W23" s="4">
        <f t="shared" si="3"/>
        <v>0</v>
      </c>
      <c r="X23" s="4">
        <f t="shared" si="3"/>
        <v>0</v>
      </c>
      <c r="Y23" s="4">
        <f t="shared" si="3"/>
        <v>0</v>
      </c>
      <c r="Z23" s="4">
        <f t="shared" si="3"/>
        <v>0</v>
      </c>
      <c r="AA23" s="4">
        <f t="shared" si="3"/>
        <v>0</v>
      </c>
      <c r="AB23" s="4">
        <f t="shared" si="3"/>
        <v>0</v>
      </c>
      <c r="AC23" s="4">
        <f t="shared" si="3"/>
        <v>0</v>
      </c>
      <c r="AD23" s="4">
        <f t="shared" si="3"/>
        <v>0</v>
      </c>
      <c r="AE23" s="4">
        <f t="shared" si="3"/>
        <v>0</v>
      </c>
      <c r="AF23" s="4">
        <f t="shared" si="3"/>
        <v>0</v>
      </c>
      <c r="AG23" s="4">
        <f t="shared" si="3"/>
        <v>0</v>
      </c>
      <c r="AH23" s="4">
        <f t="shared" si="3"/>
        <v>0</v>
      </c>
      <c r="AI23" s="4">
        <f t="shared" si="3"/>
        <v>0</v>
      </c>
    </row>
    <row r="24" spans="1:35" x14ac:dyDescent="0.2">
      <c r="A24" s="13"/>
      <c r="B24" s="1" t="s">
        <v>3</v>
      </c>
      <c r="C24" s="4">
        <f t="shared" si="1"/>
        <v>0</v>
      </c>
      <c r="D24" s="4">
        <f t="shared" si="1"/>
        <v>0</v>
      </c>
      <c r="E24" s="4">
        <f t="shared" ref="E24:AI24" si="4">+E8/SUM(E$5:E$18)</f>
        <v>0</v>
      </c>
      <c r="F24" s="4">
        <f t="shared" si="4"/>
        <v>0</v>
      </c>
      <c r="G24" s="4">
        <f t="shared" si="4"/>
        <v>0</v>
      </c>
      <c r="H24" s="4">
        <f t="shared" si="4"/>
        <v>0</v>
      </c>
      <c r="I24" s="4">
        <f t="shared" si="4"/>
        <v>0</v>
      </c>
      <c r="J24" s="4">
        <f t="shared" si="4"/>
        <v>0</v>
      </c>
      <c r="K24" s="4">
        <f t="shared" si="4"/>
        <v>0</v>
      </c>
      <c r="L24" s="4">
        <f t="shared" si="4"/>
        <v>0</v>
      </c>
      <c r="M24" s="4">
        <f t="shared" si="4"/>
        <v>0</v>
      </c>
      <c r="N24" s="4">
        <f t="shared" si="4"/>
        <v>0</v>
      </c>
      <c r="O24" s="4">
        <f t="shared" si="4"/>
        <v>0</v>
      </c>
      <c r="P24" s="4">
        <f t="shared" si="4"/>
        <v>0</v>
      </c>
      <c r="Q24" s="4">
        <f t="shared" si="4"/>
        <v>0</v>
      </c>
      <c r="R24" s="4">
        <f t="shared" si="4"/>
        <v>0</v>
      </c>
      <c r="S24" s="4">
        <f t="shared" si="4"/>
        <v>0</v>
      </c>
      <c r="T24" s="4">
        <f t="shared" si="4"/>
        <v>0</v>
      </c>
      <c r="U24" s="4">
        <f t="shared" si="4"/>
        <v>0</v>
      </c>
      <c r="V24" s="4">
        <f t="shared" si="4"/>
        <v>0</v>
      </c>
      <c r="W24" s="4">
        <f t="shared" si="4"/>
        <v>0</v>
      </c>
      <c r="X24" s="4">
        <f t="shared" si="4"/>
        <v>0</v>
      </c>
      <c r="Y24" s="4">
        <f t="shared" si="4"/>
        <v>0</v>
      </c>
      <c r="Z24" s="4">
        <f t="shared" si="4"/>
        <v>0</v>
      </c>
      <c r="AA24" s="4">
        <f t="shared" si="4"/>
        <v>0</v>
      </c>
      <c r="AB24" s="4">
        <f t="shared" si="4"/>
        <v>0</v>
      </c>
      <c r="AC24" s="4">
        <f t="shared" si="4"/>
        <v>0</v>
      </c>
      <c r="AD24" s="4">
        <f t="shared" si="4"/>
        <v>0</v>
      </c>
      <c r="AE24" s="4">
        <f t="shared" si="4"/>
        <v>0</v>
      </c>
      <c r="AF24" s="4">
        <f t="shared" si="4"/>
        <v>0</v>
      </c>
      <c r="AG24" s="4">
        <f t="shared" si="4"/>
        <v>0</v>
      </c>
      <c r="AH24" s="4">
        <f t="shared" si="4"/>
        <v>0</v>
      </c>
      <c r="AI24" s="4">
        <f t="shared" si="4"/>
        <v>0</v>
      </c>
    </row>
    <row r="25" spans="1:35" x14ac:dyDescent="0.2">
      <c r="A25" s="13"/>
      <c r="B25" s="1" t="s">
        <v>4</v>
      </c>
      <c r="C25" s="4">
        <f t="shared" si="1"/>
        <v>9.998898801339956E-2</v>
      </c>
      <c r="D25" s="4">
        <f t="shared" si="1"/>
        <v>9.9985347830266372E-2</v>
      </c>
      <c r="E25" s="4">
        <f t="shared" ref="E25:AI25" si="5">+E9/SUM(E$5:E$18)</f>
        <v>9.9980268641973208E-2</v>
      </c>
      <c r="F25" s="4">
        <f t="shared" si="5"/>
        <v>9.9975030675609269E-2</v>
      </c>
      <c r="G25" s="4">
        <f t="shared" si="5"/>
        <v>9.9974151554937177E-2</v>
      </c>
      <c r="H25" s="4">
        <f t="shared" si="5"/>
        <v>9.9974360442864327E-2</v>
      </c>
      <c r="I25" s="4">
        <f t="shared" si="5"/>
        <v>9.7408796225757474E-2</v>
      </c>
      <c r="J25" s="4">
        <f t="shared" si="5"/>
        <v>9.4660783303405494E-2</v>
      </c>
      <c r="K25" s="4">
        <f t="shared" si="5"/>
        <v>9.1197903256397608E-2</v>
      </c>
      <c r="L25" s="4">
        <f t="shared" si="5"/>
        <v>8.5368144229916343E-2</v>
      </c>
      <c r="M25" s="4">
        <f t="shared" si="5"/>
        <v>7.2781110908944333E-2</v>
      </c>
      <c r="N25" s="4">
        <f t="shared" si="5"/>
        <v>4.9879708857889594E-2</v>
      </c>
      <c r="O25" s="4">
        <f t="shared" si="5"/>
        <v>2.7005153994043605E-2</v>
      </c>
      <c r="P25" s="4">
        <f t="shared" si="5"/>
        <v>1.4471538623266616E-2</v>
      </c>
      <c r="Q25" s="4">
        <f t="shared" si="5"/>
        <v>8.6955974762118401E-3</v>
      </c>
      <c r="R25" s="4">
        <f t="shared" si="5"/>
        <v>5.2839243172763412E-3</v>
      </c>
      <c r="S25" s="4">
        <f t="shared" si="5"/>
        <v>2.5492808652108163E-3</v>
      </c>
      <c r="T25" s="4">
        <f t="shared" si="5"/>
        <v>0</v>
      </c>
      <c r="U25" s="4">
        <f t="shared" si="5"/>
        <v>0</v>
      </c>
      <c r="V25" s="4">
        <f t="shared" si="5"/>
        <v>0</v>
      </c>
      <c r="W25" s="4">
        <f t="shared" si="5"/>
        <v>0</v>
      </c>
      <c r="X25" s="4">
        <f t="shared" si="5"/>
        <v>0</v>
      </c>
      <c r="Y25" s="4">
        <f t="shared" si="5"/>
        <v>0</v>
      </c>
      <c r="Z25" s="4">
        <f t="shared" si="5"/>
        <v>0</v>
      </c>
      <c r="AA25" s="4">
        <f t="shared" si="5"/>
        <v>0</v>
      </c>
      <c r="AB25" s="4">
        <f t="shared" si="5"/>
        <v>0</v>
      </c>
      <c r="AC25" s="4">
        <f t="shared" si="5"/>
        <v>0</v>
      </c>
      <c r="AD25" s="4">
        <f t="shared" si="5"/>
        <v>0</v>
      </c>
      <c r="AE25" s="4">
        <f t="shared" si="5"/>
        <v>0</v>
      </c>
      <c r="AF25" s="4">
        <f t="shared" si="5"/>
        <v>0</v>
      </c>
      <c r="AG25" s="4">
        <f t="shared" si="5"/>
        <v>0</v>
      </c>
      <c r="AH25" s="4">
        <f t="shared" si="5"/>
        <v>0</v>
      </c>
      <c r="AI25" s="4">
        <f t="shared" si="5"/>
        <v>0</v>
      </c>
    </row>
    <row r="26" spans="1:35" x14ac:dyDescent="0.2">
      <c r="A26" s="13"/>
      <c r="B26" s="1" t="s">
        <v>5</v>
      </c>
      <c r="C26" s="4">
        <f t="shared" si="1"/>
        <v>0</v>
      </c>
      <c r="D26" s="4">
        <f t="shared" si="1"/>
        <v>0</v>
      </c>
      <c r="E26" s="4">
        <f t="shared" ref="E26:AI26" si="6">+E10/SUM(E$5:E$18)</f>
        <v>0</v>
      </c>
      <c r="F26" s="4">
        <f t="shared" si="6"/>
        <v>0</v>
      </c>
      <c r="G26" s="4">
        <f t="shared" si="6"/>
        <v>0</v>
      </c>
      <c r="H26" s="4">
        <f t="shared" si="6"/>
        <v>0</v>
      </c>
      <c r="I26" s="4">
        <f t="shared" si="6"/>
        <v>0</v>
      </c>
      <c r="J26" s="4">
        <f t="shared" si="6"/>
        <v>0</v>
      </c>
      <c r="K26" s="4">
        <f t="shared" si="6"/>
        <v>0</v>
      </c>
      <c r="L26" s="4">
        <f t="shared" si="6"/>
        <v>0</v>
      </c>
      <c r="M26" s="4">
        <f t="shared" si="6"/>
        <v>0</v>
      </c>
      <c r="N26" s="4">
        <f t="shared" si="6"/>
        <v>0</v>
      </c>
      <c r="O26" s="4">
        <f t="shared" si="6"/>
        <v>0</v>
      </c>
      <c r="P26" s="4">
        <f t="shared" si="6"/>
        <v>0</v>
      </c>
      <c r="Q26" s="4">
        <f t="shared" si="6"/>
        <v>0</v>
      </c>
      <c r="R26" s="4">
        <f t="shared" si="6"/>
        <v>0</v>
      </c>
      <c r="S26" s="4">
        <f t="shared" si="6"/>
        <v>0</v>
      </c>
      <c r="T26" s="4">
        <f t="shared" si="6"/>
        <v>0</v>
      </c>
      <c r="U26" s="4">
        <f t="shared" si="6"/>
        <v>0</v>
      </c>
      <c r="V26" s="4">
        <f t="shared" si="6"/>
        <v>0</v>
      </c>
      <c r="W26" s="4">
        <f t="shared" si="6"/>
        <v>0</v>
      </c>
      <c r="X26" s="4">
        <f t="shared" si="6"/>
        <v>0</v>
      </c>
      <c r="Y26" s="4">
        <f t="shared" si="6"/>
        <v>0</v>
      </c>
      <c r="Z26" s="4">
        <f t="shared" si="6"/>
        <v>0</v>
      </c>
      <c r="AA26" s="4">
        <f t="shared" si="6"/>
        <v>0</v>
      </c>
      <c r="AB26" s="4">
        <f t="shared" si="6"/>
        <v>0</v>
      </c>
      <c r="AC26" s="4">
        <f t="shared" si="6"/>
        <v>0</v>
      </c>
      <c r="AD26" s="4">
        <f t="shared" si="6"/>
        <v>0</v>
      </c>
      <c r="AE26" s="4">
        <f t="shared" si="6"/>
        <v>0</v>
      </c>
      <c r="AF26" s="4">
        <f t="shared" si="6"/>
        <v>0</v>
      </c>
      <c r="AG26" s="4">
        <f t="shared" si="6"/>
        <v>0</v>
      </c>
      <c r="AH26" s="4">
        <f t="shared" si="6"/>
        <v>0</v>
      </c>
      <c r="AI26" s="4">
        <f t="shared" si="6"/>
        <v>0</v>
      </c>
    </row>
    <row r="27" spans="1:35" x14ac:dyDescent="0.2">
      <c r="A27" s="13"/>
      <c r="B27" s="1" t="s">
        <v>6</v>
      </c>
      <c r="C27" s="4">
        <f t="shared" si="1"/>
        <v>0</v>
      </c>
      <c r="D27" s="4">
        <f t="shared" si="1"/>
        <v>0</v>
      </c>
      <c r="E27" s="4">
        <f t="shared" ref="E27:AI27" si="7">+E11/SUM(E$5:E$18)</f>
        <v>0</v>
      </c>
      <c r="F27" s="4">
        <f t="shared" si="7"/>
        <v>0</v>
      </c>
      <c r="G27" s="4">
        <f t="shared" si="7"/>
        <v>0</v>
      </c>
      <c r="H27" s="4">
        <f t="shared" si="7"/>
        <v>0</v>
      </c>
      <c r="I27" s="4">
        <f t="shared" si="7"/>
        <v>0</v>
      </c>
      <c r="J27" s="4">
        <f t="shared" si="7"/>
        <v>0</v>
      </c>
      <c r="K27" s="4">
        <f t="shared" si="7"/>
        <v>0</v>
      </c>
      <c r="L27" s="4">
        <f t="shared" si="7"/>
        <v>0</v>
      </c>
      <c r="M27" s="4">
        <f t="shared" si="7"/>
        <v>0</v>
      </c>
      <c r="N27" s="4">
        <f t="shared" si="7"/>
        <v>0</v>
      </c>
      <c r="O27" s="4">
        <f t="shared" si="7"/>
        <v>0</v>
      </c>
      <c r="P27" s="4">
        <f t="shared" si="7"/>
        <v>0</v>
      </c>
      <c r="Q27" s="4">
        <f t="shared" si="7"/>
        <v>0</v>
      </c>
      <c r="R27" s="4">
        <f t="shared" si="7"/>
        <v>0</v>
      </c>
      <c r="S27" s="4">
        <f t="shared" si="7"/>
        <v>0</v>
      </c>
      <c r="T27" s="4">
        <f t="shared" si="7"/>
        <v>0</v>
      </c>
      <c r="U27" s="4">
        <f t="shared" si="7"/>
        <v>0</v>
      </c>
      <c r="V27" s="4">
        <f t="shared" si="7"/>
        <v>0</v>
      </c>
      <c r="W27" s="4">
        <f t="shared" si="7"/>
        <v>0</v>
      </c>
      <c r="X27" s="4">
        <f t="shared" si="7"/>
        <v>0</v>
      </c>
      <c r="Y27" s="4">
        <f t="shared" si="7"/>
        <v>0</v>
      </c>
      <c r="Z27" s="4">
        <f t="shared" si="7"/>
        <v>0</v>
      </c>
      <c r="AA27" s="4">
        <f t="shared" si="7"/>
        <v>0</v>
      </c>
      <c r="AB27" s="4">
        <f t="shared" si="7"/>
        <v>0</v>
      </c>
      <c r="AC27" s="4">
        <f t="shared" si="7"/>
        <v>0</v>
      </c>
      <c r="AD27" s="4">
        <f t="shared" si="7"/>
        <v>0</v>
      </c>
      <c r="AE27" s="4">
        <f t="shared" si="7"/>
        <v>0</v>
      </c>
      <c r="AF27" s="4">
        <f t="shared" si="7"/>
        <v>0</v>
      </c>
      <c r="AG27" s="4">
        <f t="shared" si="7"/>
        <v>0</v>
      </c>
      <c r="AH27" s="4">
        <f t="shared" si="7"/>
        <v>0</v>
      </c>
      <c r="AI27" s="4">
        <f t="shared" si="7"/>
        <v>0</v>
      </c>
    </row>
    <row r="28" spans="1:35" x14ac:dyDescent="0.2">
      <c r="A28" s="13"/>
      <c r="B28" s="1" t="s">
        <v>7</v>
      </c>
      <c r="C28" s="4">
        <f t="shared" si="1"/>
        <v>1.9997797602679907E-2</v>
      </c>
      <c r="D28" s="4">
        <f t="shared" si="1"/>
        <v>1.9997069566053269E-2</v>
      </c>
      <c r="E28" s="4">
        <f t="shared" ref="E28:AI28" si="8">+E12/SUM(E$5:E$18)</f>
        <v>1.9996053728394639E-2</v>
      </c>
      <c r="F28" s="4">
        <f t="shared" si="8"/>
        <v>1.9995006135121854E-2</v>
      </c>
      <c r="G28" s="4">
        <f t="shared" si="8"/>
        <v>1.9994830310987432E-2</v>
      </c>
      <c r="H28" s="4">
        <f t="shared" si="8"/>
        <v>1.9994872088572865E-2</v>
      </c>
      <c r="I28" s="4">
        <f t="shared" si="8"/>
        <v>1.9481759245151487E-2</v>
      </c>
      <c r="J28" s="4">
        <f t="shared" si="8"/>
        <v>1.8932156660681099E-2</v>
      </c>
      <c r="K28" s="4">
        <f t="shared" si="8"/>
        <v>1.8239580651279525E-2</v>
      </c>
      <c r="L28" s="4">
        <f t="shared" si="8"/>
        <v>1.7073628845983277E-2</v>
      </c>
      <c r="M28" s="4">
        <f t="shared" si="8"/>
        <v>2.1842054744095989E-2</v>
      </c>
      <c r="N28" s="4">
        <f t="shared" si="8"/>
        <v>1.9957353115288998E-2</v>
      </c>
      <c r="O28" s="4">
        <f t="shared" si="8"/>
        <v>1.5410036223740842E-2</v>
      </c>
      <c r="P28" s="4">
        <f t="shared" si="8"/>
        <v>1.3039012130865371E-2</v>
      </c>
      <c r="Q28" s="4">
        <f t="shared" si="8"/>
        <v>1.199768061545689E-2</v>
      </c>
      <c r="R28" s="4">
        <f t="shared" si="8"/>
        <v>1.1534976043437749E-2</v>
      </c>
      <c r="S28" s="4">
        <f t="shared" si="8"/>
        <v>1.0244961203618124E-2</v>
      </c>
      <c r="T28" s="4">
        <f t="shared" si="8"/>
        <v>3.9500972888071679E-3</v>
      </c>
      <c r="U28" s="4">
        <f t="shared" si="8"/>
        <v>4.0815936134633718E-3</v>
      </c>
      <c r="V28" s="4">
        <f t="shared" si="8"/>
        <v>3.9638128568973375E-3</v>
      </c>
      <c r="W28" s="4">
        <f t="shared" si="8"/>
        <v>3.9063957656057281E-3</v>
      </c>
      <c r="X28" s="4">
        <f t="shared" si="8"/>
        <v>3.6251153100840365E-3</v>
      </c>
      <c r="Y28" s="4">
        <f t="shared" si="8"/>
        <v>3.6075738242202652E-3</v>
      </c>
      <c r="Z28" s="4">
        <f t="shared" si="8"/>
        <v>3.7126709370698947E-3</v>
      </c>
      <c r="AA28" s="4">
        <f t="shared" si="8"/>
        <v>3.7497061891518251E-3</v>
      </c>
      <c r="AB28" s="4">
        <f t="shared" si="8"/>
        <v>3.7173078140479896E-3</v>
      </c>
      <c r="AC28" s="4">
        <f t="shared" si="8"/>
        <v>3.9060397206658296E-3</v>
      </c>
      <c r="AD28" s="4">
        <f t="shared" si="8"/>
        <v>4.3805063643927037E-3</v>
      </c>
      <c r="AE28" s="4">
        <f t="shared" si="8"/>
        <v>4.3878300479064493E-3</v>
      </c>
      <c r="AF28" s="4">
        <f t="shared" si="8"/>
        <v>4.3886240060810079E-3</v>
      </c>
      <c r="AG28" s="4">
        <f t="shared" si="8"/>
        <v>4.3841991697854011E-3</v>
      </c>
      <c r="AH28" s="4">
        <f t="shared" si="8"/>
        <v>4.3735935722566989E-3</v>
      </c>
      <c r="AI28" s="4">
        <f t="shared" si="8"/>
        <v>4.3593260965051469E-3</v>
      </c>
    </row>
    <row r="29" spans="1:35" x14ac:dyDescent="0.2">
      <c r="A29" s="13"/>
      <c r="B29" s="1" t="s">
        <v>8</v>
      </c>
      <c r="C29" s="4">
        <f t="shared" si="1"/>
        <v>9.9988988013399536E-3</v>
      </c>
      <c r="D29" s="4">
        <f t="shared" si="1"/>
        <v>9.9985347830266347E-3</v>
      </c>
      <c r="E29" s="4">
        <f t="shared" ref="E29:AI29" si="9">+E13/SUM(E$5:E$18)</f>
        <v>9.998026864197318E-3</v>
      </c>
      <c r="F29" s="4">
        <f t="shared" si="9"/>
        <v>9.9975030675609269E-3</v>
      </c>
      <c r="G29" s="4">
        <f t="shared" si="9"/>
        <v>9.9974151554937159E-3</v>
      </c>
      <c r="H29" s="4">
        <f t="shared" si="9"/>
        <v>9.9974360442864323E-3</v>
      </c>
      <c r="I29" s="4">
        <f t="shared" si="9"/>
        <v>1.0325029905114068E-2</v>
      </c>
      <c r="J29" s="4">
        <f t="shared" si="9"/>
        <v>9.9972384226399407E-3</v>
      </c>
      <c r="K29" s="4">
        <f t="shared" si="9"/>
        <v>9.9928002729384492E-3</v>
      </c>
      <c r="L29" s="4">
        <f t="shared" si="9"/>
        <v>9.9877794855922093E-3</v>
      </c>
      <c r="M29" s="4">
        <f t="shared" si="9"/>
        <v>9.9821725476201394E-3</v>
      </c>
      <c r="N29" s="4">
        <f t="shared" si="9"/>
        <v>9.9759417715779165E-3</v>
      </c>
      <c r="O29" s="4">
        <f t="shared" si="9"/>
        <v>9.9690821069582276E-3</v>
      </c>
      <c r="P29" s="4">
        <f t="shared" si="9"/>
        <v>9.9615449270267047E-3</v>
      </c>
      <c r="Q29" s="4">
        <f t="shared" si="9"/>
        <v>9.9533079895048424E-3</v>
      </c>
      <c r="R29" s="4">
        <f t="shared" si="9"/>
        <v>9.9451468536196942E-3</v>
      </c>
      <c r="S29" s="4">
        <f t="shared" si="9"/>
        <v>1.0951449530657983E-2</v>
      </c>
      <c r="T29" s="4">
        <f t="shared" si="9"/>
        <v>1.7060646695275187E-2</v>
      </c>
      <c r="U29" s="4">
        <f t="shared" si="9"/>
        <v>1.6970191807184964E-2</v>
      </c>
      <c r="V29" s="4">
        <f t="shared" si="9"/>
        <v>1.6855336766457386E-2</v>
      </c>
      <c r="W29" s="4">
        <f t="shared" si="9"/>
        <v>1.67612862062217E-2</v>
      </c>
      <c r="X29" s="4">
        <f t="shared" si="9"/>
        <v>1.6711017638927888E-2</v>
      </c>
      <c r="Y29" s="4">
        <f t="shared" si="9"/>
        <v>1.6695729593336157E-2</v>
      </c>
      <c r="Z29" s="4">
        <f t="shared" si="9"/>
        <v>1.6699696014859888E-2</v>
      </c>
      <c r="AA29" s="4">
        <f t="shared" si="9"/>
        <v>1.671251805500678E-2</v>
      </c>
      <c r="AB29" s="4">
        <f t="shared" si="9"/>
        <v>1.6727022312077747E-2</v>
      </c>
      <c r="AC29" s="4">
        <f t="shared" si="9"/>
        <v>1.6743259268215065E-2</v>
      </c>
      <c r="AD29" s="4">
        <f t="shared" si="9"/>
        <v>1.6765636761109766E-2</v>
      </c>
      <c r="AE29" s="4">
        <f t="shared" si="9"/>
        <v>1.6780100644370712E-2</v>
      </c>
      <c r="AF29" s="4">
        <f t="shared" si="9"/>
        <v>1.6796597394742433E-2</v>
      </c>
      <c r="AG29" s="4">
        <f t="shared" si="9"/>
        <v>1.6815210980901725E-2</v>
      </c>
      <c r="AH29" s="4">
        <f t="shared" si="9"/>
        <v>1.6834584589146311E-2</v>
      </c>
      <c r="AI29" s="4">
        <f t="shared" si="9"/>
        <v>1.685602094203335E-2</v>
      </c>
    </row>
    <row r="30" spans="1:35" x14ac:dyDescent="0.2">
      <c r="A30" s="13"/>
      <c r="B30" s="1" t="s">
        <v>9</v>
      </c>
      <c r="C30" s="4">
        <f t="shared" si="1"/>
        <v>0</v>
      </c>
      <c r="D30" s="4">
        <f t="shared" si="1"/>
        <v>0</v>
      </c>
      <c r="E30" s="4">
        <f t="shared" ref="E30:AI30" si="10">+E14/SUM(E$5:E$18)</f>
        <v>0</v>
      </c>
      <c r="F30" s="4">
        <f t="shared" si="10"/>
        <v>0</v>
      </c>
      <c r="G30" s="4">
        <f t="shared" si="10"/>
        <v>0</v>
      </c>
      <c r="H30" s="4">
        <f t="shared" si="10"/>
        <v>0</v>
      </c>
      <c r="I30" s="4">
        <f t="shared" si="10"/>
        <v>0</v>
      </c>
      <c r="J30" s="4">
        <f t="shared" si="10"/>
        <v>0</v>
      </c>
      <c r="K30" s="4">
        <f t="shared" si="10"/>
        <v>0</v>
      </c>
      <c r="L30" s="4">
        <f t="shared" si="10"/>
        <v>0</v>
      </c>
      <c r="M30" s="4">
        <f t="shared" si="10"/>
        <v>0</v>
      </c>
      <c r="N30" s="4">
        <f t="shared" si="10"/>
        <v>0</v>
      </c>
      <c r="O30" s="4">
        <f t="shared" si="10"/>
        <v>0</v>
      </c>
      <c r="P30" s="4">
        <f t="shared" si="10"/>
        <v>0</v>
      </c>
      <c r="Q30" s="4">
        <f t="shared" si="10"/>
        <v>0</v>
      </c>
      <c r="R30" s="4">
        <f t="shared" si="10"/>
        <v>0</v>
      </c>
      <c r="S30" s="4">
        <f t="shared" si="10"/>
        <v>0</v>
      </c>
      <c r="T30" s="4">
        <f t="shared" si="10"/>
        <v>0</v>
      </c>
      <c r="U30" s="4">
        <f t="shared" si="10"/>
        <v>0</v>
      </c>
      <c r="V30" s="4">
        <f t="shared" si="10"/>
        <v>0</v>
      </c>
      <c r="W30" s="4">
        <f t="shared" si="10"/>
        <v>0</v>
      </c>
      <c r="X30" s="4">
        <f t="shared" si="10"/>
        <v>0</v>
      </c>
      <c r="Y30" s="4">
        <f t="shared" si="10"/>
        <v>0</v>
      </c>
      <c r="Z30" s="4">
        <f t="shared" si="10"/>
        <v>0</v>
      </c>
      <c r="AA30" s="4">
        <f t="shared" si="10"/>
        <v>0</v>
      </c>
      <c r="AB30" s="4">
        <f t="shared" si="10"/>
        <v>0</v>
      </c>
      <c r="AC30" s="4">
        <f t="shared" si="10"/>
        <v>0</v>
      </c>
      <c r="AD30" s="4">
        <f t="shared" si="10"/>
        <v>0</v>
      </c>
      <c r="AE30" s="4">
        <f t="shared" si="10"/>
        <v>0</v>
      </c>
      <c r="AF30" s="4">
        <f t="shared" si="10"/>
        <v>0</v>
      </c>
      <c r="AG30" s="4">
        <f t="shared" si="10"/>
        <v>0</v>
      </c>
      <c r="AH30" s="4">
        <f t="shared" si="10"/>
        <v>0</v>
      </c>
      <c r="AI30" s="4">
        <f t="shared" si="10"/>
        <v>0</v>
      </c>
    </row>
    <row r="31" spans="1:35" x14ac:dyDescent="0.2">
      <c r="A31" s="13"/>
      <c r="B31" s="1" t="s">
        <v>10</v>
      </c>
      <c r="C31" s="4">
        <f t="shared" si="1"/>
        <v>4.9994494006699773E-2</v>
      </c>
      <c r="D31" s="4">
        <f t="shared" si="1"/>
        <v>4.9992673915133186E-2</v>
      </c>
      <c r="E31" s="4">
        <f t="shared" ref="E31:AI31" si="11">+E15/SUM(E$5:E$18)</f>
        <v>4.9990134320986611E-2</v>
      </c>
      <c r="F31" s="4">
        <f t="shared" si="11"/>
        <v>4.9987515337804635E-2</v>
      </c>
      <c r="G31" s="4">
        <f t="shared" si="11"/>
        <v>4.9987075777468588E-2</v>
      </c>
      <c r="H31" s="4">
        <f t="shared" si="11"/>
        <v>4.9987180221432163E-2</v>
      </c>
      <c r="I31" s="4">
        <f t="shared" si="11"/>
        <v>4.8704398112878737E-2</v>
      </c>
      <c r="J31" s="4">
        <f t="shared" si="11"/>
        <v>4.7330391651702747E-2</v>
      </c>
      <c r="K31" s="4">
        <f t="shared" si="11"/>
        <v>4.5598951628198804E-2</v>
      </c>
      <c r="L31" s="4">
        <f t="shared" si="11"/>
        <v>4.2684072114958171E-2</v>
      </c>
      <c r="M31" s="4">
        <f t="shared" si="11"/>
        <v>3.6390555454472159E-2</v>
      </c>
      <c r="N31" s="4">
        <f t="shared" si="11"/>
        <v>2.4939854428944797E-2</v>
      </c>
      <c r="O31" s="4">
        <f t="shared" si="11"/>
        <v>1.3502576997021802E-2</v>
      </c>
      <c r="P31" s="4">
        <f t="shared" si="11"/>
        <v>7.2357693116333072E-3</v>
      </c>
      <c r="Q31" s="4">
        <f t="shared" si="11"/>
        <v>4.3477987381059201E-3</v>
      </c>
      <c r="R31" s="4">
        <f t="shared" si="11"/>
        <v>2.6419621586381706E-3</v>
      </c>
      <c r="S31" s="4">
        <f t="shared" si="11"/>
        <v>1.2746404326054079E-3</v>
      </c>
      <c r="T31" s="4">
        <f t="shared" si="11"/>
        <v>0</v>
      </c>
      <c r="U31" s="4">
        <f t="shared" si="11"/>
        <v>0</v>
      </c>
      <c r="V31" s="4">
        <f t="shared" si="11"/>
        <v>0</v>
      </c>
      <c r="W31" s="4">
        <f t="shared" si="11"/>
        <v>0</v>
      </c>
      <c r="X31" s="4">
        <f t="shared" si="11"/>
        <v>0</v>
      </c>
      <c r="Y31" s="4">
        <f t="shared" si="11"/>
        <v>0</v>
      </c>
      <c r="Z31" s="4">
        <f t="shared" si="11"/>
        <v>0</v>
      </c>
      <c r="AA31" s="4">
        <f t="shared" si="11"/>
        <v>0</v>
      </c>
      <c r="AB31" s="4">
        <f t="shared" si="11"/>
        <v>0</v>
      </c>
      <c r="AC31" s="4">
        <f t="shared" si="11"/>
        <v>0</v>
      </c>
      <c r="AD31" s="4">
        <f t="shared" si="11"/>
        <v>0</v>
      </c>
      <c r="AE31" s="4">
        <f t="shared" si="11"/>
        <v>0</v>
      </c>
      <c r="AF31" s="4">
        <f t="shared" si="11"/>
        <v>0</v>
      </c>
      <c r="AG31" s="4">
        <f t="shared" si="11"/>
        <v>0</v>
      </c>
      <c r="AH31" s="4">
        <f t="shared" si="11"/>
        <v>0</v>
      </c>
      <c r="AI31" s="4">
        <f t="shared" si="11"/>
        <v>0</v>
      </c>
    </row>
    <row r="32" spans="1:35" x14ac:dyDescent="0.2">
      <c r="A32" s="13"/>
      <c r="B32" s="1" t="s">
        <v>11</v>
      </c>
      <c r="C32" s="4">
        <f t="shared" si="1"/>
        <v>4.4492980001426166E-2</v>
      </c>
      <c r="D32" s="4">
        <f t="shared" si="1"/>
        <v>3.9994139132106539E-2</v>
      </c>
      <c r="E32" s="4">
        <f t="shared" ref="E32:AI32" si="12">+E16/SUM(E$5:E$18)</f>
        <v>4.5475312127821327E-2</v>
      </c>
      <c r="F32" s="4">
        <f t="shared" si="12"/>
        <v>4.3964179154241563E-2</v>
      </c>
      <c r="G32" s="4">
        <f t="shared" si="12"/>
        <v>4.3166706947389021E-2</v>
      </c>
      <c r="H32" s="4">
        <f t="shared" si="12"/>
        <v>4.0273269081644768E-2</v>
      </c>
      <c r="I32" s="4">
        <f t="shared" si="12"/>
        <v>5.1531356263250727E-2</v>
      </c>
      <c r="J32" s="4">
        <f t="shared" si="12"/>
        <v>6.3891157844032362E-2</v>
      </c>
      <c r="K32" s="4">
        <f t="shared" si="12"/>
        <v>7.9256648720194792E-2</v>
      </c>
      <c r="L32" s="4">
        <f t="shared" si="12"/>
        <v>0.10524454575939471</v>
      </c>
      <c r="M32" s="4">
        <f t="shared" si="12"/>
        <v>0.16161145574313734</v>
      </c>
      <c r="N32" s="4">
        <f t="shared" si="12"/>
        <v>0.26436245694681482</v>
      </c>
      <c r="O32" s="4">
        <f t="shared" si="12"/>
        <v>0.36696183026775692</v>
      </c>
      <c r="P32" s="4">
        <f t="shared" si="12"/>
        <v>0.42299377761960899</v>
      </c>
      <c r="Q32" s="4">
        <f t="shared" si="12"/>
        <v>0.44858190284278404</v>
      </c>
      <c r="R32" s="4">
        <f t="shared" si="12"/>
        <v>0.46353453639962144</v>
      </c>
      <c r="S32" s="4">
        <f t="shared" si="12"/>
        <v>0.47542274485131319</v>
      </c>
      <c r="T32" s="4">
        <f t="shared" si="12"/>
        <v>0.4864696766523624</v>
      </c>
      <c r="U32" s="4">
        <f t="shared" si="12"/>
        <v>0.48651490409640752</v>
      </c>
      <c r="V32" s="4">
        <f t="shared" si="12"/>
        <v>0.48657233161677133</v>
      </c>
      <c r="W32" s="4">
        <f t="shared" si="12"/>
        <v>0.48661935689688912</v>
      </c>
      <c r="X32" s="4">
        <f t="shared" si="12"/>
        <v>0.4866444911805361</v>
      </c>
      <c r="Y32" s="4">
        <f t="shared" si="12"/>
        <v>0.48665213520333211</v>
      </c>
      <c r="Z32" s="4">
        <f t="shared" si="12"/>
        <v>0.48665015199256983</v>
      </c>
      <c r="AA32" s="4">
        <f t="shared" si="12"/>
        <v>0.48664374097249607</v>
      </c>
      <c r="AB32" s="4">
        <f t="shared" si="12"/>
        <v>0.48663648884396082</v>
      </c>
      <c r="AC32" s="4">
        <f t="shared" si="12"/>
        <v>0.48662837036589224</v>
      </c>
      <c r="AD32" s="4">
        <f t="shared" si="12"/>
        <v>0.48661718161944523</v>
      </c>
      <c r="AE32" s="4">
        <f t="shared" si="12"/>
        <v>0.48660994967781462</v>
      </c>
      <c r="AF32" s="4">
        <f t="shared" si="12"/>
        <v>0.48660170130262881</v>
      </c>
      <c r="AG32" s="4">
        <f t="shared" si="12"/>
        <v>0.48659239450954972</v>
      </c>
      <c r="AH32" s="4">
        <f t="shared" si="12"/>
        <v>0.48658270770542672</v>
      </c>
      <c r="AI32" s="4">
        <f t="shared" si="12"/>
        <v>0.48657198952898351</v>
      </c>
    </row>
    <row r="33" spans="1:35" x14ac:dyDescent="0.2">
      <c r="A33" s="13"/>
      <c r="B33" s="1" t="s">
        <v>12</v>
      </c>
      <c r="C33" s="4">
        <f t="shared" si="1"/>
        <v>9.3122495689798297E-5</v>
      </c>
      <c r="D33" s="4">
        <f t="shared" si="1"/>
        <v>1.2398569416734612E-4</v>
      </c>
      <c r="E33" s="4">
        <f t="shared" ref="E33:AI33" si="13">+E17/SUM(E$5:E$18)</f>
        <v>1.6640448014986538E-4</v>
      </c>
      <c r="F33" s="4">
        <f t="shared" si="13"/>
        <v>2.0282593389894614E-4</v>
      </c>
      <c r="G33" s="4">
        <f t="shared" si="13"/>
        <v>1.9992874212647829E-4</v>
      </c>
      <c r="H33" s="4">
        <f t="shared" si="13"/>
        <v>1.8725577810165583E-4</v>
      </c>
      <c r="I33" s="4">
        <f t="shared" si="13"/>
        <v>1.7967655283402734E-4</v>
      </c>
      <c r="J33" s="4">
        <f t="shared" si="13"/>
        <v>1.7450325909927839E-4</v>
      </c>
      <c r="K33" s="4">
        <f t="shared" si="13"/>
        <v>1.718646540400962E-4</v>
      </c>
      <c r="L33" s="4">
        <f t="shared" si="13"/>
        <v>1.7007841861051338E-4</v>
      </c>
      <c r="M33" s="4">
        <f t="shared" si="13"/>
        <v>1.685245028008046E-4</v>
      </c>
      <c r="N33" s="4">
        <f t="shared" si="13"/>
        <v>1.6761922541993891E-4</v>
      </c>
      <c r="O33" s="4">
        <f t="shared" si="13"/>
        <v>1.6562964196434839E-4</v>
      </c>
      <c r="P33" s="4">
        <f t="shared" si="13"/>
        <v>1.6009692141217299E-4</v>
      </c>
      <c r="Q33" s="4">
        <f t="shared" si="13"/>
        <v>1.5770451347423264E-4</v>
      </c>
      <c r="R33" s="4">
        <f t="shared" si="13"/>
        <v>1.5088641314288753E-4</v>
      </c>
      <c r="S33" s="4">
        <f t="shared" si="13"/>
        <v>1.4410981342192895E-4</v>
      </c>
      <c r="T33" s="4">
        <f t="shared" si="13"/>
        <v>1.3680215660093691E-4</v>
      </c>
      <c r="U33" s="4">
        <f t="shared" si="13"/>
        <v>1.3285456216548223E-4</v>
      </c>
      <c r="V33" s="4">
        <f t="shared" si="13"/>
        <v>1.288485289973512E-4</v>
      </c>
      <c r="W33" s="4">
        <f t="shared" si="13"/>
        <v>1.2549464603556107E-4</v>
      </c>
      <c r="X33" s="4">
        <f t="shared" si="13"/>
        <v>1.2295006677160765E-4</v>
      </c>
      <c r="Y33" s="4">
        <f t="shared" si="13"/>
        <v>1.2148664789821324E-4</v>
      </c>
      <c r="Z33" s="4">
        <f t="shared" si="13"/>
        <v>1.1925232080849559E-4</v>
      </c>
      <c r="AA33" s="4">
        <f t="shared" si="13"/>
        <v>1.183470924815608E-4</v>
      </c>
      <c r="AB33" s="4">
        <f t="shared" si="13"/>
        <v>1.1917420768397284E-4</v>
      </c>
      <c r="AC33" s="4">
        <f t="shared" si="13"/>
        <v>1.1884659991109081E-4</v>
      </c>
      <c r="AD33" s="4">
        <f t="shared" si="13"/>
        <v>1.1869183328118177E-4</v>
      </c>
      <c r="AE33" s="4">
        <f t="shared" si="13"/>
        <v>1.1850706151478744E-4</v>
      </c>
      <c r="AF33" s="4">
        <f t="shared" si="13"/>
        <v>1.1847389827941354E-4</v>
      </c>
      <c r="AG33" s="4">
        <f t="shared" si="13"/>
        <v>1.1856420460741094E-4</v>
      </c>
      <c r="AH33" s="4">
        <f t="shared" si="13"/>
        <v>1.1879611941384648E-4</v>
      </c>
      <c r="AI33" s="4">
        <f t="shared" si="13"/>
        <v>1.1911797570247534E-4</v>
      </c>
    </row>
    <row r="34" spans="1:35" x14ac:dyDescent="0.2">
      <c r="A34" s="13"/>
      <c r="B34" s="1" t="s">
        <v>13</v>
      </c>
      <c r="C34" s="4">
        <f>+C18/SUM(C$5:C$18)</f>
        <v>0.15255874175156742</v>
      </c>
      <c r="D34" s="4">
        <f t="shared" ref="D34:AI34" si="14">+D18/SUM(D$5:D$18)</f>
        <v>0.15559904500815672</v>
      </c>
      <c r="E34" s="4">
        <f t="shared" si="14"/>
        <v>0.15370090834901476</v>
      </c>
      <c r="F34" s="4">
        <f t="shared" si="14"/>
        <v>0.14996254601341391</v>
      </c>
      <c r="G34" s="4">
        <f t="shared" si="14"/>
        <v>0.14996122733240577</v>
      </c>
      <c r="H34" s="4">
        <f t="shared" si="14"/>
        <v>0.14996154066429646</v>
      </c>
      <c r="I34" s="4">
        <f t="shared" si="14"/>
        <v>0.15897256938986107</v>
      </c>
      <c r="J34" s="4">
        <f t="shared" si="14"/>
        <v>0.16975410633547741</v>
      </c>
      <c r="K34" s="4">
        <f t="shared" si="14"/>
        <v>0.17957434230223218</v>
      </c>
      <c r="L34" s="4">
        <f t="shared" si="14"/>
        <v>0.20467721015915583</v>
      </c>
      <c r="M34" s="4">
        <f t="shared" si="14"/>
        <v>0.24167067774297613</v>
      </c>
      <c r="N34" s="4">
        <f t="shared" si="14"/>
        <v>0.31923013669049338</v>
      </c>
      <c r="O34" s="4">
        <f t="shared" si="14"/>
        <v>0.3966674996612049</v>
      </c>
      <c r="P34" s="4">
        <f t="shared" si="14"/>
        <v>0.43891247010520212</v>
      </c>
      <c r="Q34" s="4">
        <f t="shared" si="14"/>
        <v>0.45814706006661715</v>
      </c>
      <c r="R34" s="4">
        <f t="shared" si="14"/>
        <v>0.46934685314862551</v>
      </c>
      <c r="S34" s="4">
        <f t="shared" si="14"/>
        <v>0.47822695380304509</v>
      </c>
      <c r="T34" s="4">
        <f t="shared" si="14"/>
        <v>0.4864696766523624</v>
      </c>
      <c r="U34" s="4">
        <f t="shared" si="14"/>
        <v>0.48651490409640752</v>
      </c>
      <c r="V34" s="4">
        <f t="shared" si="14"/>
        <v>0.48657233161677133</v>
      </c>
      <c r="W34" s="4">
        <f t="shared" si="14"/>
        <v>0.48661935689688912</v>
      </c>
      <c r="X34" s="4">
        <f t="shared" si="14"/>
        <v>0.4866444911805361</v>
      </c>
      <c r="Y34" s="4">
        <f t="shared" si="14"/>
        <v>0.48665213520333211</v>
      </c>
      <c r="Z34" s="4">
        <f t="shared" si="14"/>
        <v>0.48665015199256983</v>
      </c>
      <c r="AA34" s="4">
        <f t="shared" si="14"/>
        <v>0.48664374097249607</v>
      </c>
      <c r="AB34" s="4">
        <f t="shared" si="14"/>
        <v>0.48663648884396082</v>
      </c>
      <c r="AC34" s="4">
        <f t="shared" si="14"/>
        <v>0.48662837036589224</v>
      </c>
      <c r="AD34" s="4">
        <f t="shared" si="14"/>
        <v>0.48661718161944523</v>
      </c>
      <c r="AE34" s="4">
        <f t="shared" si="14"/>
        <v>0.48660994967781462</v>
      </c>
      <c r="AF34" s="4">
        <f t="shared" si="14"/>
        <v>0.48660170130262881</v>
      </c>
      <c r="AG34" s="4">
        <f t="shared" si="14"/>
        <v>0.48659239450954972</v>
      </c>
      <c r="AH34" s="4">
        <f t="shared" si="14"/>
        <v>0.48658270770542672</v>
      </c>
      <c r="AI34" s="4">
        <f t="shared" si="14"/>
        <v>0.48657198952898351</v>
      </c>
    </row>
    <row r="35" spans="1:35" x14ac:dyDescent="0.2">
      <c r="A35" s="5"/>
      <c r="B35" s="6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x14ac:dyDescent="0.2">
      <c r="C36" s="14" t="s">
        <v>51</v>
      </c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</row>
    <row r="37" spans="1:35" x14ac:dyDescent="0.2">
      <c r="A37" s="13" t="s">
        <v>14</v>
      </c>
      <c r="B37" t="s">
        <v>55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3.2391875952398598E-2</v>
      </c>
      <c r="M37" s="12">
        <v>0</v>
      </c>
      <c r="N37" s="12">
        <v>0</v>
      </c>
      <c r="O37" s="12">
        <v>2.2541194704243199E-2</v>
      </c>
      <c r="P37" s="12">
        <v>6.9704684626969299E-2</v>
      </c>
      <c r="Q37" s="12">
        <v>5.7340497519485147E-2</v>
      </c>
      <c r="R37" s="12">
        <v>0</v>
      </c>
      <c r="S37" s="12">
        <v>0</v>
      </c>
      <c r="T37" s="12">
        <v>0</v>
      </c>
      <c r="U37" s="12">
        <v>3.5280678635858251E-2</v>
      </c>
      <c r="V37" s="12">
        <v>3.5263744811010522E-2</v>
      </c>
      <c r="W37" s="12">
        <v>1.1304374515408597E-2</v>
      </c>
      <c r="X37" s="12">
        <v>1.1702838866740473E-2</v>
      </c>
      <c r="Y37" s="12">
        <v>0.15657943120440332</v>
      </c>
      <c r="Z37" s="12">
        <v>0.27559164225467103</v>
      </c>
      <c r="AA37" s="12">
        <v>0.44062402529591294</v>
      </c>
      <c r="AB37" s="12">
        <v>0.28825663171067673</v>
      </c>
      <c r="AC37" s="12">
        <v>0</v>
      </c>
      <c r="AD37" s="12">
        <v>0.85473067591628415</v>
      </c>
      <c r="AE37" s="12">
        <v>0.390260437392559</v>
      </c>
      <c r="AF37" s="12">
        <v>0.38647155877451311</v>
      </c>
      <c r="AG37" s="12">
        <v>0.30608412721746098</v>
      </c>
      <c r="AH37" s="12">
        <v>0.12397170042430471</v>
      </c>
      <c r="AI37" s="12">
        <v>0.17396200129910588</v>
      </c>
    </row>
    <row r="38" spans="1:35" x14ac:dyDescent="0.2">
      <c r="A38" s="13"/>
      <c r="B38" t="s">
        <v>56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</row>
    <row r="39" spans="1:35" x14ac:dyDescent="0.2">
      <c r="A39" s="13"/>
      <c r="B39" t="s">
        <v>57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-1.6762381035879901</v>
      </c>
      <c r="V39" s="12">
        <v>-0.27350696794110202</v>
      </c>
      <c r="W39" s="12">
        <v>-0.27589865515100004</v>
      </c>
      <c r="X39" s="12">
        <v>-0.27821684460415397</v>
      </c>
      <c r="Y39" s="12">
        <v>-0.28045613050651302</v>
      </c>
      <c r="Z39" s="12">
        <v>-0.286068433751895</v>
      </c>
      <c r="AA39" s="12">
        <v>-0.29183803172559497</v>
      </c>
      <c r="AB39" s="12">
        <v>-0.29776210929788299</v>
      </c>
      <c r="AC39" s="12">
        <v>0</v>
      </c>
      <c r="AD39" s="12">
        <v>-0.31008209730264902</v>
      </c>
      <c r="AE39" s="12">
        <v>-0.31647133484595802</v>
      </c>
      <c r="AF39" s="12">
        <v>-0.32299062244439197</v>
      </c>
      <c r="AG39" s="12">
        <v>-0.32964140902231903</v>
      </c>
      <c r="AH39" s="12">
        <v>-0.33641058529507201</v>
      </c>
      <c r="AI39" s="12">
        <v>-0.34328138171489903</v>
      </c>
    </row>
    <row r="40" spans="1:35" x14ac:dyDescent="0.2">
      <c r="A40" s="13"/>
      <c r="B40" t="s">
        <v>58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</row>
    <row r="41" spans="1:35" x14ac:dyDescent="0.2">
      <c r="A41" s="13"/>
      <c r="B41" t="s">
        <v>59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-1.8182531864993801E-2</v>
      </c>
      <c r="V41" s="12">
        <v>-1.8347725980743402E-2</v>
      </c>
      <c r="W41" s="12">
        <v>-1.8508168041458401E-2</v>
      </c>
      <c r="X41" s="12">
        <v>-1.8663679636592899E-2</v>
      </c>
      <c r="Y41" s="12">
        <v>-1.8813898128032601E-2</v>
      </c>
      <c r="Z41" s="12">
        <v>-1.91903894578303E-2</v>
      </c>
      <c r="AA41" s="12">
        <v>-1.9577432623265698E-2</v>
      </c>
      <c r="AB41" s="12">
        <v>-1.9974838776393802E-2</v>
      </c>
      <c r="AC41" s="12">
        <v>0</v>
      </c>
      <c r="AD41" s="12">
        <v>-2.0801303146570398E-2</v>
      </c>
      <c r="AE41" s="12">
        <v>-2.1229913724775798E-2</v>
      </c>
      <c r="AF41" s="12">
        <v>-2.1667248478428998E-2</v>
      </c>
      <c r="AG41" s="12">
        <v>-2.2113404606013201E-2</v>
      </c>
      <c r="AH41" s="12">
        <v>-2.2567502694646902E-2</v>
      </c>
      <c r="AI41" s="12">
        <v>-2.3028417789166901E-2</v>
      </c>
    </row>
    <row r="42" spans="1:35" x14ac:dyDescent="0.2">
      <c r="A42" s="13"/>
      <c r="B42" t="s">
        <v>60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</row>
    <row r="43" spans="1:35" x14ac:dyDescent="0.2">
      <c r="A43" s="13"/>
      <c r="B43" t="s">
        <v>61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0</v>
      </c>
    </row>
    <row r="44" spans="1:35" x14ac:dyDescent="0.2">
      <c r="A44" s="13"/>
      <c r="B44" t="s">
        <v>62</v>
      </c>
      <c r="C44" s="12">
        <v>0</v>
      </c>
      <c r="D44" s="12">
        <v>0</v>
      </c>
      <c r="E44" s="12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-3.5383160973362603E-2</v>
      </c>
      <c r="AH44" s="12">
        <v>-9.19234226507952E-2</v>
      </c>
      <c r="AI44" s="12">
        <v>-0.14117851798461398</v>
      </c>
    </row>
    <row r="45" spans="1:35" x14ac:dyDescent="0.2">
      <c r="A45" s="13"/>
      <c r="B45" t="s">
        <v>63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-5.8983251683056202E-2</v>
      </c>
      <c r="L45" s="12">
        <v>-6.5205572186605096E-2</v>
      </c>
      <c r="M45" s="12">
        <v>-6.65448505443961E-2</v>
      </c>
      <c r="N45" s="12">
        <v>-6.8595845213496404E-2</v>
      </c>
      <c r="O45" s="12">
        <v>-6.9414106873240997E-2</v>
      </c>
      <c r="P45" s="12">
        <v>-6.2906069860858407E-2</v>
      </c>
      <c r="Q45" s="12">
        <v>-7.0220534331110487E-2</v>
      </c>
      <c r="R45" s="12">
        <v>0</v>
      </c>
      <c r="S45" s="12">
        <v>0</v>
      </c>
      <c r="T45" s="12">
        <v>0</v>
      </c>
      <c r="U45" s="12">
        <v>-1.7588281072504701E-2</v>
      </c>
      <c r="V45" s="12">
        <v>-3.5743803425334598E-2</v>
      </c>
      <c r="W45" s="12">
        <v>-3.3621005233802702E-2</v>
      </c>
      <c r="X45" s="12">
        <v>0.339772950122252</v>
      </c>
      <c r="Y45" s="12">
        <v>-0.68322223801329207</v>
      </c>
      <c r="Z45" s="12">
        <v>4.3857138418533302E-2</v>
      </c>
      <c r="AA45" s="12">
        <v>2.2723339438957397E-2</v>
      </c>
      <c r="AB45" s="12">
        <v>-7.5443448690616999E-3</v>
      </c>
      <c r="AC45" s="12">
        <v>0</v>
      </c>
      <c r="AD45" s="12">
        <v>-0.38530347107627211</v>
      </c>
      <c r="AE45" s="12">
        <v>3.5081765175684697E-2</v>
      </c>
      <c r="AF45" s="12">
        <v>6.6697178731933801E-2</v>
      </c>
      <c r="AG45" s="12">
        <v>-1.8406235123991609E-2</v>
      </c>
      <c r="AH45" s="12">
        <v>0.22454590829172694</v>
      </c>
      <c r="AI45" s="12">
        <v>0.13602834948730874</v>
      </c>
    </row>
    <row r="46" spans="1:35" x14ac:dyDescent="0.2">
      <c r="A46" s="13"/>
      <c r="B46" t="s">
        <v>64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</row>
    <row r="47" spans="1:35" x14ac:dyDescent="0.2">
      <c r="A47" s="13"/>
      <c r="B47" t="s">
        <v>65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-9.8861045970973799E-3</v>
      </c>
      <c r="V47" s="12">
        <v>-9.9759230183841408E-3</v>
      </c>
      <c r="W47" s="12">
        <v>-1.0063157678874599E-2</v>
      </c>
      <c r="X47" s="12">
        <v>-1.0147711574157E-2</v>
      </c>
      <c r="Y47" s="12">
        <v>-1.02293875327138E-2</v>
      </c>
      <c r="Z47" s="12">
        <v>-1.0434091294205701E-2</v>
      </c>
      <c r="AA47" s="12">
        <v>-6.0216615189482098E-2</v>
      </c>
      <c r="AB47" s="12">
        <v>-1.0860607693135601E-2</v>
      </c>
      <c r="AC47" s="12">
        <v>0</v>
      </c>
      <c r="AD47" s="12">
        <v>-1.1309968281087499E-2</v>
      </c>
      <c r="AE47" s="12">
        <v>-1.1543010029012601E-2</v>
      </c>
      <c r="AF47" s="12">
        <v>-1.1780795236842998E-2</v>
      </c>
      <c r="AG47" s="12">
        <v>-1.2023376752827299E-2</v>
      </c>
      <c r="AH47" s="12">
        <v>-0.25991884229401896</v>
      </c>
      <c r="AI47" s="12">
        <v>-1.25208826064348E-2</v>
      </c>
    </row>
    <row r="48" spans="1:35" x14ac:dyDescent="0.2">
      <c r="A48" s="13"/>
      <c r="B48" t="s">
        <v>66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0.104769484236769</v>
      </c>
      <c r="K48" s="12">
        <v>0.40523349419448296</v>
      </c>
      <c r="L48" s="12">
        <v>0.65869365419028603</v>
      </c>
      <c r="M48" s="12">
        <v>1.39898574269508</v>
      </c>
      <c r="N48" s="12">
        <v>3.3421624972392303</v>
      </c>
      <c r="O48" s="12">
        <v>2.5541809623251899</v>
      </c>
      <c r="P48" s="12">
        <v>4.7578126597356896</v>
      </c>
      <c r="Q48" s="12">
        <v>-3.9981636672967398E-2</v>
      </c>
      <c r="R48" s="12">
        <v>0</v>
      </c>
      <c r="S48" s="12">
        <v>0</v>
      </c>
      <c r="T48" s="12">
        <v>0</v>
      </c>
      <c r="U48" s="12">
        <v>0.64735749208241034</v>
      </c>
      <c r="V48" s="12">
        <v>0.79282000067101199</v>
      </c>
      <c r="W48" s="12">
        <v>0.78974585550890897</v>
      </c>
      <c r="X48" s="12">
        <v>0.321676741910499</v>
      </c>
      <c r="Y48" s="12">
        <v>0.427552948032278</v>
      </c>
      <c r="Z48" s="12">
        <v>0.25185741830646402</v>
      </c>
      <c r="AA48" s="12">
        <v>0.40510925045402502</v>
      </c>
      <c r="AB48" s="12">
        <v>0.23468662876005497</v>
      </c>
      <c r="AC48" s="12">
        <v>0</v>
      </c>
      <c r="AD48" s="12">
        <v>0.61904323768921499</v>
      </c>
      <c r="AE48" s="12">
        <v>0.35304605083757595</v>
      </c>
      <c r="AF48" s="12">
        <v>0.33627480335683196</v>
      </c>
      <c r="AG48" s="12">
        <v>0.32268474347177301</v>
      </c>
      <c r="AH48" s="12">
        <v>0.30625358432165911</v>
      </c>
      <c r="AI48" s="12">
        <v>0.29647595788022135</v>
      </c>
    </row>
    <row r="49" spans="1:35" x14ac:dyDescent="0.2">
      <c r="A49" s="13"/>
      <c r="B49" t="s">
        <v>67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-1.40827588214856E-4</v>
      </c>
      <c r="M49" s="12">
        <v>-1.4398197788554798E-4</v>
      </c>
      <c r="N49" s="12">
        <v>-1.4893914648371001E-4</v>
      </c>
      <c r="O49" s="12">
        <v>-1.5147097845123099E-4</v>
      </c>
      <c r="P49" s="12">
        <v>-7.2057330689421105E-3</v>
      </c>
      <c r="Q49" s="12">
        <v>-2.3999783260678307E-4</v>
      </c>
      <c r="R49" s="12">
        <v>0</v>
      </c>
      <c r="S49" s="12">
        <v>0</v>
      </c>
      <c r="T49" s="12">
        <v>0</v>
      </c>
      <c r="U49" s="12">
        <v>-3.2688308525766403E-4</v>
      </c>
      <c r="V49" s="12">
        <v>-3.3174208648854804E-4</v>
      </c>
      <c r="W49" s="12">
        <v>-3.3658686474729199E-4</v>
      </c>
      <c r="X49" s="12">
        <v>-3.4141843131739404E-4</v>
      </c>
      <c r="Y49" s="12">
        <v>-3.4623163832018101E-4</v>
      </c>
      <c r="Z49" s="12">
        <v>-2.6031592363367942E-4</v>
      </c>
      <c r="AA49" s="12">
        <v>7.7131542191917089E-4</v>
      </c>
      <c r="AB49" s="12">
        <v>-8.2554318872869904E-5</v>
      </c>
      <c r="AC49" s="12">
        <v>0</v>
      </c>
      <c r="AD49" s="12">
        <v>0</v>
      </c>
      <c r="AE49" s="12">
        <v>3.7609959242832303E-3</v>
      </c>
      <c r="AF49" s="12">
        <v>-4.0136012379981298E-4</v>
      </c>
      <c r="AG49" s="12">
        <v>2.0055696254003708E-4</v>
      </c>
      <c r="AH49" s="12">
        <v>-4.2388577392553101E-4</v>
      </c>
      <c r="AI49" s="12">
        <v>-4.35749938012319E-4</v>
      </c>
    </row>
    <row r="50" spans="1:35" x14ac:dyDescent="0.2">
      <c r="A50" s="13"/>
      <c r="B50" t="s">
        <v>68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1.5357880988821699</v>
      </c>
      <c r="K50" s="12">
        <v>0</v>
      </c>
      <c r="L50" s="12">
        <v>1.2917340563591189</v>
      </c>
      <c r="M50" s="12">
        <v>1.2666592059686759</v>
      </c>
      <c r="N50" s="12">
        <v>4.1481266627788873</v>
      </c>
      <c r="O50" s="12">
        <v>9.8541427975176106</v>
      </c>
      <c r="P50" s="12">
        <v>5.7746119904074042</v>
      </c>
      <c r="Q50" s="12">
        <v>2.5758980012497683</v>
      </c>
      <c r="R50" s="12">
        <v>0</v>
      </c>
      <c r="S50" s="12">
        <v>0</v>
      </c>
      <c r="T50" s="12">
        <v>0</v>
      </c>
      <c r="U50" s="12">
        <v>1.2099659083248804</v>
      </c>
      <c r="V50" s="12">
        <v>1.2509914696576869</v>
      </c>
      <c r="W50" s="12">
        <v>1.16275108080537</v>
      </c>
      <c r="X50" s="12">
        <v>1.018145555445259</v>
      </c>
      <c r="Y50" s="12">
        <v>0.77523485571962703</v>
      </c>
      <c r="Z50" s="12">
        <v>0.999432376436869</v>
      </c>
      <c r="AA50" s="12">
        <v>0.67821855849819601</v>
      </c>
      <c r="AB50" s="12">
        <v>0.94219225660942607</v>
      </c>
      <c r="AC50" s="12">
        <v>0</v>
      </c>
      <c r="AD50" s="12">
        <v>1.242711521544577</v>
      </c>
      <c r="AE50" s="12">
        <v>0.67792220121850599</v>
      </c>
      <c r="AF50" s="12">
        <v>1.5164169358963291</v>
      </c>
      <c r="AG50" s="12">
        <v>1.5772556205460473</v>
      </c>
      <c r="AH50" s="12">
        <v>3.4101095943504505</v>
      </c>
      <c r="AI50" s="12">
        <v>7.0355560060892257</v>
      </c>
    </row>
  </sheetData>
  <mergeCells count="7">
    <mergeCell ref="A37:A50"/>
    <mergeCell ref="C36:AI36"/>
    <mergeCell ref="C4:AI4"/>
    <mergeCell ref="C2:AI2"/>
    <mergeCell ref="A5:A18"/>
    <mergeCell ref="A21:A34"/>
    <mergeCell ref="C20:AI2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C344B-05BF-3044-B872-127526583BFD}">
  <sheetPr filterMode="1"/>
  <dimension ref="A1:AK100"/>
  <sheetViews>
    <sheetView tabSelected="1" zoomScale="50" zoomScaleNormal="100" workbookViewId="0"/>
  </sheetViews>
  <sheetFormatPr baseColWidth="10" defaultRowHeight="15" x14ac:dyDescent="0.2"/>
  <cols>
    <col min="19" max="19" width="12.1640625" bestFit="1" customWidth="1"/>
    <col min="20" max="20" width="12.6640625" bestFit="1" customWidth="1"/>
    <col min="21" max="21" width="13.6640625" bestFit="1" customWidth="1"/>
    <col min="22" max="22" width="11" bestFit="1" customWidth="1"/>
    <col min="23" max="23" width="12.6640625" bestFit="1" customWidth="1"/>
    <col min="24" max="25" width="11" bestFit="1" customWidth="1"/>
    <col min="26" max="26" width="12.6640625" bestFit="1" customWidth="1"/>
    <col min="27" max="27" width="13.6640625" bestFit="1" customWidth="1"/>
    <col min="28" max="28" width="11" bestFit="1" customWidth="1"/>
    <col min="29" max="30" width="12.6640625" bestFit="1" customWidth="1"/>
    <col min="31" max="31" width="11" bestFit="1" customWidth="1"/>
    <col min="32" max="32" width="13.6640625" bestFit="1" customWidth="1"/>
    <col min="33" max="33" width="3.6640625" customWidth="1"/>
    <col min="37" max="37" width="13.6640625" customWidth="1"/>
  </cols>
  <sheetData>
    <row r="1" spans="1:37" ht="101" customHeight="1" x14ac:dyDescent="0.2">
      <c r="A1" t="s">
        <v>52</v>
      </c>
      <c r="B1" t="s">
        <v>53</v>
      </c>
      <c r="C1" t="s">
        <v>54</v>
      </c>
      <c r="D1" s="7" t="s">
        <v>55</v>
      </c>
      <c r="E1" s="7" t="s">
        <v>56</v>
      </c>
      <c r="F1" s="7" t="s">
        <v>57</v>
      </c>
      <c r="G1" s="7" t="s">
        <v>58</v>
      </c>
      <c r="H1" s="7" t="s">
        <v>59</v>
      </c>
      <c r="I1" s="7" t="s">
        <v>60</v>
      </c>
      <c r="J1" s="7" t="s">
        <v>61</v>
      </c>
      <c r="K1" s="7" t="s">
        <v>62</v>
      </c>
      <c r="L1" s="7" t="s">
        <v>63</v>
      </c>
      <c r="M1" s="7" t="s">
        <v>64</v>
      </c>
      <c r="N1" s="7" t="s">
        <v>65</v>
      </c>
      <c r="O1" s="7" t="s">
        <v>66</v>
      </c>
      <c r="P1" s="7" t="s">
        <v>67</v>
      </c>
      <c r="Q1" s="7" t="s">
        <v>68</v>
      </c>
      <c r="R1" s="7" t="s">
        <v>70</v>
      </c>
      <c r="S1" s="7" t="s">
        <v>55</v>
      </c>
      <c r="T1" s="7" t="s">
        <v>56</v>
      </c>
      <c r="U1" s="7" t="s">
        <v>57</v>
      </c>
      <c r="V1" s="7" t="s">
        <v>58</v>
      </c>
      <c r="W1" s="7" t="s">
        <v>59</v>
      </c>
      <c r="X1" s="7" t="s">
        <v>60</v>
      </c>
      <c r="Y1" s="7" t="s">
        <v>61</v>
      </c>
      <c r="Z1" s="7" t="s">
        <v>62</v>
      </c>
      <c r="AA1" s="7" t="s">
        <v>63</v>
      </c>
      <c r="AB1" s="7" t="s">
        <v>64</v>
      </c>
      <c r="AC1" s="7" t="s">
        <v>65</v>
      </c>
      <c r="AD1" s="7" t="s">
        <v>66</v>
      </c>
      <c r="AE1" s="7" t="s">
        <v>67</v>
      </c>
      <c r="AF1" s="7" t="s">
        <v>68</v>
      </c>
    </row>
    <row r="2" spans="1:37" x14ac:dyDescent="0.2">
      <c r="A2">
        <v>0</v>
      </c>
      <c r="B2" t="s">
        <v>69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0.70896029233743796</v>
      </c>
      <c r="Q2">
        <v>0</v>
      </c>
      <c r="R2">
        <f t="shared" ref="R2:R6" si="0">+C2+2015</f>
        <v>2018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H2" s="9"/>
    </row>
    <row r="3" spans="1:37" x14ac:dyDescent="0.2">
      <c r="A3">
        <v>0</v>
      </c>
      <c r="B3" t="s">
        <v>69</v>
      </c>
      <c r="C3">
        <v>4</v>
      </c>
      <c r="D3">
        <v>0</v>
      </c>
      <c r="E3">
        <v>80.175650452466897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f t="shared" si="0"/>
        <v>2019</v>
      </c>
      <c r="S3" s="8">
        <v>0</v>
      </c>
      <c r="T3" s="8">
        <v>0</v>
      </c>
      <c r="U3" s="8">
        <v>0</v>
      </c>
      <c r="V3" s="8">
        <v>0</v>
      </c>
      <c r="W3" s="8">
        <v>0</v>
      </c>
      <c r="X3" s="8">
        <v>0</v>
      </c>
      <c r="Y3" s="8">
        <v>0</v>
      </c>
      <c r="Z3" s="8">
        <v>0</v>
      </c>
      <c r="AA3" s="8">
        <v>0</v>
      </c>
      <c r="AB3" s="8">
        <v>0</v>
      </c>
      <c r="AC3" s="8">
        <v>0</v>
      </c>
      <c r="AD3" s="8">
        <v>0</v>
      </c>
      <c r="AE3" s="8">
        <v>0</v>
      </c>
      <c r="AF3" s="8">
        <v>0</v>
      </c>
      <c r="AH3" s="9"/>
    </row>
    <row r="4" spans="1:37" x14ac:dyDescent="0.2">
      <c r="A4">
        <v>0</v>
      </c>
      <c r="B4" t="s">
        <v>69</v>
      </c>
      <c r="C4">
        <v>5</v>
      </c>
      <c r="D4">
        <v>0</v>
      </c>
      <c r="E4">
        <v>257.320048562605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f t="shared" si="0"/>
        <v>2020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H4" s="9"/>
    </row>
    <row r="5" spans="1:37" x14ac:dyDescent="0.2">
      <c r="A5">
        <v>0</v>
      </c>
      <c r="B5" t="s">
        <v>69</v>
      </c>
      <c r="C5">
        <v>6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1.99196185055396</v>
      </c>
      <c r="Q5">
        <v>0</v>
      </c>
      <c r="R5">
        <f t="shared" si="0"/>
        <v>2021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H5" s="9"/>
    </row>
    <row r="6" spans="1:37" x14ac:dyDescent="0.2">
      <c r="A6">
        <v>0</v>
      </c>
      <c r="B6" t="s">
        <v>69</v>
      </c>
      <c r="C6">
        <v>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f t="shared" si="0"/>
        <v>2022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H6" s="9"/>
    </row>
    <row r="7" spans="1:37" x14ac:dyDescent="0.2">
      <c r="A7">
        <v>0</v>
      </c>
      <c r="B7" t="s">
        <v>69</v>
      </c>
      <c r="C7">
        <v>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f t="shared" ref="R7:R34" si="1">+C7+2015</f>
        <v>2023</v>
      </c>
      <c r="S7" s="8">
        <v>0</v>
      </c>
      <c r="T7" s="8">
        <f t="shared" ref="T7:T34" si="2">+((E73-E7)*1000000)/1000000000</f>
        <v>0</v>
      </c>
      <c r="U7" s="8">
        <f t="shared" ref="U7:U34" si="3">+((F73-F7)*1000000)/1000000000</f>
        <v>0</v>
      </c>
      <c r="V7" s="8">
        <f t="shared" ref="V7:V34" si="4">+((G73-G7)*1000000)/1000000000</f>
        <v>0</v>
      </c>
      <c r="W7" s="8">
        <f t="shared" ref="W7:W34" si="5">+((H73-H7)*1000000)/1000000000</f>
        <v>0</v>
      </c>
      <c r="X7" s="8">
        <f t="shared" ref="X7:X34" si="6">+((I73-I7)*1000000)/1000000000</f>
        <v>0</v>
      </c>
      <c r="Y7" s="8">
        <f t="shared" ref="Y7:Y34" si="7">+((J73-J7)*1000000)/1000000000</f>
        <v>0</v>
      </c>
      <c r="Z7" s="8">
        <f t="shared" ref="Z7:Z34" si="8">+((K73-K7)*1000000)/1000000000</f>
        <v>0</v>
      </c>
      <c r="AA7" s="8">
        <v>0</v>
      </c>
      <c r="AB7" s="8">
        <f t="shared" ref="AB7:AB34" si="9">+((M73-M7)*1000000)/1000000000</f>
        <v>0</v>
      </c>
      <c r="AC7" s="8">
        <f t="shared" ref="AC7:AC34" si="10">+((N73-N7)*1000000)/1000000000</f>
        <v>0</v>
      </c>
      <c r="AD7" s="8">
        <f t="shared" ref="AD7:AD34" si="11">+((O73-O7)*1000000)/1000000000</f>
        <v>0</v>
      </c>
      <c r="AE7" s="8">
        <f t="shared" ref="AE7:AE34" si="12">+((P73-P7)*1000000)/1000000000</f>
        <v>0</v>
      </c>
      <c r="AF7" s="8">
        <f t="shared" ref="AF7:AF34" si="13">+((Q73-Q7)*1000000)/1000000000</f>
        <v>0</v>
      </c>
      <c r="AH7" s="9">
        <f t="shared" ref="AH7:AH33" si="14">+SUM(S7:AF7)</f>
        <v>0</v>
      </c>
      <c r="AI7" s="6">
        <v>2023</v>
      </c>
      <c r="AJ7" s="10">
        <v>0</v>
      </c>
      <c r="AK7" s="11">
        <f>+AH7-AJ7</f>
        <v>0</v>
      </c>
    </row>
    <row r="8" spans="1:37" x14ac:dyDescent="0.2">
      <c r="A8">
        <v>0</v>
      </c>
      <c r="B8" t="s">
        <v>69</v>
      </c>
      <c r="C8">
        <v>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f t="shared" si="1"/>
        <v>2024</v>
      </c>
      <c r="S8" s="8">
        <v>0</v>
      </c>
      <c r="T8" s="8">
        <f t="shared" si="2"/>
        <v>0</v>
      </c>
      <c r="U8" s="8">
        <f t="shared" si="3"/>
        <v>0</v>
      </c>
      <c r="V8" s="8">
        <f t="shared" si="4"/>
        <v>0</v>
      </c>
      <c r="W8" s="8">
        <f t="shared" si="5"/>
        <v>0</v>
      </c>
      <c r="X8" s="8">
        <f t="shared" si="6"/>
        <v>0</v>
      </c>
      <c r="Y8" s="8">
        <f t="shared" si="7"/>
        <v>0</v>
      </c>
      <c r="Z8" s="8">
        <f t="shared" si="8"/>
        <v>0</v>
      </c>
      <c r="AA8" s="8">
        <v>0</v>
      </c>
      <c r="AB8" s="8">
        <f t="shared" si="9"/>
        <v>0</v>
      </c>
      <c r="AC8" s="8">
        <f t="shared" si="10"/>
        <v>0</v>
      </c>
      <c r="AD8" s="8">
        <f t="shared" si="11"/>
        <v>0</v>
      </c>
      <c r="AE8" s="8">
        <f t="shared" si="12"/>
        <v>0</v>
      </c>
      <c r="AF8" s="8">
        <v>0</v>
      </c>
      <c r="AH8" s="9">
        <f t="shared" si="14"/>
        <v>0</v>
      </c>
      <c r="AI8" s="6">
        <v>2024</v>
      </c>
      <c r="AJ8" s="10">
        <v>0</v>
      </c>
      <c r="AK8" s="11">
        <f t="shared" ref="AK8:AK34" si="15">+AH8-AJ8</f>
        <v>0</v>
      </c>
    </row>
    <row r="9" spans="1:37" x14ac:dyDescent="0.2">
      <c r="A9">
        <v>0</v>
      </c>
      <c r="B9" t="s">
        <v>69</v>
      </c>
      <c r="C9">
        <v>10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f t="shared" si="1"/>
        <v>2025</v>
      </c>
      <c r="S9" s="8">
        <f t="shared" ref="S9:S34" si="16">+((D75-D9)*1000000)/1000000000</f>
        <v>0</v>
      </c>
      <c r="T9" s="8">
        <f t="shared" si="2"/>
        <v>0</v>
      </c>
      <c r="U9" s="8">
        <f t="shared" si="3"/>
        <v>0</v>
      </c>
      <c r="V9" s="8">
        <f t="shared" si="4"/>
        <v>0</v>
      </c>
      <c r="W9" s="8">
        <f t="shared" si="5"/>
        <v>0</v>
      </c>
      <c r="X9" s="8">
        <f t="shared" si="6"/>
        <v>0</v>
      </c>
      <c r="Y9" s="8">
        <f t="shared" si="7"/>
        <v>0</v>
      </c>
      <c r="Z9" s="8">
        <f t="shared" si="8"/>
        <v>0</v>
      </c>
      <c r="AA9" s="8">
        <f t="shared" ref="AA9:AA34" si="17">+((L75-L9)*1000000)/1000000000</f>
        <v>0</v>
      </c>
      <c r="AB9" s="8">
        <f t="shared" si="9"/>
        <v>0</v>
      </c>
      <c r="AC9" s="8">
        <f t="shared" si="10"/>
        <v>0</v>
      </c>
      <c r="AD9" s="8">
        <f t="shared" si="11"/>
        <v>0.104769484236769</v>
      </c>
      <c r="AE9" s="8">
        <f t="shared" si="12"/>
        <v>0</v>
      </c>
      <c r="AF9" s="8">
        <f t="shared" si="13"/>
        <v>1.5357880988821699</v>
      </c>
      <c r="AH9" s="9">
        <f t="shared" si="14"/>
        <v>1.640557583118939</v>
      </c>
      <c r="AI9" s="6">
        <v>2025</v>
      </c>
      <c r="AJ9" s="10">
        <v>1.6405575831189452</v>
      </c>
      <c r="AK9" s="11">
        <f t="shared" si="15"/>
        <v>-6.2172489379008766E-15</v>
      </c>
    </row>
    <row r="10" spans="1:37" x14ac:dyDescent="0.2">
      <c r="A10">
        <v>0</v>
      </c>
      <c r="B10" t="s">
        <v>69</v>
      </c>
      <c r="C10">
        <v>11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58.983251683056203</v>
      </c>
      <c r="M10">
        <v>0</v>
      </c>
      <c r="N10">
        <v>0</v>
      </c>
      <c r="O10">
        <v>0</v>
      </c>
      <c r="P10">
        <v>0</v>
      </c>
      <c r="Q10">
        <v>0</v>
      </c>
      <c r="R10">
        <f t="shared" si="1"/>
        <v>2026</v>
      </c>
      <c r="S10" s="8">
        <f t="shared" si="16"/>
        <v>0</v>
      </c>
      <c r="T10" s="8">
        <f t="shared" si="2"/>
        <v>0</v>
      </c>
      <c r="U10" s="8">
        <f t="shared" si="3"/>
        <v>0</v>
      </c>
      <c r="V10" s="8">
        <f t="shared" si="4"/>
        <v>0</v>
      </c>
      <c r="W10" s="8">
        <f t="shared" si="5"/>
        <v>0</v>
      </c>
      <c r="X10" s="8">
        <f t="shared" si="6"/>
        <v>0</v>
      </c>
      <c r="Y10" s="8">
        <f t="shared" si="7"/>
        <v>0</v>
      </c>
      <c r="Z10" s="8">
        <f t="shared" si="8"/>
        <v>0</v>
      </c>
      <c r="AA10" s="8">
        <f t="shared" si="17"/>
        <v>-5.8983251683056202E-2</v>
      </c>
      <c r="AB10" s="8">
        <f t="shared" si="9"/>
        <v>0</v>
      </c>
      <c r="AC10" s="8">
        <f t="shared" si="10"/>
        <v>0</v>
      </c>
      <c r="AD10" s="8">
        <f t="shared" si="11"/>
        <v>0.40523349419448296</v>
      </c>
      <c r="AE10" s="8">
        <f t="shared" si="12"/>
        <v>0</v>
      </c>
      <c r="AF10" s="8">
        <f t="shared" si="13"/>
        <v>0</v>
      </c>
      <c r="AH10" s="9">
        <f t="shared" si="14"/>
        <v>0.34625024251142678</v>
      </c>
      <c r="AI10" s="6">
        <v>2026</v>
      </c>
      <c r="AJ10" s="10">
        <v>0.34625024251142672</v>
      </c>
      <c r="AK10" s="11">
        <f t="shared" si="15"/>
        <v>0</v>
      </c>
    </row>
    <row r="11" spans="1:37" x14ac:dyDescent="0.2">
      <c r="A11">
        <v>0</v>
      </c>
      <c r="B11" t="s">
        <v>69</v>
      </c>
      <c r="C11">
        <v>12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65.205572186605096</v>
      </c>
      <c r="M11">
        <v>0</v>
      </c>
      <c r="N11">
        <v>0</v>
      </c>
      <c r="O11">
        <v>0</v>
      </c>
      <c r="P11">
        <v>0.140827588214856</v>
      </c>
      <c r="Q11">
        <v>366.90888014202102</v>
      </c>
      <c r="R11">
        <f t="shared" si="1"/>
        <v>2027</v>
      </c>
      <c r="S11" s="8">
        <f t="shared" si="16"/>
        <v>3.2391875952398598E-2</v>
      </c>
      <c r="T11" s="8">
        <f t="shared" si="2"/>
        <v>0</v>
      </c>
      <c r="U11" s="8">
        <f t="shared" si="3"/>
        <v>0</v>
      </c>
      <c r="V11" s="8">
        <f t="shared" si="4"/>
        <v>0</v>
      </c>
      <c r="W11" s="8">
        <f t="shared" si="5"/>
        <v>0</v>
      </c>
      <c r="X11" s="8">
        <f t="shared" si="6"/>
        <v>0</v>
      </c>
      <c r="Y11" s="8">
        <f t="shared" si="7"/>
        <v>0</v>
      </c>
      <c r="Z11" s="8">
        <f t="shared" si="8"/>
        <v>0</v>
      </c>
      <c r="AA11" s="8">
        <f t="shared" si="17"/>
        <v>-6.5205572186605096E-2</v>
      </c>
      <c r="AB11" s="8">
        <f t="shared" si="9"/>
        <v>0</v>
      </c>
      <c r="AC11" s="8">
        <f t="shared" si="10"/>
        <v>0</v>
      </c>
      <c r="AD11" s="8">
        <f t="shared" si="11"/>
        <v>0.65869365419028603</v>
      </c>
      <c r="AE11" s="8">
        <f t="shared" si="12"/>
        <v>-1.40827588214856E-4</v>
      </c>
      <c r="AF11" s="8">
        <f t="shared" si="13"/>
        <v>1.2917340563591189</v>
      </c>
      <c r="AH11" s="9">
        <f t="shared" si="14"/>
        <v>1.9174731867269834</v>
      </c>
      <c r="AI11" s="6">
        <v>2027</v>
      </c>
      <c r="AJ11" s="10">
        <v>1.9174731867269932</v>
      </c>
      <c r="AK11" s="11">
        <f t="shared" si="15"/>
        <v>-9.7699626167013776E-15</v>
      </c>
    </row>
    <row r="12" spans="1:37" x14ac:dyDescent="0.2">
      <c r="A12">
        <v>0</v>
      </c>
      <c r="B12" t="s">
        <v>69</v>
      </c>
      <c r="C12">
        <v>13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66.544850544396098</v>
      </c>
      <c r="M12">
        <v>0</v>
      </c>
      <c r="N12">
        <v>0</v>
      </c>
      <c r="O12">
        <v>0</v>
      </c>
      <c r="P12">
        <v>0.14398197788554801</v>
      </c>
      <c r="Q12">
        <v>141.52511863934399</v>
      </c>
      <c r="R12">
        <f t="shared" si="1"/>
        <v>2028</v>
      </c>
      <c r="S12" s="8">
        <f t="shared" si="16"/>
        <v>0</v>
      </c>
      <c r="T12" s="8">
        <f t="shared" si="2"/>
        <v>0</v>
      </c>
      <c r="U12" s="8">
        <f t="shared" si="3"/>
        <v>0</v>
      </c>
      <c r="V12" s="8">
        <f t="shared" si="4"/>
        <v>0</v>
      </c>
      <c r="W12" s="8">
        <f t="shared" si="5"/>
        <v>0</v>
      </c>
      <c r="X12" s="8">
        <f t="shared" si="6"/>
        <v>0</v>
      </c>
      <c r="Y12" s="8">
        <f t="shared" si="7"/>
        <v>0</v>
      </c>
      <c r="Z12" s="8">
        <f t="shared" si="8"/>
        <v>0</v>
      </c>
      <c r="AA12" s="8">
        <f t="shared" si="17"/>
        <v>-6.65448505443961E-2</v>
      </c>
      <c r="AB12" s="8">
        <f t="shared" si="9"/>
        <v>0</v>
      </c>
      <c r="AC12" s="8">
        <f t="shared" si="10"/>
        <v>0</v>
      </c>
      <c r="AD12" s="8">
        <f t="shared" si="11"/>
        <v>1.39898574269508</v>
      </c>
      <c r="AE12" s="8">
        <f t="shared" si="12"/>
        <v>-1.4398197788554798E-4</v>
      </c>
      <c r="AF12" s="8">
        <f t="shared" si="13"/>
        <v>1.2666592059686759</v>
      </c>
      <c r="AH12" s="9">
        <f t="shared" si="14"/>
        <v>2.5989561161414745</v>
      </c>
      <c r="AI12" s="6">
        <v>2028</v>
      </c>
      <c r="AJ12" s="10">
        <v>2.59895611614149</v>
      </c>
      <c r="AK12" s="11">
        <f t="shared" si="15"/>
        <v>-1.5543122344752192E-14</v>
      </c>
    </row>
    <row r="13" spans="1:37" x14ac:dyDescent="0.2">
      <c r="A13">
        <v>0</v>
      </c>
      <c r="B13" t="s">
        <v>69</v>
      </c>
      <c r="C13">
        <v>14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68.595845213496403</v>
      </c>
      <c r="M13">
        <v>0</v>
      </c>
      <c r="N13">
        <v>0</v>
      </c>
      <c r="O13">
        <v>0</v>
      </c>
      <c r="P13">
        <v>0.14893914648371001</v>
      </c>
      <c r="Q13">
        <v>640.92050896833302</v>
      </c>
      <c r="R13">
        <f t="shared" si="1"/>
        <v>2029</v>
      </c>
      <c r="S13" s="8">
        <f t="shared" si="16"/>
        <v>0</v>
      </c>
      <c r="T13" s="8">
        <f t="shared" si="2"/>
        <v>0</v>
      </c>
      <c r="U13" s="8">
        <f t="shared" si="3"/>
        <v>0</v>
      </c>
      <c r="V13" s="8">
        <f t="shared" si="4"/>
        <v>0</v>
      </c>
      <c r="W13" s="8">
        <f t="shared" si="5"/>
        <v>0</v>
      </c>
      <c r="X13" s="8">
        <f t="shared" si="6"/>
        <v>0</v>
      </c>
      <c r="Y13" s="8">
        <f t="shared" si="7"/>
        <v>0</v>
      </c>
      <c r="Z13" s="8">
        <f t="shared" si="8"/>
        <v>0</v>
      </c>
      <c r="AA13" s="8">
        <f t="shared" si="17"/>
        <v>-6.8595845213496404E-2</v>
      </c>
      <c r="AB13" s="8">
        <f t="shared" si="9"/>
        <v>0</v>
      </c>
      <c r="AC13" s="8">
        <f t="shared" si="10"/>
        <v>0</v>
      </c>
      <c r="AD13" s="8">
        <f t="shared" si="11"/>
        <v>3.3421624972392303</v>
      </c>
      <c r="AE13" s="8">
        <f t="shared" si="12"/>
        <v>-1.4893914648371001E-4</v>
      </c>
      <c r="AF13" s="8">
        <f t="shared" si="13"/>
        <v>4.1481266627788873</v>
      </c>
      <c r="AH13" s="9">
        <f t="shared" si="14"/>
        <v>7.4215443756581383</v>
      </c>
      <c r="AI13" s="6">
        <v>2029</v>
      </c>
      <c r="AJ13" s="10">
        <v>7.4215443756581418</v>
      </c>
      <c r="AK13" s="11">
        <f t="shared" si="15"/>
        <v>0</v>
      </c>
    </row>
    <row r="14" spans="1:37" x14ac:dyDescent="0.2">
      <c r="A14">
        <v>0</v>
      </c>
      <c r="B14" t="s">
        <v>69</v>
      </c>
      <c r="C14">
        <v>15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69.414106873240996</v>
      </c>
      <c r="M14">
        <v>0</v>
      </c>
      <c r="N14">
        <v>0</v>
      </c>
      <c r="O14">
        <v>0</v>
      </c>
      <c r="P14">
        <v>0.151470978451231</v>
      </c>
      <c r="Q14">
        <v>140.96151387456001</v>
      </c>
      <c r="R14">
        <f t="shared" si="1"/>
        <v>2030</v>
      </c>
      <c r="S14" s="8">
        <f t="shared" si="16"/>
        <v>2.2541194704243199E-2</v>
      </c>
      <c r="T14" s="8">
        <f t="shared" si="2"/>
        <v>0</v>
      </c>
      <c r="U14" s="8">
        <f t="shared" si="3"/>
        <v>0</v>
      </c>
      <c r="V14" s="8">
        <f t="shared" si="4"/>
        <v>0</v>
      </c>
      <c r="W14" s="8">
        <f t="shared" si="5"/>
        <v>0</v>
      </c>
      <c r="X14" s="8">
        <f t="shared" si="6"/>
        <v>0</v>
      </c>
      <c r="Y14" s="8">
        <f t="shared" si="7"/>
        <v>0</v>
      </c>
      <c r="Z14" s="8">
        <f t="shared" si="8"/>
        <v>0</v>
      </c>
      <c r="AA14" s="8">
        <f t="shared" si="17"/>
        <v>-6.9414106873240997E-2</v>
      </c>
      <c r="AB14" s="8">
        <f t="shared" si="9"/>
        <v>0</v>
      </c>
      <c r="AC14" s="8">
        <f t="shared" si="10"/>
        <v>0</v>
      </c>
      <c r="AD14" s="8">
        <f t="shared" si="11"/>
        <v>2.5541809623251899</v>
      </c>
      <c r="AE14" s="8">
        <f t="shared" si="12"/>
        <v>-1.5147097845123099E-4</v>
      </c>
      <c r="AF14" s="8">
        <f t="shared" si="13"/>
        <v>9.8541427975176106</v>
      </c>
      <c r="AH14" s="9">
        <f t="shared" si="14"/>
        <v>12.361299376695351</v>
      </c>
      <c r="AI14" s="6">
        <v>2030</v>
      </c>
      <c r="AJ14" s="10">
        <v>12.361299376695355</v>
      </c>
      <c r="AK14" s="11">
        <f t="shared" si="15"/>
        <v>0</v>
      </c>
    </row>
    <row r="15" spans="1:37" x14ac:dyDescent="0.2">
      <c r="A15">
        <v>0</v>
      </c>
      <c r="B15" t="s">
        <v>69</v>
      </c>
      <c r="C15">
        <v>16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62.906069860858402</v>
      </c>
      <c r="M15">
        <v>0</v>
      </c>
      <c r="N15">
        <v>0</v>
      </c>
      <c r="O15">
        <v>30.362149554240499</v>
      </c>
      <c r="P15">
        <v>7.2057330689421102</v>
      </c>
      <c r="Q15">
        <v>139.310860036376</v>
      </c>
      <c r="R15">
        <f t="shared" si="1"/>
        <v>2031</v>
      </c>
      <c r="S15" s="8">
        <f t="shared" si="16"/>
        <v>6.9704684626969299E-2</v>
      </c>
      <c r="T15" s="8">
        <f t="shared" si="2"/>
        <v>0</v>
      </c>
      <c r="U15" s="8">
        <f t="shared" si="3"/>
        <v>0</v>
      </c>
      <c r="V15" s="8">
        <f t="shared" si="4"/>
        <v>0</v>
      </c>
      <c r="W15" s="8">
        <f t="shared" si="5"/>
        <v>0</v>
      </c>
      <c r="X15" s="8">
        <f t="shared" si="6"/>
        <v>0</v>
      </c>
      <c r="Y15" s="8">
        <f t="shared" si="7"/>
        <v>0</v>
      </c>
      <c r="Z15" s="8">
        <f t="shared" si="8"/>
        <v>0</v>
      </c>
      <c r="AA15" s="8">
        <f t="shared" si="17"/>
        <v>-6.2906069860858407E-2</v>
      </c>
      <c r="AB15" s="8">
        <f t="shared" si="9"/>
        <v>0</v>
      </c>
      <c r="AC15" s="8">
        <f t="shared" si="10"/>
        <v>0</v>
      </c>
      <c r="AD15" s="8">
        <f t="shared" si="11"/>
        <v>4.7578126597356896</v>
      </c>
      <c r="AE15" s="8">
        <f t="shared" si="12"/>
        <v>-7.2057330689421105E-3</v>
      </c>
      <c r="AF15" s="8">
        <f t="shared" si="13"/>
        <v>5.7746119904074042</v>
      </c>
      <c r="AH15" s="9">
        <f t="shared" si="14"/>
        <v>10.532017531840262</v>
      </c>
      <c r="AI15" s="6">
        <v>2031</v>
      </c>
      <c r="AJ15" s="10">
        <v>10.532017531840262</v>
      </c>
      <c r="AK15" s="11">
        <f t="shared" si="15"/>
        <v>0</v>
      </c>
    </row>
    <row r="16" spans="1:37" x14ac:dyDescent="0.2">
      <c r="A16">
        <v>0</v>
      </c>
      <c r="B16" t="s">
        <v>69</v>
      </c>
      <c r="C16">
        <v>17</v>
      </c>
      <c r="D16">
        <v>0.38236936843165298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70.2205343311105</v>
      </c>
      <c r="M16">
        <v>0</v>
      </c>
      <c r="N16">
        <v>0</v>
      </c>
      <c r="O16">
        <v>39.981636672967397</v>
      </c>
      <c r="P16">
        <v>0.307375379714312</v>
      </c>
      <c r="Q16">
        <v>137.613988684182</v>
      </c>
      <c r="R16">
        <f t="shared" si="1"/>
        <v>2032</v>
      </c>
      <c r="S16" s="8">
        <f t="shared" si="16"/>
        <v>5.7340497519485147E-2</v>
      </c>
      <c r="T16" s="8">
        <f t="shared" si="2"/>
        <v>0</v>
      </c>
      <c r="U16" s="8">
        <f t="shared" si="3"/>
        <v>0</v>
      </c>
      <c r="V16" s="8">
        <f t="shared" si="4"/>
        <v>0</v>
      </c>
      <c r="W16" s="8">
        <f t="shared" si="5"/>
        <v>0</v>
      </c>
      <c r="X16" s="8">
        <f t="shared" si="6"/>
        <v>0</v>
      </c>
      <c r="Y16" s="8">
        <f t="shared" si="7"/>
        <v>0</v>
      </c>
      <c r="Z16" s="8">
        <f t="shared" si="8"/>
        <v>0</v>
      </c>
      <c r="AA16" s="8">
        <f t="shared" si="17"/>
        <v>-7.0220534331110487E-2</v>
      </c>
      <c r="AB16" s="8">
        <f t="shared" si="9"/>
        <v>0</v>
      </c>
      <c r="AC16" s="8">
        <f t="shared" si="10"/>
        <v>0</v>
      </c>
      <c r="AD16" s="8">
        <f t="shared" si="11"/>
        <v>-3.9981636672967398E-2</v>
      </c>
      <c r="AE16" s="8">
        <f t="shared" si="12"/>
        <v>-2.3999783260678307E-4</v>
      </c>
      <c r="AF16" s="8">
        <f t="shared" si="13"/>
        <v>2.5758980012497683</v>
      </c>
      <c r="AH16" s="9">
        <f t="shared" si="14"/>
        <v>2.5227963299325689</v>
      </c>
      <c r="AI16" s="6">
        <v>2032</v>
      </c>
      <c r="AJ16" s="10">
        <v>2.5227963299325706</v>
      </c>
      <c r="AK16" s="11">
        <f t="shared" si="15"/>
        <v>0</v>
      </c>
    </row>
    <row r="17" spans="1:37" x14ac:dyDescent="0.2">
      <c r="A17">
        <v>0</v>
      </c>
      <c r="B17" t="s">
        <v>69</v>
      </c>
      <c r="C17">
        <v>18</v>
      </c>
      <c r="D17">
        <v>4.2020011661019298E-2</v>
      </c>
      <c r="E17">
        <v>0</v>
      </c>
      <c r="F17">
        <v>229.535902472933</v>
      </c>
      <c r="G17">
        <v>0</v>
      </c>
      <c r="H17">
        <v>0</v>
      </c>
      <c r="I17">
        <v>0</v>
      </c>
      <c r="J17">
        <v>0</v>
      </c>
      <c r="K17">
        <v>0</v>
      </c>
      <c r="L17">
        <v>71.491029009485203</v>
      </c>
      <c r="M17">
        <v>0</v>
      </c>
      <c r="N17">
        <v>0</v>
      </c>
      <c r="O17">
        <v>39.477668793725101</v>
      </c>
      <c r="P17">
        <v>0.31226601345812</v>
      </c>
      <c r="Q17">
        <v>635.364961143404</v>
      </c>
      <c r="R17">
        <f t="shared" si="1"/>
        <v>2033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H17" s="9">
        <f>+SUM(S17:AF17)</f>
        <v>0</v>
      </c>
      <c r="AK17" s="11">
        <f t="shared" si="15"/>
        <v>0</v>
      </c>
    </row>
    <row r="18" spans="1:37" x14ac:dyDescent="0.2">
      <c r="A18">
        <v>0</v>
      </c>
      <c r="B18" t="s">
        <v>69</v>
      </c>
      <c r="C18">
        <v>19</v>
      </c>
      <c r="D18">
        <v>4.21369525701175E-2</v>
      </c>
      <c r="E18">
        <v>0</v>
      </c>
      <c r="F18">
        <v>265.92101999530598</v>
      </c>
      <c r="G18">
        <v>0</v>
      </c>
      <c r="H18">
        <v>0</v>
      </c>
      <c r="I18">
        <v>0</v>
      </c>
      <c r="J18">
        <v>0</v>
      </c>
      <c r="K18">
        <v>0</v>
      </c>
      <c r="L18">
        <v>72.213540094923403</v>
      </c>
      <c r="M18">
        <v>0</v>
      </c>
      <c r="N18">
        <v>205.19331874528899</v>
      </c>
      <c r="O18">
        <v>38.965377838916403</v>
      </c>
      <c r="P18">
        <v>0.31714764618827201</v>
      </c>
      <c r="Q18">
        <v>1088.7055329898401</v>
      </c>
      <c r="R18">
        <f t="shared" si="1"/>
        <v>2034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H18" s="9">
        <f t="shared" si="14"/>
        <v>0</v>
      </c>
      <c r="AK18" s="11">
        <f t="shared" si="15"/>
        <v>0</v>
      </c>
    </row>
    <row r="19" spans="1:37" x14ac:dyDescent="0.2">
      <c r="A19">
        <v>0</v>
      </c>
      <c r="B19" t="s">
        <v>69</v>
      </c>
      <c r="C19">
        <v>20</v>
      </c>
      <c r="D19">
        <v>4.2249505012989498E-2</v>
      </c>
      <c r="E19">
        <v>0</v>
      </c>
      <c r="F19">
        <v>268.51540541378603</v>
      </c>
      <c r="G19">
        <v>0</v>
      </c>
      <c r="H19">
        <v>942.05306636991395</v>
      </c>
      <c r="I19">
        <v>0</v>
      </c>
      <c r="J19">
        <v>0</v>
      </c>
      <c r="K19">
        <v>0</v>
      </c>
      <c r="L19">
        <v>72.917510873032796</v>
      </c>
      <c r="M19">
        <v>0</v>
      </c>
      <c r="N19">
        <v>9.7938602216344499</v>
      </c>
      <c r="O19">
        <v>38.446102037411201</v>
      </c>
      <c r="P19">
        <v>0.32201831367742401</v>
      </c>
      <c r="Q19">
        <v>2324.0081199278802</v>
      </c>
      <c r="R19">
        <f t="shared" si="1"/>
        <v>2035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H19" s="9">
        <f t="shared" si="14"/>
        <v>0</v>
      </c>
      <c r="AK19" s="11">
        <f t="shared" si="15"/>
        <v>0</v>
      </c>
    </row>
    <row r="20" spans="1:37" x14ac:dyDescent="0.2">
      <c r="A20">
        <v>0</v>
      </c>
      <c r="B20" t="s">
        <v>69</v>
      </c>
      <c r="C20">
        <v>21</v>
      </c>
      <c r="D20">
        <v>4.2361627126647997E-2</v>
      </c>
      <c r="E20">
        <v>0</v>
      </c>
      <c r="F20">
        <v>1676.2381035879901</v>
      </c>
      <c r="G20">
        <v>0</v>
      </c>
      <c r="H20">
        <v>18.182531864993798</v>
      </c>
      <c r="I20">
        <v>0</v>
      </c>
      <c r="J20">
        <v>0</v>
      </c>
      <c r="K20">
        <v>0</v>
      </c>
      <c r="L20">
        <v>72.5494323658871</v>
      </c>
      <c r="M20">
        <v>0</v>
      </c>
      <c r="N20">
        <v>9.8861045970973809</v>
      </c>
      <c r="O20">
        <v>36.873982595566602</v>
      </c>
      <c r="P20">
        <v>0.32688308525766402</v>
      </c>
      <c r="Q20">
        <v>1107.1527556242099</v>
      </c>
      <c r="R20">
        <f t="shared" si="1"/>
        <v>2036</v>
      </c>
      <c r="S20" s="8">
        <f t="shared" si="16"/>
        <v>3.5280678635858251E-2</v>
      </c>
      <c r="T20" s="8">
        <f t="shared" si="2"/>
        <v>0</v>
      </c>
      <c r="U20" s="8">
        <f t="shared" si="3"/>
        <v>-1.6762381035879901</v>
      </c>
      <c r="V20" s="8">
        <f t="shared" si="4"/>
        <v>0</v>
      </c>
      <c r="W20" s="8">
        <f t="shared" si="5"/>
        <v>-1.8182531864993801E-2</v>
      </c>
      <c r="X20" s="8">
        <f t="shared" si="6"/>
        <v>0</v>
      </c>
      <c r="Y20" s="8">
        <f t="shared" si="7"/>
        <v>0</v>
      </c>
      <c r="Z20" s="8">
        <f t="shared" si="8"/>
        <v>0</v>
      </c>
      <c r="AA20" s="8">
        <f t="shared" si="17"/>
        <v>-1.7588281072504701E-2</v>
      </c>
      <c r="AB20" s="8">
        <f t="shared" si="9"/>
        <v>0</v>
      </c>
      <c r="AC20" s="8">
        <f t="shared" si="10"/>
        <v>-9.8861045970973799E-3</v>
      </c>
      <c r="AD20" s="8">
        <f t="shared" si="11"/>
        <v>0.64735749208241034</v>
      </c>
      <c r="AE20" s="8">
        <f t="shared" si="12"/>
        <v>-3.2688308525766403E-4</v>
      </c>
      <c r="AF20" s="8">
        <f t="shared" si="13"/>
        <v>1.2099659083248804</v>
      </c>
      <c r="AH20" s="9">
        <f t="shared" si="14"/>
        <v>0.17038217483530516</v>
      </c>
      <c r="AI20" s="6">
        <v>2036</v>
      </c>
      <c r="AJ20" s="10">
        <v>0.17038217483529269</v>
      </c>
      <c r="AK20" s="11">
        <f t="shared" si="15"/>
        <v>1.2462253451417382E-14</v>
      </c>
    </row>
    <row r="21" spans="1:37" x14ac:dyDescent="0.2">
      <c r="A21">
        <v>0</v>
      </c>
      <c r="B21" t="s">
        <v>69</v>
      </c>
      <c r="C21">
        <v>22</v>
      </c>
      <c r="D21">
        <v>4.2475680383177297E-2</v>
      </c>
      <c r="E21">
        <v>0</v>
      </c>
      <c r="F21">
        <v>273.506967941102</v>
      </c>
      <c r="G21">
        <v>0</v>
      </c>
      <c r="H21">
        <v>18.347725980743402</v>
      </c>
      <c r="I21">
        <v>0</v>
      </c>
      <c r="J21">
        <v>0</v>
      </c>
      <c r="K21">
        <v>0</v>
      </c>
      <c r="L21">
        <v>35.743803425334598</v>
      </c>
      <c r="M21">
        <v>0</v>
      </c>
      <c r="N21">
        <v>9.9759230183841403</v>
      </c>
      <c r="O21">
        <v>0</v>
      </c>
      <c r="P21">
        <v>0.33174208648854803</v>
      </c>
      <c r="Q21">
        <v>616.11034868929301</v>
      </c>
      <c r="R21">
        <f t="shared" si="1"/>
        <v>2037</v>
      </c>
      <c r="S21" s="8">
        <f t="shared" si="16"/>
        <v>3.5263744811010522E-2</v>
      </c>
      <c r="T21" s="8">
        <f t="shared" si="2"/>
        <v>0</v>
      </c>
      <c r="U21" s="8">
        <f t="shared" si="3"/>
        <v>-0.27350696794110202</v>
      </c>
      <c r="V21" s="8">
        <f t="shared" si="4"/>
        <v>0</v>
      </c>
      <c r="W21" s="8">
        <f t="shared" si="5"/>
        <v>-1.8347725980743402E-2</v>
      </c>
      <c r="X21" s="8">
        <f t="shared" si="6"/>
        <v>0</v>
      </c>
      <c r="Y21" s="8">
        <f t="shared" si="7"/>
        <v>0</v>
      </c>
      <c r="Z21" s="8">
        <f t="shared" si="8"/>
        <v>0</v>
      </c>
      <c r="AA21" s="8">
        <f t="shared" si="17"/>
        <v>-3.5743803425334598E-2</v>
      </c>
      <c r="AB21" s="8">
        <f t="shared" si="9"/>
        <v>0</v>
      </c>
      <c r="AC21" s="8">
        <f t="shared" si="10"/>
        <v>-9.9759230183841408E-3</v>
      </c>
      <c r="AD21" s="8">
        <f t="shared" si="11"/>
        <v>0.79282000067101199</v>
      </c>
      <c r="AE21" s="8">
        <f t="shared" si="12"/>
        <v>-3.3174208648854804E-4</v>
      </c>
      <c r="AF21" s="8">
        <f t="shared" si="13"/>
        <v>1.2509914696576869</v>
      </c>
      <c r="AH21" s="9">
        <f t="shared" si="14"/>
        <v>1.7411690526876566</v>
      </c>
      <c r="AI21" s="6">
        <v>2037</v>
      </c>
      <c r="AJ21" s="10">
        <v>1.7411690526876595</v>
      </c>
      <c r="AK21" s="11">
        <f t="shared" si="15"/>
        <v>-2.886579864025407E-15</v>
      </c>
    </row>
    <row r="22" spans="1:37" x14ac:dyDescent="0.2">
      <c r="A22">
        <v>0</v>
      </c>
      <c r="B22" t="s">
        <v>69</v>
      </c>
      <c r="C22">
        <v>23</v>
      </c>
      <c r="D22">
        <v>4.2591085361502697E-2</v>
      </c>
      <c r="E22">
        <v>0</v>
      </c>
      <c r="F22">
        <v>275.89865515100001</v>
      </c>
      <c r="G22">
        <v>0</v>
      </c>
      <c r="H22">
        <v>18.508168041458401</v>
      </c>
      <c r="I22">
        <v>0</v>
      </c>
      <c r="J22">
        <v>0</v>
      </c>
      <c r="K22">
        <v>0</v>
      </c>
      <c r="L22">
        <v>33.621005233802698</v>
      </c>
      <c r="M22">
        <v>0</v>
      </c>
      <c r="N22">
        <v>10.0631576788746</v>
      </c>
      <c r="O22">
        <v>0</v>
      </c>
      <c r="P22">
        <v>0.33658686474729199</v>
      </c>
      <c r="Q22">
        <v>173.40882115676001</v>
      </c>
      <c r="R22">
        <f t="shared" si="1"/>
        <v>2038</v>
      </c>
      <c r="S22" s="8">
        <f t="shared" si="16"/>
        <v>1.1304374515408597E-2</v>
      </c>
      <c r="T22" s="8">
        <f t="shared" si="2"/>
        <v>0</v>
      </c>
      <c r="U22" s="8">
        <f t="shared" si="3"/>
        <v>-0.27589865515100004</v>
      </c>
      <c r="V22" s="8">
        <f t="shared" si="4"/>
        <v>0</v>
      </c>
      <c r="W22" s="8">
        <f t="shared" si="5"/>
        <v>-1.8508168041458401E-2</v>
      </c>
      <c r="X22" s="8">
        <f t="shared" si="6"/>
        <v>0</v>
      </c>
      <c r="Y22" s="8">
        <f t="shared" si="7"/>
        <v>0</v>
      </c>
      <c r="Z22" s="8">
        <f t="shared" si="8"/>
        <v>0</v>
      </c>
      <c r="AA22" s="8">
        <f t="shared" si="17"/>
        <v>-3.3621005233802702E-2</v>
      </c>
      <c r="AB22" s="8">
        <f t="shared" si="9"/>
        <v>0</v>
      </c>
      <c r="AC22" s="8">
        <f t="shared" si="10"/>
        <v>-1.0063157678874599E-2</v>
      </c>
      <c r="AD22" s="8">
        <f t="shared" si="11"/>
        <v>0.78974585550890897</v>
      </c>
      <c r="AE22" s="8">
        <f t="shared" si="12"/>
        <v>-3.3658686474729199E-4</v>
      </c>
      <c r="AF22" s="8">
        <f t="shared" si="13"/>
        <v>1.16275108080537</v>
      </c>
      <c r="AH22" s="9">
        <f t="shared" si="14"/>
        <v>1.6253737378598045</v>
      </c>
      <c r="AI22" s="6">
        <v>2038</v>
      </c>
      <c r="AJ22" s="10">
        <v>1.6253737378598117</v>
      </c>
      <c r="AK22" s="11">
        <f t="shared" si="15"/>
        <v>-7.1054273576010019E-15</v>
      </c>
    </row>
    <row r="23" spans="1:37" x14ac:dyDescent="0.2">
      <c r="A23">
        <v>0</v>
      </c>
      <c r="B23" t="s">
        <v>69</v>
      </c>
      <c r="C23">
        <v>24</v>
      </c>
      <c r="D23">
        <v>4.2710705099426802E-2</v>
      </c>
      <c r="E23">
        <v>0</v>
      </c>
      <c r="F23">
        <v>278.21684460415401</v>
      </c>
      <c r="G23">
        <v>0</v>
      </c>
      <c r="H23">
        <v>18.663679636592899</v>
      </c>
      <c r="I23">
        <v>0</v>
      </c>
      <c r="J23">
        <v>0</v>
      </c>
      <c r="K23">
        <v>0</v>
      </c>
      <c r="L23">
        <v>36.359666444525999</v>
      </c>
      <c r="M23">
        <v>0</v>
      </c>
      <c r="N23">
        <v>10.147711574157</v>
      </c>
      <c r="O23">
        <v>0</v>
      </c>
      <c r="P23">
        <v>0.34141843131739402</v>
      </c>
      <c r="Q23">
        <v>257.72399063125101</v>
      </c>
      <c r="R23">
        <f t="shared" si="1"/>
        <v>2039</v>
      </c>
      <c r="S23" s="8">
        <f t="shared" si="16"/>
        <v>1.1702838866740473E-2</v>
      </c>
      <c r="T23" s="8">
        <f t="shared" si="2"/>
        <v>0</v>
      </c>
      <c r="U23" s="8">
        <f t="shared" si="3"/>
        <v>-0.27821684460415397</v>
      </c>
      <c r="V23" s="8">
        <f t="shared" si="4"/>
        <v>0</v>
      </c>
      <c r="W23" s="8">
        <f t="shared" si="5"/>
        <v>-1.8663679636592899E-2</v>
      </c>
      <c r="X23" s="8">
        <f t="shared" si="6"/>
        <v>0</v>
      </c>
      <c r="Y23" s="8">
        <f t="shared" si="7"/>
        <v>0</v>
      </c>
      <c r="Z23" s="8">
        <f t="shared" si="8"/>
        <v>0</v>
      </c>
      <c r="AA23" s="8">
        <f t="shared" si="17"/>
        <v>0.339772950122252</v>
      </c>
      <c r="AB23" s="8">
        <f t="shared" si="9"/>
        <v>0</v>
      </c>
      <c r="AC23" s="8">
        <f t="shared" si="10"/>
        <v>-1.0147711574157E-2</v>
      </c>
      <c r="AD23" s="8">
        <f t="shared" si="11"/>
        <v>0.321676741910499</v>
      </c>
      <c r="AE23" s="8">
        <f t="shared" si="12"/>
        <v>-3.4141843131739404E-4</v>
      </c>
      <c r="AF23" s="8">
        <f t="shared" si="13"/>
        <v>1.018145555445259</v>
      </c>
      <c r="AH23" s="9">
        <f t="shared" si="14"/>
        <v>1.3839284320985292</v>
      </c>
      <c r="AI23" s="6">
        <v>2039</v>
      </c>
      <c r="AJ23" s="10">
        <v>1.3839284320985346</v>
      </c>
      <c r="AK23" s="11">
        <f t="shared" si="15"/>
        <v>-5.3290705182007514E-15</v>
      </c>
    </row>
    <row r="24" spans="1:37" x14ac:dyDescent="0.2">
      <c r="A24">
        <v>0</v>
      </c>
      <c r="B24" t="s">
        <v>69</v>
      </c>
      <c r="C24">
        <v>25</v>
      </c>
      <c r="D24">
        <v>7.3107925388077097</v>
      </c>
      <c r="E24">
        <v>0</v>
      </c>
      <c r="F24">
        <v>280.45613050651298</v>
      </c>
      <c r="G24">
        <v>0</v>
      </c>
      <c r="H24">
        <v>18.813898128032601</v>
      </c>
      <c r="I24">
        <v>0</v>
      </c>
      <c r="J24">
        <v>0</v>
      </c>
      <c r="K24">
        <v>0</v>
      </c>
      <c r="L24">
        <v>1193.9719533600401</v>
      </c>
      <c r="M24">
        <v>0</v>
      </c>
      <c r="N24">
        <v>10.229387532713799</v>
      </c>
      <c r="O24">
        <v>0</v>
      </c>
      <c r="P24">
        <v>0.346231638320181</v>
      </c>
      <c r="Q24">
        <v>164.80544886887901</v>
      </c>
      <c r="R24">
        <f t="shared" si="1"/>
        <v>2040</v>
      </c>
      <c r="S24" s="8">
        <f t="shared" si="16"/>
        <v>0.15657943120440332</v>
      </c>
      <c r="T24" s="8">
        <f t="shared" si="2"/>
        <v>0</v>
      </c>
      <c r="U24" s="8">
        <f t="shared" si="3"/>
        <v>-0.28045613050651302</v>
      </c>
      <c r="V24" s="8">
        <f t="shared" si="4"/>
        <v>0</v>
      </c>
      <c r="W24" s="8">
        <f t="shared" si="5"/>
        <v>-1.8813898128032601E-2</v>
      </c>
      <c r="X24" s="8">
        <f t="shared" si="6"/>
        <v>0</v>
      </c>
      <c r="Y24" s="8">
        <f t="shared" si="7"/>
        <v>0</v>
      </c>
      <c r="Z24" s="8">
        <f t="shared" si="8"/>
        <v>0</v>
      </c>
      <c r="AA24" s="8">
        <f t="shared" si="17"/>
        <v>-0.68322223801329207</v>
      </c>
      <c r="AB24" s="8">
        <f t="shared" si="9"/>
        <v>0</v>
      </c>
      <c r="AC24" s="8">
        <f t="shared" si="10"/>
        <v>-1.02293875327138E-2</v>
      </c>
      <c r="AD24" s="8">
        <f t="shared" si="11"/>
        <v>0.427552948032278</v>
      </c>
      <c r="AE24" s="8">
        <f t="shared" si="12"/>
        <v>-3.4623163832018101E-4</v>
      </c>
      <c r="AF24" s="8">
        <f t="shared" si="13"/>
        <v>0.77523485571962703</v>
      </c>
      <c r="AH24" s="9">
        <f t="shared" si="14"/>
        <v>0.36629934913743656</v>
      </c>
      <c r="AI24" s="6">
        <v>2040</v>
      </c>
      <c r="AJ24" s="10">
        <v>0.36629934913743023</v>
      </c>
      <c r="AK24" s="11">
        <f t="shared" si="15"/>
        <v>6.3282712403633923E-15</v>
      </c>
    </row>
    <row r="25" spans="1:37" x14ac:dyDescent="0.2">
      <c r="A25">
        <v>0</v>
      </c>
      <c r="B25" t="s">
        <v>69</v>
      </c>
      <c r="C25">
        <v>26</v>
      </c>
      <c r="D25">
        <v>0.13866629824993201</v>
      </c>
      <c r="E25">
        <v>0</v>
      </c>
      <c r="F25">
        <v>286.06843375189499</v>
      </c>
      <c r="G25">
        <v>0</v>
      </c>
      <c r="H25">
        <v>19.1903894578303</v>
      </c>
      <c r="I25">
        <v>0</v>
      </c>
      <c r="J25">
        <v>0</v>
      </c>
      <c r="K25">
        <v>0</v>
      </c>
      <c r="L25">
        <v>37.238173142404797</v>
      </c>
      <c r="M25">
        <v>0</v>
      </c>
      <c r="N25">
        <v>10.4340912942057</v>
      </c>
      <c r="O25">
        <v>0</v>
      </c>
      <c r="P25">
        <v>0.355074551673423</v>
      </c>
      <c r="Q25">
        <v>164.263092060541</v>
      </c>
      <c r="R25">
        <f t="shared" si="1"/>
        <v>2041</v>
      </c>
      <c r="S25" s="8">
        <f t="shared" si="16"/>
        <v>0.27559164225467103</v>
      </c>
      <c r="T25" s="8">
        <f t="shared" si="2"/>
        <v>0</v>
      </c>
      <c r="U25" s="8">
        <f t="shared" si="3"/>
        <v>-0.286068433751895</v>
      </c>
      <c r="V25" s="8">
        <f t="shared" si="4"/>
        <v>0</v>
      </c>
      <c r="W25" s="8">
        <f t="shared" si="5"/>
        <v>-1.91903894578303E-2</v>
      </c>
      <c r="X25" s="8">
        <f t="shared" si="6"/>
        <v>0</v>
      </c>
      <c r="Y25" s="8">
        <f t="shared" si="7"/>
        <v>0</v>
      </c>
      <c r="Z25" s="8">
        <f t="shared" si="8"/>
        <v>0</v>
      </c>
      <c r="AA25" s="8">
        <f t="shared" si="17"/>
        <v>4.3857138418533302E-2</v>
      </c>
      <c r="AB25" s="8">
        <f t="shared" si="9"/>
        <v>0</v>
      </c>
      <c r="AC25" s="8">
        <f t="shared" si="10"/>
        <v>-1.0434091294205701E-2</v>
      </c>
      <c r="AD25" s="8">
        <f t="shared" si="11"/>
        <v>0.25185741830646402</v>
      </c>
      <c r="AE25" s="8">
        <f t="shared" si="12"/>
        <v>-2.6031592363367942E-4</v>
      </c>
      <c r="AF25" s="8">
        <f t="shared" si="13"/>
        <v>0.999432376436869</v>
      </c>
      <c r="AH25" s="9">
        <f t="shared" si="14"/>
        <v>1.2547853449889725</v>
      </c>
      <c r="AI25" s="6">
        <v>2041</v>
      </c>
      <c r="AJ25" s="10">
        <v>1.254785344988977</v>
      </c>
      <c r="AK25" s="11">
        <f t="shared" si="15"/>
        <v>-4.4408920985006262E-15</v>
      </c>
    </row>
    <row r="26" spans="1:37" x14ac:dyDescent="0.2">
      <c r="A26">
        <v>0</v>
      </c>
      <c r="B26" t="s">
        <v>69</v>
      </c>
      <c r="C26">
        <v>27</v>
      </c>
      <c r="D26">
        <v>0.14036465668307499</v>
      </c>
      <c r="E26">
        <v>0</v>
      </c>
      <c r="F26">
        <v>291.83803172559499</v>
      </c>
      <c r="G26">
        <v>0</v>
      </c>
      <c r="H26">
        <v>19.5774326232657</v>
      </c>
      <c r="I26">
        <v>0</v>
      </c>
      <c r="J26">
        <v>0</v>
      </c>
      <c r="K26">
        <v>0</v>
      </c>
      <c r="L26">
        <v>37.990621789226601</v>
      </c>
      <c r="M26">
        <v>0</v>
      </c>
      <c r="N26">
        <v>60.216615189482098</v>
      </c>
      <c r="O26">
        <v>0</v>
      </c>
      <c r="P26">
        <v>0.36425426376754899</v>
      </c>
      <c r="Q26">
        <v>163.74771688389899</v>
      </c>
      <c r="R26">
        <f t="shared" si="1"/>
        <v>2042</v>
      </c>
      <c r="S26" s="8">
        <f t="shared" si="16"/>
        <v>0.44062402529591294</v>
      </c>
      <c r="T26" s="8">
        <f t="shared" si="2"/>
        <v>0</v>
      </c>
      <c r="U26" s="8">
        <f t="shared" si="3"/>
        <v>-0.29183803172559497</v>
      </c>
      <c r="V26" s="8">
        <f t="shared" si="4"/>
        <v>0</v>
      </c>
      <c r="W26" s="8">
        <f t="shared" si="5"/>
        <v>-1.9577432623265698E-2</v>
      </c>
      <c r="X26" s="8">
        <f t="shared" si="6"/>
        <v>0</v>
      </c>
      <c r="Y26" s="8">
        <f t="shared" si="7"/>
        <v>0</v>
      </c>
      <c r="Z26" s="8">
        <f t="shared" si="8"/>
        <v>0</v>
      </c>
      <c r="AA26" s="8">
        <f t="shared" si="17"/>
        <v>2.2723339438957397E-2</v>
      </c>
      <c r="AB26" s="8">
        <f t="shared" si="9"/>
        <v>0</v>
      </c>
      <c r="AC26" s="8">
        <f t="shared" si="10"/>
        <v>-6.0216615189482098E-2</v>
      </c>
      <c r="AD26" s="8">
        <f t="shared" si="11"/>
        <v>0.40510925045402502</v>
      </c>
      <c r="AE26" s="8">
        <f t="shared" si="12"/>
        <v>7.7131542191917089E-4</v>
      </c>
      <c r="AF26" s="8">
        <f t="shared" si="13"/>
        <v>0.67821855849819601</v>
      </c>
      <c r="AH26" s="9">
        <f t="shared" si="14"/>
        <v>1.1758144095706677</v>
      </c>
      <c r="AI26" s="6">
        <v>2042</v>
      </c>
      <c r="AJ26" s="10">
        <v>1.1758144095706682</v>
      </c>
      <c r="AK26" s="11">
        <f t="shared" si="15"/>
        <v>0</v>
      </c>
    </row>
    <row r="27" spans="1:37" x14ac:dyDescent="0.2">
      <c r="A27">
        <v>0</v>
      </c>
      <c r="B27" t="s">
        <v>69</v>
      </c>
      <c r="C27">
        <v>28</v>
      </c>
      <c r="D27">
        <v>0.14217195363030999</v>
      </c>
      <c r="E27">
        <v>0</v>
      </c>
      <c r="F27">
        <v>297.762109297883</v>
      </c>
      <c r="G27">
        <v>0</v>
      </c>
      <c r="H27">
        <v>19.974838776393799</v>
      </c>
      <c r="I27">
        <v>0</v>
      </c>
      <c r="J27">
        <v>0</v>
      </c>
      <c r="K27">
        <v>0</v>
      </c>
      <c r="L27">
        <v>38.763136568085798</v>
      </c>
      <c r="M27">
        <v>0</v>
      </c>
      <c r="N27">
        <v>10.8606076931356</v>
      </c>
      <c r="O27">
        <v>0</v>
      </c>
      <c r="P27">
        <v>1.08274083594492</v>
      </c>
      <c r="Q27">
        <v>163.25480874630401</v>
      </c>
      <c r="R27">
        <f t="shared" si="1"/>
        <v>2043</v>
      </c>
      <c r="S27" s="8">
        <f t="shared" si="16"/>
        <v>0.28825663171067673</v>
      </c>
      <c r="T27" s="8">
        <f t="shared" si="2"/>
        <v>0</v>
      </c>
      <c r="U27" s="8">
        <f t="shared" si="3"/>
        <v>-0.29776210929788299</v>
      </c>
      <c r="V27" s="8">
        <f t="shared" si="4"/>
        <v>0</v>
      </c>
      <c r="W27" s="8">
        <f t="shared" si="5"/>
        <v>-1.9974838776393802E-2</v>
      </c>
      <c r="X27" s="8">
        <f t="shared" si="6"/>
        <v>0</v>
      </c>
      <c r="Y27" s="8">
        <f t="shared" si="7"/>
        <v>0</v>
      </c>
      <c r="Z27" s="8">
        <f t="shared" si="8"/>
        <v>0</v>
      </c>
      <c r="AA27" s="8">
        <f t="shared" si="17"/>
        <v>-7.5443448690616999E-3</v>
      </c>
      <c r="AB27" s="8">
        <f t="shared" si="9"/>
        <v>0</v>
      </c>
      <c r="AC27" s="8">
        <f t="shared" si="10"/>
        <v>-1.0860607693135601E-2</v>
      </c>
      <c r="AD27" s="8">
        <f t="shared" si="11"/>
        <v>0.23468662876005497</v>
      </c>
      <c r="AE27" s="8">
        <f t="shared" si="12"/>
        <v>-8.2554318872869904E-5</v>
      </c>
      <c r="AF27" s="8">
        <f t="shared" si="13"/>
        <v>0.94219225660942607</v>
      </c>
      <c r="AH27" s="9">
        <f t="shared" si="14"/>
        <v>1.1289110621248108</v>
      </c>
      <c r="AI27" s="6">
        <v>2043</v>
      </c>
      <c r="AJ27" s="10">
        <v>1.1289110621248195</v>
      </c>
      <c r="AK27" s="11">
        <f t="shared" si="15"/>
        <v>-8.659739592076221E-15</v>
      </c>
    </row>
    <row r="28" spans="1:37" x14ac:dyDescent="0.2">
      <c r="A28">
        <v>0</v>
      </c>
      <c r="B28" t="s">
        <v>69</v>
      </c>
      <c r="C28">
        <v>29</v>
      </c>
      <c r="D28">
        <v>0.14410925067716199</v>
      </c>
      <c r="E28">
        <v>0</v>
      </c>
      <c r="F28">
        <v>9765.4816348386303</v>
      </c>
      <c r="G28">
        <v>0</v>
      </c>
      <c r="H28">
        <v>20.382852779679201</v>
      </c>
      <c r="I28">
        <v>0</v>
      </c>
      <c r="J28">
        <v>0</v>
      </c>
      <c r="K28">
        <v>0</v>
      </c>
      <c r="L28">
        <v>280.82604392436599</v>
      </c>
      <c r="M28">
        <v>0</v>
      </c>
      <c r="N28">
        <v>11.082450786461701</v>
      </c>
      <c r="O28">
        <v>0</v>
      </c>
      <c r="P28">
        <v>0.38367794006945899</v>
      </c>
      <c r="Q28">
        <v>162.78362074115401</v>
      </c>
      <c r="R28">
        <f t="shared" si="1"/>
        <v>2044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H28" s="9">
        <f t="shared" si="14"/>
        <v>0</v>
      </c>
      <c r="AK28" s="11">
        <f t="shared" si="15"/>
        <v>0</v>
      </c>
    </row>
    <row r="29" spans="1:37" x14ac:dyDescent="0.2">
      <c r="A29">
        <v>0</v>
      </c>
      <c r="B29" t="s">
        <v>69</v>
      </c>
      <c r="C29">
        <v>30</v>
      </c>
      <c r="D29">
        <v>0.146185337615726</v>
      </c>
      <c r="E29">
        <v>0</v>
      </c>
      <c r="F29">
        <v>310.082097302649</v>
      </c>
      <c r="G29">
        <v>0</v>
      </c>
      <c r="H29">
        <v>20.801303146570401</v>
      </c>
      <c r="I29">
        <v>0</v>
      </c>
      <c r="J29">
        <v>0</v>
      </c>
      <c r="K29">
        <v>0</v>
      </c>
      <c r="L29">
        <v>1051.4942927791601</v>
      </c>
      <c r="M29">
        <v>0</v>
      </c>
      <c r="N29">
        <v>11.3099682810875</v>
      </c>
      <c r="O29">
        <v>187.43227923092201</v>
      </c>
      <c r="P29">
        <v>0</v>
      </c>
      <c r="Q29">
        <v>495.60911031338298</v>
      </c>
      <c r="R29">
        <f t="shared" si="1"/>
        <v>2045</v>
      </c>
      <c r="S29" s="8">
        <f t="shared" si="16"/>
        <v>0.85473067591628415</v>
      </c>
      <c r="T29" s="8">
        <f t="shared" si="2"/>
        <v>0</v>
      </c>
      <c r="U29" s="8">
        <f t="shared" si="3"/>
        <v>-0.31008209730264902</v>
      </c>
      <c r="V29" s="8">
        <f t="shared" si="4"/>
        <v>0</v>
      </c>
      <c r="W29" s="8">
        <f t="shared" si="5"/>
        <v>-2.0801303146570398E-2</v>
      </c>
      <c r="X29" s="8">
        <f t="shared" si="6"/>
        <v>0</v>
      </c>
      <c r="Y29" s="8">
        <f t="shared" si="7"/>
        <v>0</v>
      </c>
      <c r="Z29" s="8">
        <f t="shared" si="8"/>
        <v>0</v>
      </c>
      <c r="AA29" s="8">
        <f t="shared" si="17"/>
        <v>-0.38530347107627211</v>
      </c>
      <c r="AB29" s="8">
        <f t="shared" si="9"/>
        <v>0</v>
      </c>
      <c r="AC29" s="8">
        <f t="shared" si="10"/>
        <v>-1.1309968281087499E-2</v>
      </c>
      <c r="AD29" s="8">
        <f t="shared" si="11"/>
        <v>0.61904323768921499</v>
      </c>
      <c r="AE29" s="8">
        <f t="shared" si="12"/>
        <v>0</v>
      </c>
      <c r="AF29" s="8">
        <f t="shared" si="13"/>
        <v>1.242711521544577</v>
      </c>
      <c r="AH29" s="9">
        <f t="shared" si="14"/>
        <v>1.9889885953434971</v>
      </c>
      <c r="AI29" s="6">
        <v>2045</v>
      </c>
      <c r="AJ29" s="10">
        <v>1.9889885953434994</v>
      </c>
      <c r="AK29" s="11">
        <f t="shared" si="15"/>
        <v>-2.2204460492503131E-15</v>
      </c>
    </row>
    <row r="30" spans="1:37" x14ac:dyDescent="0.2">
      <c r="A30">
        <v>0</v>
      </c>
      <c r="B30" t="s">
        <v>69</v>
      </c>
      <c r="C30">
        <v>31</v>
      </c>
      <c r="D30">
        <v>0.14840781179807599</v>
      </c>
      <c r="E30">
        <v>0</v>
      </c>
      <c r="F30">
        <v>316.47133484595798</v>
      </c>
      <c r="G30">
        <v>0</v>
      </c>
      <c r="H30">
        <v>21.229913724775798</v>
      </c>
      <c r="I30">
        <v>0</v>
      </c>
      <c r="J30">
        <v>0</v>
      </c>
      <c r="K30">
        <v>0</v>
      </c>
      <c r="L30">
        <v>58.9965750135108</v>
      </c>
      <c r="M30">
        <v>0</v>
      </c>
      <c r="N30">
        <v>11.543010029012599</v>
      </c>
      <c r="O30">
        <v>185.536973415376</v>
      </c>
      <c r="P30">
        <v>2.1153312759811</v>
      </c>
      <c r="Q30">
        <v>146.54167733559501</v>
      </c>
      <c r="R30">
        <f t="shared" si="1"/>
        <v>2046</v>
      </c>
      <c r="S30" s="8">
        <f t="shared" si="16"/>
        <v>0.390260437392559</v>
      </c>
      <c r="T30" s="8">
        <f t="shared" si="2"/>
        <v>0</v>
      </c>
      <c r="U30" s="8">
        <f t="shared" si="3"/>
        <v>-0.31647133484595802</v>
      </c>
      <c r="V30" s="8">
        <f t="shared" si="4"/>
        <v>0</v>
      </c>
      <c r="W30" s="8">
        <f t="shared" si="5"/>
        <v>-2.1229913724775798E-2</v>
      </c>
      <c r="X30" s="8">
        <f t="shared" si="6"/>
        <v>0</v>
      </c>
      <c r="Y30" s="8">
        <f t="shared" si="7"/>
        <v>0</v>
      </c>
      <c r="Z30" s="8">
        <f t="shared" si="8"/>
        <v>0</v>
      </c>
      <c r="AA30" s="8">
        <f t="shared" si="17"/>
        <v>3.5081765175684697E-2</v>
      </c>
      <c r="AB30" s="8">
        <f t="shared" si="9"/>
        <v>0</v>
      </c>
      <c r="AC30" s="8">
        <f t="shared" si="10"/>
        <v>-1.1543010029012601E-2</v>
      </c>
      <c r="AD30" s="8">
        <f t="shared" si="11"/>
        <v>0.35304605083757595</v>
      </c>
      <c r="AE30" s="8">
        <f t="shared" si="12"/>
        <v>3.7609959242832303E-3</v>
      </c>
      <c r="AF30" s="8">
        <f t="shared" si="13"/>
        <v>0.67792220121850599</v>
      </c>
      <c r="AH30" s="9">
        <f t="shared" si="14"/>
        <v>1.1108271919488626</v>
      </c>
      <c r="AI30" s="6">
        <v>2046</v>
      </c>
      <c r="AJ30" s="10">
        <v>1.1108271919488626</v>
      </c>
      <c r="AK30" s="11">
        <f t="shared" si="15"/>
        <v>0</v>
      </c>
    </row>
    <row r="31" spans="1:37" x14ac:dyDescent="0.2">
      <c r="A31">
        <v>0</v>
      </c>
      <c r="B31" t="s">
        <v>69</v>
      </c>
      <c r="C31">
        <v>32</v>
      </c>
      <c r="D31">
        <v>0.150738193349849</v>
      </c>
      <c r="E31">
        <v>0</v>
      </c>
      <c r="F31">
        <v>322.99062244439199</v>
      </c>
      <c r="G31">
        <v>0</v>
      </c>
      <c r="H31">
        <v>21.667248478428998</v>
      </c>
      <c r="I31">
        <v>0</v>
      </c>
      <c r="J31">
        <v>0</v>
      </c>
      <c r="K31">
        <v>0</v>
      </c>
      <c r="L31">
        <v>53.643029400774203</v>
      </c>
      <c r="M31">
        <v>0</v>
      </c>
      <c r="N31">
        <v>11.780795236843</v>
      </c>
      <c r="O31">
        <v>151.71324075246201</v>
      </c>
      <c r="P31">
        <v>0.40136012379981301</v>
      </c>
      <c r="Q31">
        <v>384.92391901981102</v>
      </c>
      <c r="R31">
        <f t="shared" si="1"/>
        <v>2047</v>
      </c>
      <c r="S31" s="8">
        <f t="shared" si="16"/>
        <v>0.38647155877451311</v>
      </c>
      <c r="T31" s="8">
        <f t="shared" si="2"/>
        <v>0</v>
      </c>
      <c r="U31" s="8">
        <f t="shared" si="3"/>
        <v>-0.32299062244439197</v>
      </c>
      <c r="V31" s="8">
        <f t="shared" si="4"/>
        <v>0</v>
      </c>
      <c r="W31" s="8">
        <f t="shared" si="5"/>
        <v>-2.1667248478428998E-2</v>
      </c>
      <c r="X31" s="8">
        <f t="shared" si="6"/>
        <v>0</v>
      </c>
      <c r="Y31" s="8">
        <f t="shared" si="7"/>
        <v>0</v>
      </c>
      <c r="Z31" s="8">
        <f t="shared" si="8"/>
        <v>0</v>
      </c>
      <c r="AA31" s="8">
        <f t="shared" si="17"/>
        <v>6.6697178731933801E-2</v>
      </c>
      <c r="AB31" s="8">
        <f t="shared" si="9"/>
        <v>0</v>
      </c>
      <c r="AC31" s="8">
        <f t="shared" si="10"/>
        <v>-1.1780795236842998E-2</v>
      </c>
      <c r="AD31" s="8">
        <f t="shared" si="11"/>
        <v>0.33627480335683196</v>
      </c>
      <c r="AE31" s="8">
        <f t="shared" si="12"/>
        <v>-4.0136012379981298E-4</v>
      </c>
      <c r="AF31" s="8">
        <f t="shared" si="13"/>
        <v>1.5164169358963291</v>
      </c>
      <c r="AH31" s="9">
        <f t="shared" si="14"/>
        <v>1.9490204504761441</v>
      </c>
      <c r="AI31" s="6">
        <v>2047</v>
      </c>
      <c r="AJ31" s="10">
        <v>1.9490204504761546</v>
      </c>
      <c r="AK31" s="11">
        <f t="shared" si="15"/>
        <v>-1.0436096431476471E-14</v>
      </c>
    </row>
    <row r="32" spans="1:37" x14ac:dyDescent="0.2">
      <c r="A32">
        <v>0</v>
      </c>
      <c r="B32" t="s">
        <v>69</v>
      </c>
      <c r="C32">
        <v>33</v>
      </c>
      <c r="D32">
        <v>0.153205284363018</v>
      </c>
      <c r="E32">
        <v>0</v>
      </c>
      <c r="F32">
        <v>329.64140902231901</v>
      </c>
      <c r="G32">
        <v>0</v>
      </c>
      <c r="H32">
        <v>22.113404606013201</v>
      </c>
      <c r="I32">
        <v>0</v>
      </c>
      <c r="J32">
        <v>0</v>
      </c>
      <c r="K32">
        <v>35.3831609733626</v>
      </c>
      <c r="L32">
        <v>66.574980145855307</v>
      </c>
      <c r="M32">
        <v>0</v>
      </c>
      <c r="N32">
        <v>12.0233767528273</v>
      </c>
      <c r="O32">
        <v>192.84089292157901</v>
      </c>
      <c r="P32">
        <v>0.41242276808461398</v>
      </c>
      <c r="Q32">
        <v>228.47487125710299</v>
      </c>
      <c r="R32">
        <f t="shared" si="1"/>
        <v>2048</v>
      </c>
      <c r="S32" s="8">
        <f t="shared" si="16"/>
        <v>0.30608412721746098</v>
      </c>
      <c r="T32" s="8">
        <f t="shared" si="2"/>
        <v>0</v>
      </c>
      <c r="U32" s="8">
        <f t="shared" si="3"/>
        <v>-0.32964140902231903</v>
      </c>
      <c r="V32" s="8">
        <f t="shared" si="4"/>
        <v>0</v>
      </c>
      <c r="W32" s="8">
        <f t="shared" si="5"/>
        <v>-2.2113404606013201E-2</v>
      </c>
      <c r="X32" s="8">
        <f t="shared" si="6"/>
        <v>0</v>
      </c>
      <c r="Y32" s="8">
        <f t="shared" si="7"/>
        <v>0</v>
      </c>
      <c r="Z32" s="8">
        <f t="shared" si="8"/>
        <v>-3.5383160973362603E-2</v>
      </c>
      <c r="AA32" s="8">
        <f t="shared" si="17"/>
        <v>-1.8406235123991609E-2</v>
      </c>
      <c r="AB32" s="8">
        <f t="shared" si="9"/>
        <v>0</v>
      </c>
      <c r="AC32" s="8">
        <f t="shared" si="10"/>
        <v>-1.2023376752827299E-2</v>
      </c>
      <c r="AD32" s="8">
        <f t="shared" si="11"/>
        <v>0.32268474347177301</v>
      </c>
      <c r="AE32" s="8">
        <f t="shared" si="12"/>
        <v>2.0055696254003708E-4</v>
      </c>
      <c r="AF32" s="8">
        <f t="shared" si="13"/>
        <v>1.5772556205460473</v>
      </c>
      <c r="AH32" s="9">
        <f t="shared" si="14"/>
        <v>1.7886574617193076</v>
      </c>
      <c r="AI32" s="6">
        <v>2048</v>
      </c>
      <c r="AJ32" s="10">
        <v>1.7886574617193112</v>
      </c>
      <c r="AK32" s="11">
        <f t="shared" si="15"/>
        <v>-3.5527136788005009E-15</v>
      </c>
    </row>
    <row r="33" spans="1:37" x14ac:dyDescent="0.2">
      <c r="A33">
        <v>0</v>
      </c>
      <c r="B33" t="s">
        <v>69</v>
      </c>
      <c r="C33">
        <v>34</v>
      </c>
      <c r="D33">
        <v>0.155812363946285</v>
      </c>
      <c r="E33">
        <v>0</v>
      </c>
      <c r="F33">
        <v>336.410585295072</v>
      </c>
      <c r="G33">
        <v>0</v>
      </c>
      <c r="H33">
        <v>22.567502694646901</v>
      </c>
      <c r="I33">
        <v>0</v>
      </c>
      <c r="J33">
        <v>0</v>
      </c>
      <c r="K33">
        <v>91.923422650795203</v>
      </c>
      <c r="L33">
        <v>73.019944765028001</v>
      </c>
      <c r="M33">
        <v>0</v>
      </c>
      <c r="N33">
        <v>259.91884229401899</v>
      </c>
      <c r="O33">
        <v>15.696478743638901</v>
      </c>
      <c r="P33">
        <v>0.42388577392553101</v>
      </c>
      <c r="Q33">
        <v>536.79396478773901</v>
      </c>
      <c r="R33">
        <f t="shared" si="1"/>
        <v>2049</v>
      </c>
      <c r="S33" s="8">
        <f t="shared" si="16"/>
        <v>0.12397170042430471</v>
      </c>
      <c r="T33" s="8">
        <f t="shared" si="2"/>
        <v>0</v>
      </c>
      <c r="U33" s="8">
        <f t="shared" si="3"/>
        <v>-0.33641058529507201</v>
      </c>
      <c r="V33" s="8">
        <f t="shared" si="4"/>
        <v>0</v>
      </c>
      <c r="W33" s="8">
        <f t="shared" si="5"/>
        <v>-2.2567502694646902E-2</v>
      </c>
      <c r="X33" s="8">
        <f t="shared" si="6"/>
        <v>0</v>
      </c>
      <c r="Y33" s="8">
        <f t="shared" si="7"/>
        <v>0</v>
      </c>
      <c r="Z33" s="8">
        <f t="shared" si="8"/>
        <v>-9.19234226507952E-2</v>
      </c>
      <c r="AA33" s="8">
        <f t="shared" si="17"/>
        <v>0.22454590829172694</v>
      </c>
      <c r="AB33" s="8">
        <f t="shared" si="9"/>
        <v>0</v>
      </c>
      <c r="AC33" s="8">
        <f t="shared" si="10"/>
        <v>-0.25991884229401896</v>
      </c>
      <c r="AD33" s="8">
        <f t="shared" si="11"/>
        <v>0.30625358432165911</v>
      </c>
      <c r="AE33" s="8">
        <f t="shared" si="12"/>
        <v>-4.2388577392553101E-4</v>
      </c>
      <c r="AF33" s="8">
        <f t="shared" si="13"/>
        <v>3.4101095943504505</v>
      </c>
      <c r="AH33" s="9">
        <f t="shared" si="14"/>
        <v>3.3536365486796829</v>
      </c>
      <c r="AI33" s="6">
        <v>2049</v>
      </c>
      <c r="AJ33" s="10">
        <v>3.3536365486796895</v>
      </c>
      <c r="AK33" s="11">
        <f t="shared" si="15"/>
        <v>-6.6613381477509392E-15</v>
      </c>
    </row>
    <row r="34" spans="1:37" x14ac:dyDescent="0.2">
      <c r="A34">
        <v>0</v>
      </c>
      <c r="B34" t="s">
        <v>69</v>
      </c>
      <c r="C34">
        <v>35</v>
      </c>
      <c r="D34">
        <v>0.15855103661811501</v>
      </c>
      <c r="E34">
        <v>0</v>
      </c>
      <c r="F34">
        <v>343.281381714899</v>
      </c>
      <c r="G34">
        <v>0</v>
      </c>
      <c r="H34">
        <v>23.028417789166902</v>
      </c>
      <c r="I34">
        <v>0</v>
      </c>
      <c r="J34">
        <v>0</v>
      </c>
      <c r="K34">
        <v>141.17851798461399</v>
      </c>
      <c r="L34">
        <v>74.511913898324295</v>
      </c>
      <c r="M34">
        <v>0</v>
      </c>
      <c r="N34">
        <v>12.5208826064348</v>
      </c>
      <c r="O34">
        <v>15.6512581906956</v>
      </c>
      <c r="P34">
        <v>0.43574993801231898</v>
      </c>
      <c r="Q34">
        <v>221.45471560647499</v>
      </c>
      <c r="R34">
        <f t="shared" si="1"/>
        <v>2050</v>
      </c>
      <c r="S34" s="8">
        <f t="shared" si="16"/>
        <v>0.17396200129910588</v>
      </c>
      <c r="T34" s="8">
        <f t="shared" si="2"/>
        <v>0</v>
      </c>
      <c r="U34" s="8">
        <f t="shared" si="3"/>
        <v>-0.34328138171489903</v>
      </c>
      <c r="V34" s="8">
        <f t="shared" si="4"/>
        <v>0</v>
      </c>
      <c r="W34" s="8">
        <f t="shared" si="5"/>
        <v>-2.3028417789166901E-2</v>
      </c>
      <c r="X34" s="8">
        <f t="shared" si="6"/>
        <v>0</v>
      </c>
      <c r="Y34" s="8">
        <f t="shared" si="7"/>
        <v>0</v>
      </c>
      <c r="Z34" s="8">
        <f t="shared" si="8"/>
        <v>-0.14117851798461398</v>
      </c>
      <c r="AA34" s="8">
        <f t="shared" si="17"/>
        <v>0.13602834948730874</v>
      </c>
      <c r="AB34" s="8">
        <f t="shared" si="9"/>
        <v>0</v>
      </c>
      <c r="AC34" s="8">
        <f t="shared" si="10"/>
        <v>-1.25208826064348E-2</v>
      </c>
      <c r="AD34" s="8">
        <f t="shared" si="11"/>
        <v>0.29647595788022135</v>
      </c>
      <c r="AE34" s="8">
        <f t="shared" si="12"/>
        <v>-4.35749938012319E-4</v>
      </c>
      <c r="AF34" s="8">
        <f t="shared" si="13"/>
        <v>7.0355560060892257</v>
      </c>
      <c r="AH34" s="9">
        <f>+SUM(S34:AF34)</f>
        <v>7.1215773647227349</v>
      </c>
      <c r="AI34" s="6">
        <v>2050</v>
      </c>
      <c r="AJ34" s="10">
        <v>7.1215773647227358</v>
      </c>
      <c r="AK34" s="11">
        <f t="shared" si="15"/>
        <v>0</v>
      </c>
    </row>
    <row r="35" spans="1:37" hidden="1" x14ac:dyDescent="0.2">
      <c r="A35">
        <v>72072</v>
      </c>
      <c r="B35" t="s">
        <v>69</v>
      </c>
      <c r="C35">
        <v>3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0.70896029233743796</v>
      </c>
      <c r="Q35">
        <v>0</v>
      </c>
    </row>
    <row r="36" spans="1:37" hidden="1" x14ac:dyDescent="0.2">
      <c r="A36">
        <v>72072</v>
      </c>
      <c r="B36" t="s">
        <v>69</v>
      </c>
      <c r="C36">
        <v>4</v>
      </c>
      <c r="D36">
        <v>0</v>
      </c>
      <c r="E36">
        <v>74.116723432064006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</row>
    <row r="37" spans="1:37" hidden="1" x14ac:dyDescent="0.2">
      <c r="A37">
        <v>72072</v>
      </c>
      <c r="B37" t="s">
        <v>69</v>
      </c>
      <c r="C37">
        <v>5</v>
      </c>
      <c r="D37">
        <v>0</v>
      </c>
      <c r="E37">
        <v>86.384087672858598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</row>
    <row r="38" spans="1:37" hidden="1" x14ac:dyDescent="0.2">
      <c r="A38">
        <v>72072</v>
      </c>
      <c r="B38" t="s">
        <v>69</v>
      </c>
      <c r="C38">
        <v>6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12.635130631584101</v>
      </c>
      <c r="Q38">
        <v>0</v>
      </c>
    </row>
    <row r="39" spans="1:37" hidden="1" x14ac:dyDescent="0.2">
      <c r="A39">
        <v>72072</v>
      </c>
      <c r="B39" t="s">
        <v>69</v>
      </c>
      <c r="C39">
        <v>7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</row>
    <row r="40" spans="1:37" hidden="1" x14ac:dyDescent="0.2">
      <c r="A40">
        <v>72072</v>
      </c>
      <c r="B40" t="s">
        <v>69</v>
      </c>
      <c r="C40">
        <v>8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92.484945580168002</v>
      </c>
      <c r="M40">
        <v>0</v>
      </c>
      <c r="N40">
        <v>0</v>
      </c>
      <c r="O40">
        <v>0</v>
      </c>
      <c r="P40">
        <v>0</v>
      </c>
      <c r="Q40">
        <v>0</v>
      </c>
    </row>
    <row r="41" spans="1:37" hidden="1" x14ac:dyDescent="0.2">
      <c r="A41">
        <v>72072</v>
      </c>
      <c r="B41" t="s">
        <v>69</v>
      </c>
      <c r="C41">
        <v>9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18.408155688095199</v>
      </c>
      <c r="M41">
        <v>0</v>
      </c>
      <c r="N41">
        <v>0</v>
      </c>
      <c r="O41">
        <v>0</v>
      </c>
      <c r="P41">
        <v>0</v>
      </c>
      <c r="Q41">
        <v>951.81383215881203</v>
      </c>
    </row>
    <row r="42" spans="1:37" hidden="1" x14ac:dyDescent="0.2">
      <c r="A42">
        <v>72072</v>
      </c>
      <c r="B42" t="s">
        <v>69</v>
      </c>
      <c r="C42">
        <v>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295.72564172447198</v>
      </c>
    </row>
    <row r="43" spans="1:37" hidden="1" x14ac:dyDescent="0.2">
      <c r="A43">
        <v>72072</v>
      </c>
      <c r="B43" t="s">
        <v>69</v>
      </c>
      <c r="C43">
        <v>11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430.22875392878802</v>
      </c>
      <c r="P43">
        <v>0</v>
      </c>
      <c r="Q43">
        <v>0</v>
      </c>
    </row>
    <row r="44" spans="1:37" hidden="1" x14ac:dyDescent="0.2">
      <c r="A44">
        <v>72072</v>
      </c>
      <c r="B44" t="s">
        <v>69</v>
      </c>
      <c r="C44">
        <v>12</v>
      </c>
      <c r="D44">
        <v>15.061332673064999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894.85492416089699</v>
      </c>
      <c r="M44">
        <v>0</v>
      </c>
      <c r="N44">
        <v>0</v>
      </c>
      <c r="O44">
        <v>150.40392329212901</v>
      </c>
      <c r="P44">
        <v>16.8652734954659</v>
      </c>
      <c r="Q44">
        <v>1028.31131942825</v>
      </c>
    </row>
    <row r="45" spans="1:37" hidden="1" x14ac:dyDescent="0.2">
      <c r="A45">
        <v>72072</v>
      </c>
      <c r="B45" t="s">
        <v>69</v>
      </c>
      <c r="C45">
        <v>13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297.335083258623</v>
      </c>
      <c r="P45">
        <v>0</v>
      </c>
      <c r="Q45">
        <v>757.57147160188595</v>
      </c>
    </row>
    <row r="46" spans="1:37" hidden="1" x14ac:dyDescent="0.2">
      <c r="A46">
        <v>72072</v>
      </c>
      <c r="B46" t="s">
        <v>69</v>
      </c>
      <c r="C46">
        <v>14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306.38692622598199</v>
      </c>
      <c r="P46">
        <v>0</v>
      </c>
      <c r="Q46">
        <v>1262.96434288712</v>
      </c>
    </row>
    <row r="47" spans="1:37" hidden="1" x14ac:dyDescent="0.2">
      <c r="A47">
        <v>72072</v>
      </c>
      <c r="B47" t="s">
        <v>69</v>
      </c>
      <c r="C47">
        <v>15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319.74025826721203</v>
      </c>
      <c r="P47">
        <v>0</v>
      </c>
      <c r="Q47">
        <v>755.95812644961802</v>
      </c>
    </row>
    <row r="48" spans="1:37" hidden="1" x14ac:dyDescent="0.2">
      <c r="A48">
        <v>72072</v>
      </c>
      <c r="B48" t="s">
        <v>69</v>
      </c>
      <c r="C48">
        <v>16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341.61835344002202</v>
      </c>
      <c r="P48">
        <v>0</v>
      </c>
      <c r="Q48">
        <v>749.05436043644499</v>
      </c>
    </row>
    <row r="49" spans="1:17" hidden="1" x14ac:dyDescent="0.2">
      <c r="A49">
        <v>72072</v>
      </c>
      <c r="B49" t="s">
        <v>69</v>
      </c>
      <c r="C49">
        <v>17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377.165077317596</v>
      </c>
      <c r="P49">
        <v>0</v>
      </c>
      <c r="Q49">
        <v>745.14444884924296</v>
      </c>
    </row>
    <row r="50" spans="1:17" hidden="1" x14ac:dyDescent="0.2">
      <c r="A50">
        <v>72072</v>
      </c>
      <c r="B50" t="s">
        <v>69</v>
      </c>
      <c r="C50">
        <v>18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432.47399810550598</v>
      </c>
      <c r="P50">
        <v>0</v>
      </c>
      <c r="Q50">
        <v>1245.1611499769999</v>
      </c>
    </row>
    <row r="51" spans="1:17" hidden="1" x14ac:dyDescent="0.2">
      <c r="A51">
        <v>72072</v>
      </c>
      <c r="B51" t="s">
        <v>69</v>
      </c>
      <c r="C51">
        <v>19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20.724342857027398</v>
      </c>
      <c r="O51">
        <v>510.71849016991001</v>
      </c>
      <c r="P51">
        <v>0</v>
      </c>
      <c r="Q51">
        <v>1698.3786333845801</v>
      </c>
    </row>
    <row r="52" spans="1:17" hidden="1" x14ac:dyDescent="0.2">
      <c r="A52">
        <v>72072</v>
      </c>
      <c r="B52" t="s">
        <v>69</v>
      </c>
      <c r="C52">
        <v>20</v>
      </c>
      <c r="D52">
        <v>0</v>
      </c>
      <c r="E52">
        <v>0</v>
      </c>
      <c r="F52">
        <v>0</v>
      </c>
      <c r="G52">
        <v>0</v>
      </c>
      <c r="H52">
        <v>705.51439003774897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604.84925167844597</v>
      </c>
      <c r="P52">
        <v>0</v>
      </c>
      <c r="Q52">
        <v>3068.64188842155</v>
      </c>
    </row>
    <row r="53" spans="1:17" hidden="1" x14ac:dyDescent="0.2">
      <c r="A53">
        <v>72072</v>
      </c>
      <c r="B53" t="s">
        <v>69</v>
      </c>
      <c r="C53">
        <v>21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896.66690068292098</v>
      </c>
      <c r="P53">
        <v>0</v>
      </c>
      <c r="Q53">
        <v>1692.5995441170201</v>
      </c>
    </row>
    <row r="54" spans="1:17" hidden="1" x14ac:dyDescent="0.2">
      <c r="A54">
        <v>72072</v>
      </c>
      <c r="B54" t="s">
        <v>69</v>
      </c>
      <c r="C54">
        <v>22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2349.1652383918399</v>
      </c>
      <c r="P54">
        <v>0</v>
      </c>
      <c r="Q54">
        <v>1492.7293127173</v>
      </c>
    </row>
    <row r="55" spans="1:17" hidden="1" x14ac:dyDescent="0.2">
      <c r="A55">
        <v>72072</v>
      </c>
      <c r="B55" t="s">
        <v>69</v>
      </c>
      <c r="C55">
        <v>23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2621.3303707465102</v>
      </c>
      <c r="P55">
        <v>0</v>
      </c>
      <c r="Q55">
        <v>1156.2091591511301</v>
      </c>
    </row>
    <row r="56" spans="1:17" hidden="1" x14ac:dyDescent="0.2">
      <c r="A56">
        <v>72072</v>
      </c>
      <c r="B56" t="s">
        <v>69</v>
      </c>
      <c r="C56">
        <v>24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952.56501842506805</v>
      </c>
      <c r="P56">
        <v>0</v>
      </c>
      <c r="Q56">
        <v>2167.4065546667898</v>
      </c>
    </row>
    <row r="57" spans="1:17" hidden="1" x14ac:dyDescent="0.2">
      <c r="A57">
        <v>72072</v>
      </c>
      <c r="B57" t="s">
        <v>69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2408.6523387013299</v>
      </c>
    </row>
    <row r="58" spans="1:17" hidden="1" x14ac:dyDescent="0.2">
      <c r="A58">
        <v>72072</v>
      </c>
      <c r="B58" t="s">
        <v>69</v>
      </c>
      <c r="C58">
        <v>26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2166.9639350471898</v>
      </c>
    </row>
    <row r="59" spans="1:17" hidden="1" x14ac:dyDescent="0.2">
      <c r="A59">
        <v>72072</v>
      </c>
      <c r="B59" t="s">
        <v>69</v>
      </c>
      <c r="C59">
        <v>27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1947.30191553142</v>
      </c>
    </row>
    <row r="60" spans="1:17" hidden="1" x14ac:dyDescent="0.2">
      <c r="A60">
        <v>72072</v>
      </c>
      <c r="B60" t="s">
        <v>69</v>
      </c>
      <c r="C60">
        <v>28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62.800202650647797</v>
      </c>
      <c r="P60">
        <v>0</v>
      </c>
      <c r="Q60">
        <v>1909.96364777691</v>
      </c>
    </row>
    <row r="61" spans="1:17" hidden="1" x14ac:dyDescent="0.2">
      <c r="A61">
        <v>72072</v>
      </c>
      <c r="B61" t="s">
        <v>69</v>
      </c>
      <c r="C61">
        <v>29</v>
      </c>
      <c r="D61">
        <v>0</v>
      </c>
      <c r="E61">
        <v>0</v>
      </c>
      <c r="F61">
        <v>2714.1467268833098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532.40295573334902</v>
      </c>
      <c r="P61">
        <v>0</v>
      </c>
      <c r="Q61">
        <v>1761.43319388439</v>
      </c>
    </row>
    <row r="62" spans="1:17" hidden="1" x14ac:dyDescent="0.2">
      <c r="A62">
        <v>72072</v>
      </c>
      <c r="B62" t="s">
        <v>69</v>
      </c>
      <c r="C62">
        <v>30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1447.5547335939</v>
      </c>
      <c r="P62">
        <v>0</v>
      </c>
      <c r="Q62">
        <v>1713.34219038027</v>
      </c>
    </row>
    <row r="63" spans="1:17" hidden="1" x14ac:dyDescent="0.2">
      <c r="A63">
        <v>72072</v>
      </c>
      <c r="B63" t="s">
        <v>69</v>
      </c>
      <c r="C63">
        <v>31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1370.2739413643101</v>
      </c>
      <c r="P63">
        <v>0</v>
      </c>
      <c r="Q63">
        <v>1815.71609448546</v>
      </c>
    </row>
    <row r="64" spans="1:17" hidden="1" x14ac:dyDescent="0.2">
      <c r="A64">
        <v>72072</v>
      </c>
      <c r="B64" t="s">
        <v>69</v>
      </c>
      <c r="C64">
        <v>32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1608.09351459959</v>
      </c>
    </row>
    <row r="65" spans="1:36" hidden="1" x14ac:dyDescent="0.2">
      <c r="A65">
        <v>72072</v>
      </c>
      <c r="B65" t="s">
        <v>69</v>
      </c>
      <c r="C65">
        <v>33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</row>
    <row r="66" spans="1:36" hidden="1" x14ac:dyDescent="0.2">
      <c r="A66">
        <v>72072</v>
      </c>
      <c r="B66" t="s">
        <v>69</v>
      </c>
      <c r="C66">
        <v>34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</row>
    <row r="67" spans="1:36" hidden="1" x14ac:dyDescent="0.2">
      <c r="A67">
        <v>72072</v>
      </c>
      <c r="B67" t="s">
        <v>69</v>
      </c>
      <c r="C67">
        <v>35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</row>
    <row r="68" spans="1:36" x14ac:dyDescent="0.2">
      <c r="A68">
        <v>73073</v>
      </c>
      <c r="B68" t="s">
        <v>69</v>
      </c>
      <c r="C68">
        <v>3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0.70896029233743796</v>
      </c>
      <c r="Q68">
        <v>0</v>
      </c>
    </row>
    <row r="69" spans="1:36" x14ac:dyDescent="0.2">
      <c r="A69">
        <v>73073</v>
      </c>
      <c r="B69" t="s">
        <v>69</v>
      </c>
      <c r="C69">
        <v>4</v>
      </c>
      <c r="D69">
        <v>0.25254567278069401</v>
      </c>
      <c r="E69">
        <v>80.045705572625195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AH69" s="9">
        <f>+SUM(AH9:AH34)</f>
        <v>65.500265918818556</v>
      </c>
      <c r="AJ69" s="9">
        <f>+SUM(AJ9:AJ34)</f>
        <v>65.500265918818627</v>
      </c>
    </row>
    <row r="70" spans="1:36" x14ac:dyDescent="0.2">
      <c r="A70">
        <v>73073</v>
      </c>
      <c r="B70" t="s">
        <v>69</v>
      </c>
      <c r="C70">
        <v>5</v>
      </c>
      <c r="D70">
        <v>0</v>
      </c>
      <c r="E70">
        <v>235.10870457932401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</row>
    <row r="71" spans="1:36" x14ac:dyDescent="0.2">
      <c r="A71">
        <v>73073</v>
      </c>
      <c r="B71" t="s">
        <v>69</v>
      </c>
      <c r="C71">
        <v>6</v>
      </c>
      <c r="D71">
        <v>0.95956764994346599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6.8478122123716796</v>
      </c>
      <c r="Q71">
        <v>0</v>
      </c>
    </row>
    <row r="72" spans="1:36" x14ac:dyDescent="0.2">
      <c r="A72">
        <v>73073</v>
      </c>
      <c r="B72" t="s">
        <v>69</v>
      </c>
      <c r="C72">
        <v>7</v>
      </c>
      <c r="D72">
        <v>1.0204818186470599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</row>
    <row r="73" spans="1:36" x14ac:dyDescent="0.2">
      <c r="A73">
        <v>73073</v>
      </c>
      <c r="B73" t="s">
        <v>69</v>
      </c>
      <c r="C73">
        <v>8</v>
      </c>
      <c r="D73">
        <v>27.681027383477499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78.639881271728001</v>
      </c>
      <c r="M73">
        <v>0</v>
      </c>
      <c r="N73">
        <v>0</v>
      </c>
      <c r="O73">
        <v>0</v>
      </c>
      <c r="P73">
        <v>0</v>
      </c>
      <c r="Q73">
        <v>0</v>
      </c>
    </row>
    <row r="74" spans="1:36" x14ac:dyDescent="0.2">
      <c r="A74">
        <v>73073</v>
      </c>
      <c r="B74" t="s">
        <v>69</v>
      </c>
      <c r="C74">
        <v>9</v>
      </c>
      <c r="D74">
        <v>5.5741757762742399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190.241744089652</v>
      </c>
      <c r="M74">
        <v>0</v>
      </c>
      <c r="N74">
        <v>0</v>
      </c>
      <c r="O74">
        <v>0</v>
      </c>
      <c r="P74">
        <v>0</v>
      </c>
      <c r="Q74">
        <v>1297.2586459571401</v>
      </c>
    </row>
    <row r="75" spans="1:36" x14ac:dyDescent="0.2">
      <c r="A75">
        <v>73073</v>
      </c>
      <c r="B75" t="s">
        <v>69</v>
      </c>
      <c r="C75">
        <v>10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104.769484236769</v>
      </c>
      <c r="P75">
        <v>0</v>
      </c>
      <c r="Q75">
        <v>1535.7880988821701</v>
      </c>
    </row>
    <row r="76" spans="1:36" x14ac:dyDescent="0.2">
      <c r="A76">
        <v>73073</v>
      </c>
      <c r="B76" t="s">
        <v>69</v>
      </c>
      <c r="C76">
        <v>11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405.233494194483</v>
      </c>
      <c r="P76">
        <v>0</v>
      </c>
      <c r="Q76">
        <v>0</v>
      </c>
    </row>
    <row r="77" spans="1:36" x14ac:dyDescent="0.2">
      <c r="A77">
        <v>73073</v>
      </c>
      <c r="B77" t="s">
        <v>69</v>
      </c>
      <c r="C77">
        <v>12</v>
      </c>
      <c r="D77">
        <v>32.3918759523986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658.693654190286</v>
      </c>
      <c r="P77">
        <v>0</v>
      </c>
      <c r="Q77">
        <v>1658.64293650114</v>
      </c>
    </row>
    <row r="78" spans="1:36" x14ac:dyDescent="0.2">
      <c r="A78">
        <v>73073</v>
      </c>
      <c r="B78" t="s">
        <v>69</v>
      </c>
      <c r="C78">
        <v>13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1398.98574269508</v>
      </c>
      <c r="P78">
        <v>0</v>
      </c>
      <c r="Q78">
        <v>1408.18432460802</v>
      </c>
    </row>
    <row r="79" spans="1:36" x14ac:dyDescent="0.2">
      <c r="A79">
        <v>73073</v>
      </c>
      <c r="B79" t="s">
        <v>69</v>
      </c>
      <c r="C79">
        <v>14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3342.1624972392301</v>
      </c>
      <c r="P79">
        <v>0</v>
      </c>
      <c r="Q79">
        <v>4789.0471717472201</v>
      </c>
    </row>
    <row r="80" spans="1:36" x14ac:dyDescent="0.2">
      <c r="A80">
        <v>73073</v>
      </c>
      <c r="B80" t="s">
        <v>69</v>
      </c>
      <c r="C80">
        <v>15</v>
      </c>
      <c r="D80">
        <v>22.5411947042432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2554.1809623251902</v>
      </c>
      <c r="P80">
        <v>0</v>
      </c>
      <c r="Q80">
        <v>9995.1043113921696</v>
      </c>
    </row>
    <row r="81" spans="1:17" x14ac:dyDescent="0.2">
      <c r="A81">
        <v>73073</v>
      </c>
      <c r="B81" t="s">
        <v>69</v>
      </c>
      <c r="C81">
        <v>16</v>
      </c>
      <c r="D81">
        <v>69.704684626969296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4788.1748092899297</v>
      </c>
      <c r="P81">
        <v>0</v>
      </c>
      <c r="Q81">
        <v>5913.9228504437797</v>
      </c>
    </row>
    <row r="82" spans="1:17" x14ac:dyDescent="0.2">
      <c r="A82">
        <v>73073</v>
      </c>
      <c r="B82" t="s">
        <v>69</v>
      </c>
      <c r="C82">
        <v>17</v>
      </c>
      <c r="D82">
        <v>57.722866887916801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6.7377547107528898E-2</v>
      </c>
      <c r="Q82">
        <v>2713.5119899339502</v>
      </c>
    </row>
    <row r="83" spans="1:17" x14ac:dyDescent="0.2">
      <c r="A83">
        <v>73073</v>
      </c>
      <c r="B83" t="s">
        <v>69</v>
      </c>
      <c r="C83">
        <v>18</v>
      </c>
      <c r="D83">
        <v>7.6106458149586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</row>
    <row r="84" spans="1:17" x14ac:dyDescent="0.2">
      <c r="A84">
        <v>73073</v>
      </c>
      <c r="B84" t="s">
        <v>69</v>
      </c>
      <c r="C84">
        <v>19</v>
      </c>
      <c r="D84">
        <v>25.563935760610001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</row>
    <row r="85" spans="1:17" x14ac:dyDescent="0.2">
      <c r="A85">
        <v>73073</v>
      </c>
      <c r="B85" t="s">
        <v>69</v>
      </c>
      <c r="C85">
        <v>20</v>
      </c>
      <c r="D85">
        <v>124.884110147982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555.687316475893</v>
      </c>
      <c r="M85">
        <v>0</v>
      </c>
      <c r="N85">
        <v>0</v>
      </c>
      <c r="O85">
        <v>1033.2982934445499</v>
      </c>
      <c r="P85">
        <v>0</v>
      </c>
      <c r="Q85">
        <v>875.99569374977102</v>
      </c>
    </row>
    <row r="86" spans="1:17" x14ac:dyDescent="0.2">
      <c r="A86">
        <v>73073</v>
      </c>
      <c r="B86" t="s">
        <v>69</v>
      </c>
      <c r="C86">
        <v>21</v>
      </c>
      <c r="D86">
        <v>35.323040262984897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54.9611512933824</v>
      </c>
      <c r="M86">
        <v>0</v>
      </c>
      <c r="N86">
        <v>0</v>
      </c>
      <c r="O86">
        <v>684.23147467797696</v>
      </c>
      <c r="P86">
        <v>0</v>
      </c>
      <c r="Q86">
        <v>2317.1186639490902</v>
      </c>
    </row>
    <row r="87" spans="1:17" x14ac:dyDescent="0.2">
      <c r="A87">
        <v>73073</v>
      </c>
      <c r="B87" t="s">
        <v>69</v>
      </c>
      <c r="C87">
        <v>22</v>
      </c>
      <c r="D87">
        <v>35.306220491393702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792.82000067101205</v>
      </c>
      <c r="P87">
        <v>0</v>
      </c>
      <c r="Q87">
        <v>1867.1018183469801</v>
      </c>
    </row>
    <row r="88" spans="1:17" x14ac:dyDescent="0.2">
      <c r="A88">
        <v>73073</v>
      </c>
      <c r="B88" t="s">
        <v>69</v>
      </c>
      <c r="C88">
        <v>23</v>
      </c>
      <c r="D88">
        <v>11.346965600770099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789.74585550890902</v>
      </c>
      <c r="P88">
        <v>0</v>
      </c>
      <c r="Q88">
        <v>1336.1599019621301</v>
      </c>
    </row>
    <row r="89" spans="1:17" x14ac:dyDescent="0.2">
      <c r="A89">
        <v>73073</v>
      </c>
      <c r="B89" t="s">
        <v>69</v>
      </c>
      <c r="C89">
        <v>24</v>
      </c>
      <c r="D89">
        <v>11.7455495718399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376.13261656677798</v>
      </c>
      <c r="M89">
        <v>0</v>
      </c>
      <c r="N89">
        <v>0</v>
      </c>
      <c r="O89">
        <v>321.676741910499</v>
      </c>
      <c r="P89">
        <v>0</v>
      </c>
      <c r="Q89">
        <v>1275.86954607651</v>
      </c>
    </row>
    <row r="90" spans="1:17" x14ac:dyDescent="0.2">
      <c r="A90">
        <v>73073</v>
      </c>
      <c r="B90" t="s">
        <v>69</v>
      </c>
      <c r="C90">
        <v>25</v>
      </c>
      <c r="D90">
        <v>163.89022374321101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510.74971534674802</v>
      </c>
      <c r="M90">
        <v>0</v>
      </c>
      <c r="N90">
        <v>0</v>
      </c>
      <c r="O90">
        <v>427.55294803227798</v>
      </c>
      <c r="P90">
        <v>0</v>
      </c>
      <c r="Q90">
        <v>940.04030458850605</v>
      </c>
    </row>
    <row r="91" spans="1:17" x14ac:dyDescent="0.2">
      <c r="A91">
        <v>73073</v>
      </c>
      <c r="B91" t="s">
        <v>69</v>
      </c>
      <c r="C91">
        <v>26</v>
      </c>
      <c r="D91">
        <v>275.73030855292097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81.0953115609381</v>
      </c>
      <c r="M91">
        <v>0</v>
      </c>
      <c r="N91">
        <v>0</v>
      </c>
      <c r="O91">
        <v>251.85741830646401</v>
      </c>
      <c r="P91">
        <v>9.4758628039743595E-2</v>
      </c>
      <c r="Q91">
        <v>1163.69546849741</v>
      </c>
    </row>
    <row r="92" spans="1:17" x14ac:dyDescent="0.2">
      <c r="A92">
        <v>73073</v>
      </c>
      <c r="B92" t="s">
        <v>69</v>
      </c>
      <c r="C92">
        <v>27</v>
      </c>
      <c r="D92">
        <v>440.76438995259599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60.713961228183997</v>
      </c>
      <c r="M92">
        <v>0</v>
      </c>
      <c r="N92">
        <v>0</v>
      </c>
      <c r="O92">
        <v>405.10925045402502</v>
      </c>
      <c r="P92">
        <v>1.1355696856867199</v>
      </c>
      <c r="Q92">
        <v>841.96627538209498</v>
      </c>
    </row>
    <row r="93" spans="1:17" x14ac:dyDescent="0.2">
      <c r="A93">
        <v>73073</v>
      </c>
      <c r="B93" t="s">
        <v>69</v>
      </c>
      <c r="C93">
        <v>28</v>
      </c>
      <c r="D93">
        <v>288.39880366430702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31.218791699024099</v>
      </c>
      <c r="M93">
        <v>0</v>
      </c>
      <c r="N93">
        <v>0</v>
      </c>
      <c r="O93">
        <v>234.68662876005499</v>
      </c>
      <c r="P93">
        <v>1.0001865170720501</v>
      </c>
      <c r="Q93">
        <v>1105.44706535573</v>
      </c>
    </row>
    <row r="94" spans="1:17" x14ac:dyDescent="0.2">
      <c r="A94">
        <v>73073</v>
      </c>
      <c r="B94" t="s">
        <v>69</v>
      </c>
      <c r="C94">
        <v>29</v>
      </c>
      <c r="D94">
        <v>569.22925090494402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75.6775902793364</v>
      </c>
      <c r="M94">
        <v>0</v>
      </c>
      <c r="N94">
        <v>0</v>
      </c>
      <c r="O94">
        <v>381.493248390232</v>
      </c>
      <c r="P94">
        <v>0</v>
      </c>
      <c r="Q94">
        <v>1629.3244389254901</v>
      </c>
    </row>
    <row r="95" spans="1:17" x14ac:dyDescent="0.2">
      <c r="A95">
        <v>73073</v>
      </c>
      <c r="B95" t="s">
        <v>69</v>
      </c>
      <c r="C95">
        <v>30</v>
      </c>
      <c r="D95">
        <v>854.87686125389996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666.190821702888</v>
      </c>
      <c r="M95">
        <v>0</v>
      </c>
      <c r="N95">
        <v>0</v>
      </c>
      <c r="O95">
        <v>806.47551692013701</v>
      </c>
      <c r="P95">
        <v>0</v>
      </c>
      <c r="Q95">
        <v>1738.3206318579601</v>
      </c>
    </row>
    <row r="96" spans="1:17" x14ac:dyDescent="0.2">
      <c r="A96">
        <v>73073</v>
      </c>
      <c r="B96" t="s">
        <v>69</v>
      </c>
      <c r="C96">
        <v>31</v>
      </c>
      <c r="D96">
        <v>390.40884520435702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94.078340189195501</v>
      </c>
      <c r="M96">
        <v>0</v>
      </c>
      <c r="N96">
        <v>0</v>
      </c>
      <c r="O96">
        <v>538.58302425295199</v>
      </c>
      <c r="P96">
        <v>5.8763272002643303</v>
      </c>
      <c r="Q96">
        <v>824.46387855410103</v>
      </c>
    </row>
    <row r="97" spans="1:17" x14ac:dyDescent="0.2">
      <c r="A97">
        <v>73073</v>
      </c>
      <c r="B97" t="s">
        <v>69</v>
      </c>
      <c r="C97">
        <v>32</v>
      </c>
      <c r="D97">
        <v>386.62229696786301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120.340208132708</v>
      </c>
      <c r="M97">
        <v>0</v>
      </c>
      <c r="N97">
        <v>0</v>
      </c>
      <c r="O97">
        <v>487.98804410929398</v>
      </c>
      <c r="P97">
        <v>0</v>
      </c>
      <c r="Q97">
        <v>1901.34085491614</v>
      </c>
    </row>
    <row r="98" spans="1:17" x14ac:dyDescent="0.2">
      <c r="A98">
        <v>73073</v>
      </c>
      <c r="B98" t="s">
        <v>69</v>
      </c>
      <c r="C98">
        <v>33</v>
      </c>
      <c r="D98">
        <v>306.23733250182403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48.1687450218637</v>
      </c>
      <c r="M98">
        <v>0</v>
      </c>
      <c r="N98">
        <v>0</v>
      </c>
      <c r="O98">
        <v>515.52563639335199</v>
      </c>
      <c r="P98">
        <v>0.61297973062465105</v>
      </c>
      <c r="Q98">
        <v>1805.73049180315</v>
      </c>
    </row>
    <row r="99" spans="1:17" x14ac:dyDescent="0.2">
      <c r="A99">
        <v>73073</v>
      </c>
      <c r="B99" t="s">
        <v>69</v>
      </c>
      <c r="C99">
        <v>34</v>
      </c>
      <c r="D99">
        <v>124.127512788251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297.56585305675497</v>
      </c>
      <c r="M99">
        <v>0</v>
      </c>
      <c r="N99">
        <v>0</v>
      </c>
      <c r="O99">
        <v>321.95006306529802</v>
      </c>
      <c r="P99">
        <v>0</v>
      </c>
      <c r="Q99">
        <v>3946.9035591381898</v>
      </c>
    </row>
    <row r="100" spans="1:17" x14ac:dyDescent="0.2">
      <c r="A100">
        <v>73073</v>
      </c>
      <c r="B100" t="s">
        <v>69</v>
      </c>
      <c r="C100">
        <v>35</v>
      </c>
      <c r="D100">
        <v>174.120552335724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210.54026338563301</v>
      </c>
      <c r="M100">
        <v>0</v>
      </c>
      <c r="N100">
        <v>0</v>
      </c>
      <c r="O100">
        <v>312.12721607091697</v>
      </c>
      <c r="P100">
        <v>0</v>
      </c>
      <c r="Q100">
        <v>7257.0107216957003</v>
      </c>
    </row>
  </sheetData>
  <autoFilter ref="A1:Q100" xr:uid="{5B9C344B-05BF-3044-B872-127526583BFD}">
    <filterColumn colId="0">
      <filters>
        <filter val="0"/>
        <filter val="73073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Carlos Fabian Fuentes Rivas</cp:lastModifiedBy>
  <dcterms:created xsi:type="dcterms:W3CDTF">2026-07-30T16:23:00Z</dcterms:created>
  <dcterms:modified xsi:type="dcterms:W3CDTF">2026-07-30T19:18:23Z</dcterms:modified>
</cp:coreProperties>
</file>