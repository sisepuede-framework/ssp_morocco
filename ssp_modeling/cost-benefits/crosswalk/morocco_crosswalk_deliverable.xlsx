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lec_generation" sheetId="12" state="visible" r:id="rId14"/>
    <sheet name="T4_energy_by_fuel" sheetId="13" state="visible" r:id="rId15"/>
    <sheet name="T5_ecosystem_split" sheetId="14" state="visible" r:id="rId16"/>
    <sheet name="T5_memo" sheetId="15" state="visible" r:id="rId17"/>
    <sheet name="T7_pct_change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<sst xmlns="http://schemas.openxmlformats.org/spreadsheetml/2006/main" count="673" uniqueCount="343">
  <si>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</si>
  <si>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</si>
  <si>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</si>
  <si>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</si>
  <si>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</si>
  <si>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</si>
  <si>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</si>
  <si>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</si>
  <si>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</si>
  <si>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</si>
  <si>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</si>
  <si>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</si>
  <si>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</si>
  <si>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</si>
  <si>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</si>
  <si>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</si>
  <si>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</si>
  <si>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</si>
  <si>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</si>
  <si>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</si>
  <si>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</si>
  <si>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</si>
  <si>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</si>
  <si>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</si>
  <si>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</si>
  <si>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</si>
  <si>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</si>
  <si>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</si>
  <si>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</si>
  <si>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</si>
  <si>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</si>
  <si>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</si>
  <si>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</si>
  <si>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</si>
  <si>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</si>
  <si>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</si>
  <si>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</si>
  <si>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</si>
  <si>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</si>
  <si>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</si>
  <si>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</si>
  <si>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</si>
  <si>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</si>
  <si>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</si>
  <si>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</si>
  <si>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</si>
  <si>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</si>
  <si>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</si>
  <si>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</si>
  <si>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</si>
  <si>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</si>
  <si>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</si>
  <si>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</si>
  <si>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</si>
  <si>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</si>
  <si>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</si>
  <si>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</si>
  <si>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</si>
  <si>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</si>
  <si>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</si>
  <si>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</si>
  <si>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</si>
  <si>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</si>
  <si>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</si>
  <si>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</si>
  <si>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</si>
  <si>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</si>
  <si>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</si>
  <si>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</si>
  <si>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</si>
  <si>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</si>
  <si>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</si>
  <si>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</si>
  <si>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</si>
  <si>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</si>
  <si>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</si>
  <si>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</si>
  <si>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</si>
  <si>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</si>
  <si>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</si>
  <si>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</si>
  <si>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</si>
  <si>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</si>
  <si>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</si>
  <si>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</si>
  <si>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</si>
  <si>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</si>
  <si>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</si>
  <si>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</si>
  <si>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</si>
  <si>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</si>
  <si>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</si>
  <si>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</si>
  <si>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</si>
  <si>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</si>
  <si>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</si>
  <si>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</si>
  <si>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</si>
  <si>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</si>
  <si>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</si>
  <si>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</si>
  <si>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</si>
  <si>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</si>
  <si>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</si>
  <si>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</si>
  <si>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</si>
  <si>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</si>
  <si>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</si>
  <si>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</si>
  <si>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</si>
  <si>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</si>
  <si>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</si>
  <si>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</si>
  <si>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</si>
  <si>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</si>
  <si>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</si>
  <si>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</si>
  <si>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</si>
  <si>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</si>
  <si>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</si>
  <si>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</si>
  <si>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</si>
  <si>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</si>
  <si>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</si>
  <si>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</si>
  <si>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</si>
  <si>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</si>
  <si>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</si>
  <si>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</si>
  <si>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</si>
  <si>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</si>
  <si>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</si>
  <si>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</si>
  <si>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</si>
  <si>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</si>
  <si>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</si>
  <si>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</si>
  <si>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</si>
  <si>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</si>
  <si>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</si>
  <si>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</si>
  <si>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</si>
  <si>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</si>
  <si>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</si>
  <si>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</si>
  <si>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</si>
  <si>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</si>
  <si>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</si>
  <si>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</si>
  <si>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</si>
  <si>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</si>
  <si>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</si>
  <si>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</si>
  <si>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</si>
  <si>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</si>
  <si>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</si>
  <si>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</si>
  <si>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</si>
  <si>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</si>
  <si>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</si>
  <si>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</si>
  <si>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</si>
  <si>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</si>
  <si>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</si>
  <si>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</si>
  <si>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</si>
  <si>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</si>
  <si>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</si>
  <si>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</si>
  <si>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</si>
  <si>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</si>
  <si>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</si>
  <si>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</si>
  <si>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</si>
  <si>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</si>
  <si>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</si>
  <si>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</si>
  <si>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</si>
  <si>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</si>
  <si>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</si>
  <si>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</si>
  <si>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</si>
  <si>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</si>
  <si>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</si>
  <si>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</si>
  <si>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</si>
  <si>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</si>
  <si>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</si>
  <si>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</si>
  <si>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</si>
  <si>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</si>
  <si>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</si>
  <si>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</si>
  <si>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</si>
  <si>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</si>
  <si>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</si>
  <si>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</si>
  <si>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</si>
  <si>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</si>
  <si>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</si>
  <si>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</si>
  <si>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</si>
  <si>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</si>
  <si>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</si>
  <si>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</si>
  <si>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</si>
  <si>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</si>
  <si>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</si>
  <si>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</si>
  <si>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</si>
  <si>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</si>
  <si>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</si>
  <si>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</si>
  <si>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</si>
  <si>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</si>
  <si>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</si>
  <si>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</si>
  <si>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</si>
  <si>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</si>
  <si>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</si>
  <si>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</si>
  <si>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</si>
  <si>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</si>
  <si>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</si>
  <si>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</si>
  <si>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</si>
  <si>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VKM (vehicle-km)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</si>
  <si>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</si>
  <si>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</si>
  <si>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</si>
  <si>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</si>
  <si>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VEHICLES = VKM / 12,000  — Business as Usual - CDN</t>
  </si>
  <si>
    <t xml:space="preserve">RAW VKM (vehicle-km) — Baseline Scenario - SNBC</t>
  </si>
  <si>
    <t xml:space="preserve">VEHICLES = VKM / 12,000  — Baseline Scenario - SNBC</t>
  </si>
  <si>
    <t xml:space="preserve">RAW VKM (vehicle-km) — LTS</t>
  </si>
  <si>
    <t xml:space="preserve">VEHICLES = VKM / 12,000  — LTS</t>
  </si>
  <si>
    <t xml:space="preserve">PUBLIC  —  divisor 60,000 km/veh/yr</t>
  </si>
  <si>
    <t xml:space="preserve">VEHICLES = VKM / 60,000  — Business as Usual - CDN</t>
  </si>
  <si>
    <t xml:space="preserve">VEHICLES = VKM / 60,000  — Baseline Scenario - SNBC</t>
  </si>
  <si>
    <t xml:space="preserve">VEHICLES = VKM / 60,000  — LTS</t>
  </si>
  <si>
    <t xml:space="preserve">Task 4 — Electricity generation by technology (LEDS)</t>
  </si>
  <si>
    <t xml:space="preserve">NemoMod Production by Technology, from the Tableau 'drivers' datasource. Storage (st_*) shown separately below. Units: model output units (PJ/GWh as in dashboard).</t>
  </si>
  <si>
    <t xml:space="preserve">pp_biomass</t>
  </si>
  <si>
    <t xml:space="preserve">Storage (st_*) — discharge, listed separately from generation</t>
  </si>
  <si>
    <t xml:space="preserve">st_batteries</t>
  </si>
  <si>
    <t xml:space="preserve">st_compressed_air</t>
  </si>
  <si>
    <t xml:space="preserve">st_flywheels</t>
  </si>
  <si>
    <t xml:space="preserve">st_pumped_hydro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</si>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</sst>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0" t="s">
        <v>226</v>
      </c>
      <c r="B11" s="12"/>
      <c r="C11" s="12"/>
      <c r="D11" s="12"/>
      <c r="E11" s="12"/>
    </row>
    <row r="12" customFormat="false" ht="26.85" hidden="false" customHeight="false" outlineLevel="0" collapsed="false">
      <c r="A12" s="3" t="s">
        <v>113</v>
      </c>
      <c r="B12" s="3" t="s">
        <v>227</v>
      </c>
      <c r="C12" s="3" t="s">
        <v>228</v>
      </c>
      <c r="D12" s="3" t="s">
        <v>229</v>
      </c>
      <c r="E12" s="3" t="s">
        <v>230</v>
      </c>
    </row>
    <row r="13" customFormat="false" ht="15" hidden="false" customHeight="false" outlineLevel="0" collapsed="false">
      <c r="A13" s="4" t="n">
        <v>2023</v>
      </c>
      <c r="B13" s="24" t="n">
        <v>0</v>
      </c>
      <c r="C13" s="24" t="n">
        <v>25765981851.3</v>
      </c>
      <c r="D13" s="24" t="n">
        <v>32956488414.5</v>
      </c>
      <c r="E13" s="24" t="n">
        <v>1198417760.5</v>
      </c>
    </row>
    <row r="14" customFormat="false" ht="15" hidden="false" customHeight="false" outlineLevel="0" collapsed="false">
      <c r="A14" s="4" t="n">
        <v>2024</v>
      </c>
      <c r="B14" s="24" t="n">
        <v>0</v>
      </c>
      <c r="C14" s="24" t="n">
        <v>26830722063.8</v>
      </c>
      <c r="D14" s="24" t="n">
        <v>34318365430.5</v>
      </c>
      <c r="E14" s="24" t="n">
        <v>1247940561.1</v>
      </c>
    </row>
    <row r="15" customFormat="false" ht="15" hidden="false" customHeight="false" outlineLevel="0" collapsed="false">
      <c r="A15" s="4" t="n">
        <v>2025</v>
      </c>
      <c r="B15" s="24" t="n">
        <v>0</v>
      </c>
      <c r="C15" s="24" t="n">
        <v>27999779219.9</v>
      </c>
      <c r="D15" s="24" t="n">
        <v>35813671095.3</v>
      </c>
      <c r="E15" s="24" t="n">
        <v>1302315312.6</v>
      </c>
    </row>
    <row r="16" customFormat="false" ht="15" hidden="false" customHeight="false" outlineLevel="0" collapsed="false">
      <c r="A16" s="4" t="n">
        <v>2026</v>
      </c>
      <c r="B16" s="24" t="n">
        <v>0</v>
      </c>
      <c r="C16" s="24" t="n">
        <v>29252411444.8</v>
      </c>
      <c r="D16" s="24" t="n">
        <v>37415875103.9</v>
      </c>
      <c r="E16" s="24" t="n">
        <v>1360577276.5</v>
      </c>
    </row>
    <row r="17" customFormat="false" ht="15" hidden="false" customHeight="false" outlineLevel="0" collapsed="false">
      <c r="A17" s="4" t="n">
        <v>2027</v>
      </c>
      <c r="B17" s="24" t="n">
        <v>0</v>
      </c>
      <c r="C17" s="24" t="n">
        <v>30568011010.1</v>
      </c>
      <c r="D17" s="24" t="n">
        <v>39098618733.8</v>
      </c>
      <c r="E17" s="24" t="n">
        <v>1421767954</v>
      </c>
    </row>
    <row r="18" customFormat="false" ht="15" hidden="false" customHeight="false" outlineLevel="0" collapsed="false">
      <c r="A18" s="4" t="n">
        <v>2028</v>
      </c>
      <c r="B18" s="24" t="n">
        <v>0</v>
      </c>
      <c r="C18" s="24" t="n">
        <v>31937726583.8</v>
      </c>
      <c r="D18" s="24" t="n">
        <v>40850580514.1</v>
      </c>
      <c r="E18" s="24" t="n">
        <v>1485475655.1</v>
      </c>
    </row>
    <row r="19" customFormat="false" ht="15" hidden="false" customHeight="false" outlineLevel="0" collapsed="false">
      <c r="A19" s="4" t="n">
        <v>2029</v>
      </c>
      <c r="B19" s="24" t="n">
        <v>0</v>
      </c>
      <c r="C19" s="24" t="n">
        <v>33384208370.4</v>
      </c>
      <c r="D19" s="24" t="n">
        <v>42700731636.6</v>
      </c>
      <c r="E19" s="24" t="n">
        <v>1552753877.7</v>
      </c>
    </row>
    <row r="20" customFormat="false" ht="15" hidden="false" customHeight="false" outlineLevel="0" collapsed="false">
      <c r="A20" s="4" t="n">
        <v>2030</v>
      </c>
      <c r="B20" s="24" t="n">
        <v>0</v>
      </c>
      <c r="C20" s="24" t="n">
        <v>34880968030.9</v>
      </c>
      <c r="D20" s="24" t="n">
        <v>44615191667.4</v>
      </c>
      <c r="E20" s="24" t="n">
        <v>1622370606.1</v>
      </c>
    </row>
    <row r="21" customFormat="false" ht="15" hidden="false" customHeight="false" outlineLevel="0" collapsed="false">
      <c r="A21" s="4" t="n">
        <v>2031</v>
      </c>
      <c r="B21" s="24" t="n">
        <v>0</v>
      </c>
      <c r="C21" s="24" t="n">
        <v>36428968179.2</v>
      </c>
      <c r="D21" s="24" t="n">
        <v>46595191857.1</v>
      </c>
      <c r="E21" s="24" t="n">
        <v>1694370613</v>
      </c>
    </row>
    <row r="22" customFormat="false" ht="15" hidden="false" customHeight="false" outlineLevel="0" collapsed="false">
      <c r="A22" s="4" t="n">
        <v>2032</v>
      </c>
      <c r="B22" s="24" t="n">
        <v>0</v>
      </c>
      <c r="C22" s="24" t="n">
        <v>38029113911.7</v>
      </c>
      <c r="D22" s="24" t="n">
        <v>48641889887</v>
      </c>
      <c r="E22" s="24" t="n">
        <v>1768795995.9</v>
      </c>
    </row>
    <row r="23" customFormat="false" ht="15" hidden="false" customHeight="false" outlineLevel="0" collapsed="false">
      <c r="A23" s="4" t="n">
        <v>2033</v>
      </c>
      <c r="B23" s="24" t="n">
        <v>0</v>
      </c>
      <c r="C23" s="24" t="n">
        <v>39682237533.6</v>
      </c>
      <c r="D23" s="24" t="n">
        <v>50756350333.7</v>
      </c>
      <c r="E23" s="24" t="n">
        <v>1845685466.7</v>
      </c>
    </row>
    <row r="24" customFormat="false" ht="15" hidden="false" customHeight="false" outlineLevel="0" collapsed="false">
      <c r="A24" s="4" t="n">
        <v>2034</v>
      </c>
      <c r="B24" s="24" t="n">
        <v>0</v>
      </c>
      <c r="C24" s="24" t="n">
        <v>41389096816.7</v>
      </c>
      <c r="D24" s="24" t="n">
        <v>52939542440</v>
      </c>
      <c r="E24" s="24" t="n">
        <v>1925074270.5</v>
      </c>
    </row>
    <row r="25" customFormat="false" ht="15" hidden="false" customHeight="false" outlineLevel="0" collapsed="false">
      <c r="A25" s="4" t="n">
        <v>2035</v>
      </c>
      <c r="B25" s="24" t="n">
        <v>0</v>
      </c>
      <c r="C25" s="24" t="n">
        <v>43150390547.3</v>
      </c>
      <c r="D25" s="24" t="n">
        <v>55192360002.4</v>
      </c>
      <c r="E25" s="24" t="n">
        <v>2006994909.2</v>
      </c>
    </row>
    <row r="26" customFormat="false" ht="15" hidden="false" customHeight="false" outlineLevel="0" collapsed="false">
      <c r="A26" s="4" t="n">
        <v>2036</v>
      </c>
      <c r="B26" s="24" t="n">
        <v>0</v>
      </c>
      <c r="C26" s="24" t="n">
        <v>44966732589.2</v>
      </c>
      <c r="D26" s="24" t="n">
        <v>57515588195.5</v>
      </c>
      <c r="E26" s="24" t="n">
        <v>2091475934.4</v>
      </c>
    </row>
    <row r="27" customFormat="false" ht="15" hidden="false" customHeight="false" outlineLevel="0" collapsed="false">
      <c r="A27" s="4" t="n">
        <v>2037</v>
      </c>
      <c r="B27" s="24" t="n">
        <v>0</v>
      </c>
      <c r="C27" s="24" t="n">
        <v>46838655810.7</v>
      </c>
      <c r="D27" s="24" t="n">
        <v>59909908595.1</v>
      </c>
      <c r="E27" s="24" t="n">
        <v>2178542130.7</v>
      </c>
    </row>
    <row r="28" customFormat="false" ht="15" hidden="false" customHeight="false" outlineLevel="0" collapsed="false">
      <c r="A28" s="4" t="n">
        <v>2038</v>
      </c>
      <c r="B28" s="24" t="n">
        <v>0</v>
      </c>
      <c r="C28" s="24" t="n">
        <v>48766629135.7</v>
      </c>
      <c r="D28" s="24" t="n">
        <v>62375920987.5</v>
      </c>
      <c r="E28" s="24" t="n">
        <v>2268215308.6</v>
      </c>
    </row>
    <row r="29" customFormat="false" ht="15" hidden="false" customHeight="false" outlineLevel="0" collapsed="false">
      <c r="A29" s="4" t="n">
        <v>2039</v>
      </c>
      <c r="B29" s="24" t="n">
        <v>0</v>
      </c>
      <c r="C29" s="24" t="n">
        <v>50751024219.2</v>
      </c>
      <c r="D29" s="24" t="n">
        <v>64914100745.5</v>
      </c>
      <c r="E29" s="24" t="n">
        <v>2360512754.4</v>
      </c>
    </row>
    <row r="30" customFormat="false" ht="15" hidden="false" customHeight="false" outlineLevel="0" collapsed="false">
      <c r="A30" s="4" t="n">
        <v>2040</v>
      </c>
      <c r="B30" s="24" t="n">
        <v>0</v>
      </c>
      <c r="C30" s="24" t="n">
        <v>52792125546.7</v>
      </c>
      <c r="D30" s="24" t="n">
        <v>67524811745.8</v>
      </c>
      <c r="E30" s="24" t="n">
        <v>2455447699.8</v>
      </c>
    </row>
    <row r="31" customFormat="false" ht="15" hidden="false" customHeight="false" outlineLevel="0" collapsed="false">
      <c r="A31" s="4" t="n">
        <v>2041</v>
      </c>
      <c r="B31" s="24" t="n">
        <v>0</v>
      </c>
      <c r="C31" s="24" t="n">
        <v>54917593319.3</v>
      </c>
      <c r="D31" s="24" t="n">
        <v>70243433315.4</v>
      </c>
      <c r="E31" s="24" t="n">
        <v>2554306666</v>
      </c>
    </row>
    <row r="32" customFormat="false" ht="15" hidden="false" customHeight="false" outlineLevel="0" collapsed="false">
      <c r="A32" s="4" t="n">
        <v>2042</v>
      </c>
      <c r="B32" s="24" t="n">
        <v>0</v>
      </c>
      <c r="C32" s="24" t="n">
        <v>57130777247.1</v>
      </c>
      <c r="D32" s="24" t="n">
        <v>73074249967.2</v>
      </c>
      <c r="E32" s="24" t="n">
        <v>2657245453.4</v>
      </c>
    </row>
    <row r="33" customFormat="false" ht="15" hidden="false" customHeight="false" outlineLevel="0" collapsed="false">
      <c r="A33" s="4" t="n">
        <v>2043</v>
      </c>
      <c r="B33" s="24" t="n">
        <v>0</v>
      </c>
      <c r="C33" s="24" t="n">
        <v>59435145937.2</v>
      </c>
      <c r="D33" s="24" t="n">
        <v>76021698291.8</v>
      </c>
      <c r="E33" s="24" t="n">
        <v>2764425392.4</v>
      </c>
    </row>
    <row r="34" customFormat="false" ht="15" hidden="false" customHeight="false" outlineLevel="0" collapsed="false">
      <c r="A34" s="4" t="n">
        <v>2044</v>
      </c>
      <c r="B34" s="24" t="n">
        <v>0</v>
      </c>
      <c r="C34" s="24" t="n">
        <v>61834236823.1</v>
      </c>
      <c r="D34" s="24" t="n">
        <v>79090302913.2</v>
      </c>
      <c r="E34" s="24" t="n">
        <v>2876011015</v>
      </c>
    </row>
    <row r="35" customFormat="false" ht="15" hidden="false" customHeight="false" outlineLevel="0" collapsed="false">
      <c r="A35" s="4" t="n">
        <v>2045</v>
      </c>
      <c r="B35" s="24" t="n">
        <v>0</v>
      </c>
      <c r="C35" s="24" t="n">
        <v>64331690790</v>
      </c>
      <c r="D35" s="24" t="n">
        <v>82284720778</v>
      </c>
      <c r="E35" s="24" t="n">
        <v>2992171664.7</v>
      </c>
    </row>
    <row r="36" customFormat="false" ht="15" hidden="false" customHeight="false" outlineLevel="0" collapsed="false">
      <c r="A36" s="4" t="n">
        <v>2046</v>
      </c>
      <c r="B36" s="24" t="n">
        <v>0</v>
      </c>
      <c r="C36" s="24" t="n">
        <v>66931256604.8</v>
      </c>
      <c r="D36" s="24" t="n">
        <v>85609746820.1</v>
      </c>
      <c r="E36" s="24" t="n">
        <v>3113081702.5</v>
      </c>
    </row>
    <row r="37" customFormat="false" ht="15" hidden="false" customHeight="false" outlineLevel="0" collapsed="false">
      <c r="A37" s="4" t="n">
        <v>2047</v>
      </c>
      <c r="B37" s="24" t="n">
        <v>0</v>
      </c>
      <c r="C37" s="24" t="n">
        <v>69636948461.3</v>
      </c>
      <c r="D37" s="24" t="n">
        <v>89070515473.8</v>
      </c>
      <c r="E37" s="24" t="n">
        <v>3238927835.4</v>
      </c>
    </row>
    <row r="38" customFormat="false" ht="15" hidden="false" customHeight="false" outlineLevel="0" collapsed="false">
      <c r="A38" s="4" t="n">
        <v>2048</v>
      </c>
      <c r="B38" s="24" t="n">
        <v>0</v>
      </c>
      <c r="C38" s="24" t="n">
        <v>72452835146.2</v>
      </c>
      <c r="D38" s="24" t="n">
        <v>92672231001</v>
      </c>
      <c r="E38" s="24" t="n">
        <v>3369899309.1</v>
      </c>
    </row>
    <row r="39" customFormat="false" ht="15" hidden="false" customHeight="false" outlineLevel="0" collapsed="false">
      <c r="A39" s="4" t="n">
        <v>2049</v>
      </c>
      <c r="B39" s="24" t="n">
        <v>0</v>
      </c>
      <c r="C39" s="24" t="n">
        <v>75383122933.8</v>
      </c>
      <c r="D39" s="24" t="n">
        <v>96420273519.9</v>
      </c>
      <c r="E39" s="24" t="n">
        <v>3506191764.4</v>
      </c>
    </row>
    <row r="40" customFormat="false" ht="15" hidden="false" customHeight="false" outlineLevel="0" collapsed="false">
      <c r="A40" s="4" t="n">
        <v>2050</v>
      </c>
      <c r="B40" s="24" t="n">
        <v>0</v>
      </c>
      <c r="C40" s="24" t="n">
        <v>78432202846.8</v>
      </c>
      <c r="D40" s="24" t="n">
        <v>100320259455.3</v>
      </c>
      <c r="E40" s="24" t="n">
        <v>3648009434.7</v>
      </c>
    </row>
    <row r="42" customFormat="false" ht="15" hidden="false" customHeight="false" outlineLevel="0" collapsed="false">
      <c r="A42" s="10" t="s">
        <v>231</v>
      </c>
      <c r="B42" s="12"/>
      <c r="C42" s="12"/>
      <c r="D42" s="12"/>
      <c r="E42" s="12"/>
    </row>
    <row r="43" customFormat="false" ht="26.85" hidden="false" customHeight="false" outlineLevel="0" collapsed="false">
      <c r="A43" s="3" t="s">
        <v>113</v>
      </c>
      <c r="B43" s="3" t="s">
        <v>227</v>
      </c>
      <c r="C43" s="3" t="s">
        <v>228</v>
      </c>
      <c r="D43" s="3" t="s">
        <v>229</v>
      </c>
      <c r="E43" s="3" t="s">
        <v>230</v>
      </c>
      <c r="F43" s="3" t="s">
        <v>58</v>
      </c>
    </row>
    <row r="44" customFormat="false" ht="15" hidden="false" customHeight="false" outlineLevel="0" collapsed="false">
      <c r="A44" s="4" t="n">
        <v>2023</v>
      </c>
      <c r="B44" s="25" t="n">
        <f aca="false">B13/12000</f>
        <v>0</v>
      </c>
      <c r="C44" s="25" t="n">
        <f aca="false">C13/12000</f>
        <v>2147165.154275</v>
      </c>
      <c r="D44" s="25" t="n">
        <f aca="false">D13/12000</f>
        <v>2746374.03454167</v>
      </c>
      <c r="E44" s="25" t="n">
        <f aca="false">E13/12000</f>
        <v>99868.1467083333</v>
      </c>
      <c r="F44" s="26" t="n">
        <f aca="false">SUM(B44:E44)</f>
        <v>4993407.335525</v>
      </c>
    </row>
    <row r="45" customFormat="false" ht="15" hidden="false" customHeight="false" outlineLevel="0" collapsed="false">
      <c r="A45" s="4" t="n">
        <v>2024</v>
      </c>
      <c r="B45" s="25" t="n">
        <f aca="false">B14/12000</f>
        <v>0</v>
      </c>
      <c r="C45" s="25" t="n">
        <f aca="false">C14/12000</f>
        <v>2235893.50531667</v>
      </c>
      <c r="D45" s="25" t="n">
        <f aca="false">D14/12000</f>
        <v>2859863.785875</v>
      </c>
      <c r="E45" s="25" t="n">
        <f aca="false">E14/12000</f>
        <v>103995.046758333</v>
      </c>
      <c r="F45" s="26" t="n">
        <f aca="false">SUM(B45:E45)</f>
        <v>5199752.33795</v>
      </c>
    </row>
    <row r="46" customFormat="false" ht="15" hidden="false" customHeight="false" outlineLevel="0" collapsed="false">
      <c r="A46" s="4" t="n">
        <v>2025</v>
      </c>
      <c r="B46" s="25" t="n">
        <f aca="false">B15/12000</f>
        <v>0</v>
      </c>
      <c r="C46" s="25" t="n">
        <f aca="false">C15/12000</f>
        <v>2333314.93499167</v>
      </c>
      <c r="D46" s="25" t="n">
        <f aca="false">D15/12000</f>
        <v>2984472.591275</v>
      </c>
      <c r="E46" s="25" t="n">
        <f aca="false">E15/12000</f>
        <v>108526.27605</v>
      </c>
      <c r="F46" s="26" t="n">
        <f aca="false">SUM(B46:E46)</f>
        <v>5426313.80231667</v>
      </c>
    </row>
    <row r="47" customFormat="false" ht="15" hidden="false" customHeight="false" outlineLevel="0" collapsed="false">
      <c r="A47" s="4" t="n">
        <v>2026</v>
      </c>
      <c r="B47" s="25" t="n">
        <f aca="false">B16/12000</f>
        <v>0</v>
      </c>
      <c r="C47" s="25" t="n">
        <f aca="false">C16/12000</f>
        <v>2437700.95373333</v>
      </c>
      <c r="D47" s="25" t="n">
        <f aca="false">D16/12000</f>
        <v>3117989.59199167</v>
      </c>
      <c r="E47" s="25" t="n">
        <f aca="false">E16/12000</f>
        <v>113381.439708333</v>
      </c>
      <c r="F47" s="26" t="n">
        <f aca="false">SUM(B47:E47)</f>
        <v>5669071.98543333</v>
      </c>
    </row>
    <row r="48" customFormat="false" ht="15" hidden="false" customHeight="false" outlineLevel="0" collapsed="false">
      <c r="A48" s="4" t="n">
        <v>2027</v>
      </c>
      <c r="B48" s="25" t="n">
        <f aca="false">B17/12000</f>
        <v>0</v>
      </c>
      <c r="C48" s="25" t="n">
        <f aca="false">C17/12000</f>
        <v>2547334.25084167</v>
      </c>
      <c r="D48" s="25" t="n">
        <f aca="false">D17/12000</f>
        <v>3258218.22781667</v>
      </c>
      <c r="E48" s="25" t="n">
        <f aca="false">E17/12000</f>
        <v>118480.662833333</v>
      </c>
      <c r="F48" s="26" t="n">
        <f aca="false">SUM(B48:E48)</f>
        <v>5924033.14149167</v>
      </c>
    </row>
    <row r="49" customFormat="false" ht="15" hidden="false" customHeight="false" outlineLevel="0" collapsed="false">
      <c r="A49" s="4" t="n">
        <v>2028</v>
      </c>
      <c r="B49" s="25" t="n">
        <f aca="false">B18/12000</f>
        <v>0</v>
      </c>
      <c r="C49" s="25" t="n">
        <f aca="false">C18/12000</f>
        <v>2661477.21531667</v>
      </c>
      <c r="D49" s="25" t="n">
        <f aca="false">D18/12000</f>
        <v>3404215.04284167</v>
      </c>
      <c r="E49" s="25" t="n">
        <f aca="false">E18/12000</f>
        <v>123789.637925</v>
      </c>
      <c r="F49" s="26" t="n">
        <f aca="false">SUM(B49:E49)</f>
        <v>6189481.89608333</v>
      </c>
    </row>
    <row r="50" customFormat="false" ht="15" hidden="false" customHeight="false" outlineLevel="0" collapsed="false">
      <c r="A50" s="4" t="n">
        <v>2029</v>
      </c>
      <c r="B50" s="25" t="n">
        <f aca="false">B19/12000</f>
        <v>0</v>
      </c>
      <c r="C50" s="25" t="n">
        <f aca="false">C19/12000</f>
        <v>2782017.3642</v>
      </c>
      <c r="D50" s="25" t="n">
        <f aca="false">D19/12000</f>
        <v>3558394.30305</v>
      </c>
      <c r="E50" s="25" t="n">
        <f aca="false">E19/12000</f>
        <v>129396.156475</v>
      </c>
      <c r="F50" s="26" t="n">
        <f aca="false">SUM(B50:E50)</f>
        <v>6469807.823725</v>
      </c>
    </row>
    <row r="51" customFormat="false" ht="15" hidden="false" customHeight="false" outlineLevel="0" collapsed="false">
      <c r="A51" s="4" t="n">
        <v>2030</v>
      </c>
      <c r="B51" s="25" t="n">
        <f aca="false">B20/12000</f>
        <v>0</v>
      </c>
      <c r="C51" s="25" t="n">
        <f aca="false">C20/12000</f>
        <v>2906747.33590833</v>
      </c>
      <c r="D51" s="25" t="n">
        <f aca="false">D20/12000</f>
        <v>3717932.63895</v>
      </c>
      <c r="E51" s="25" t="n">
        <f aca="false">E20/12000</f>
        <v>135197.550508333</v>
      </c>
      <c r="F51" s="26" t="n">
        <f aca="false">SUM(B51:E51)</f>
        <v>6759877.52536667</v>
      </c>
    </row>
    <row r="52" customFormat="false" ht="15" hidden="false" customHeight="false" outlineLevel="0" collapsed="false">
      <c r="A52" s="4" t="n">
        <v>2031</v>
      </c>
      <c r="B52" s="25" t="n">
        <f aca="false">B21/12000</f>
        <v>0</v>
      </c>
      <c r="C52" s="25" t="n">
        <f aca="false">C21/12000</f>
        <v>3035747.34826667</v>
      </c>
      <c r="D52" s="25" t="n">
        <f aca="false">D21/12000</f>
        <v>3882932.65475833</v>
      </c>
      <c r="E52" s="25" t="n">
        <f aca="false">E21/12000</f>
        <v>141197.551083333</v>
      </c>
      <c r="F52" s="26" t="n">
        <f aca="false">SUM(B52:E52)</f>
        <v>7059877.55410833</v>
      </c>
    </row>
    <row r="53" customFormat="false" ht="15" hidden="false" customHeight="false" outlineLevel="0" collapsed="false">
      <c r="A53" s="4" t="n">
        <v>2032</v>
      </c>
      <c r="B53" s="25" t="n">
        <f aca="false">B22/12000</f>
        <v>0</v>
      </c>
      <c r="C53" s="25" t="n">
        <f aca="false">C22/12000</f>
        <v>3169092.825975</v>
      </c>
      <c r="D53" s="25" t="n">
        <f aca="false">D22/12000</f>
        <v>4053490.82391667</v>
      </c>
      <c r="E53" s="25" t="n">
        <f aca="false">E22/12000</f>
        <v>147399.666325</v>
      </c>
      <c r="F53" s="26" t="n">
        <f aca="false">SUM(B53:E53)</f>
        <v>7369983.31621667</v>
      </c>
    </row>
    <row r="54" customFormat="false" ht="15" hidden="false" customHeight="false" outlineLevel="0" collapsed="false">
      <c r="A54" s="4" t="n">
        <v>2033</v>
      </c>
      <c r="B54" s="25" t="n">
        <f aca="false">B23/12000</f>
        <v>0</v>
      </c>
      <c r="C54" s="25" t="n">
        <f aca="false">C23/12000</f>
        <v>3306853.1278</v>
      </c>
      <c r="D54" s="25" t="n">
        <f aca="false">D23/12000</f>
        <v>4229695.86114167</v>
      </c>
      <c r="E54" s="25" t="n">
        <f aca="false">E23/12000</f>
        <v>153807.122225</v>
      </c>
      <c r="F54" s="26" t="n">
        <f aca="false">SUM(B54:E54)</f>
        <v>7690356.11116667</v>
      </c>
    </row>
    <row r="55" customFormat="false" ht="15" hidden="false" customHeight="false" outlineLevel="0" collapsed="false">
      <c r="A55" s="4" t="n">
        <v>2034</v>
      </c>
      <c r="B55" s="25" t="n">
        <f aca="false">B24/12000</f>
        <v>0</v>
      </c>
      <c r="C55" s="25" t="n">
        <f aca="false">C24/12000</f>
        <v>3449091.40139167</v>
      </c>
      <c r="D55" s="25" t="n">
        <f aca="false">D24/12000</f>
        <v>4411628.53666667</v>
      </c>
      <c r="E55" s="25" t="n">
        <f aca="false">E24/12000</f>
        <v>160422.855875</v>
      </c>
      <c r="F55" s="26" t="n">
        <f aca="false">SUM(B55:E55)</f>
        <v>8021142.79393333</v>
      </c>
    </row>
    <row r="56" customFormat="false" ht="15" hidden="false" customHeight="false" outlineLevel="0" collapsed="false">
      <c r="A56" s="4" t="n">
        <v>2035</v>
      </c>
      <c r="B56" s="25" t="n">
        <f aca="false">B25/12000</f>
        <v>0</v>
      </c>
      <c r="C56" s="25" t="n">
        <f aca="false">C25/12000</f>
        <v>3595865.87894167</v>
      </c>
      <c r="D56" s="25" t="n">
        <f aca="false">D25/12000</f>
        <v>4599363.33353333</v>
      </c>
      <c r="E56" s="25" t="n">
        <f aca="false">E25/12000</f>
        <v>167249.575766667</v>
      </c>
      <c r="F56" s="26" t="n">
        <f aca="false">SUM(B56:E56)</f>
        <v>8362478.78824167</v>
      </c>
    </row>
    <row r="57" customFormat="false" ht="15" hidden="false" customHeight="false" outlineLevel="0" collapsed="false">
      <c r="A57" s="4" t="n">
        <v>2036</v>
      </c>
      <c r="B57" s="25" t="n">
        <f aca="false">B26/12000</f>
        <v>0</v>
      </c>
      <c r="C57" s="25" t="n">
        <f aca="false">C26/12000</f>
        <v>3747227.71576667</v>
      </c>
      <c r="D57" s="25" t="n">
        <f aca="false">D26/12000</f>
        <v>4792965.68295833</v>
      </c>
      <c r="E57" s="25" t="n">
        <f aca="false">E26/12000</f>
        <v>174289.6612</v>
      </c>
      <c r="F57" s="26" t="n">
        <f aca="false">SUM(B57:E57)</f>
        <v>8714483.059925</v>
      </c>
    </row>
    <row r="58" customFormat="false" ht="15" hidden="false" customHeight="false" outlineLevel="0" collapsed="false">
      <c r="A58" s="4" t="n">
        <v>2037</v>
      </c>
      <c r="B58" s="25" t="n">
        <f aca="false">B27/12000</f>
        <v>0</v>
      </c>
      <c r="C58" s="25" t="n">
        <f aca="false">C27/12000</f>
        <v>3903221.31755833</v>
      </c>
      <c r="D58" s="25" t="n">
        <f aca="false">D27/12000</f>
        <v>4992492.382925</v>
      </c>
      <c r="E58" s="25" t="n">
        <f aca="false">E27/12000</f>
        <v>181545.177558333</v>
      </c>
      <c r="F58" s="26" t="n">
        <f aca="false">SUM(B58:E58)</f>
        <v>9077258.87804167</v>
      </c>
    </row>
    <row r="59" customFormat="false" ht="15" hidden="false" customHeight="false" outlineLevel="0" collapsed="false">
      <c r="A59" s="4" t="n">
        <v>2038</v>
      </c>
      <c r="B59" s="25" t="n">
        <f aca="false">B28/12000</f>
        <v>0</v>
      </c>
      <c r="C59" s="25" t="n">
        <f aca="false">C28/12000</f>
        <v>4063885.76130833</v>
      </c>
      <c r="D59" s="25" t="n">
        <f aca="false">D28/12000</f>
        <v>5197993.415625</v>
      </c>
      <c r="E59" s="25" t="n">
        <f aca="false">E28/12000</f>
        <v>189017.942383333</v>
      </c>
      <c r="F59" s="26" t="n">
        <f aca="false">SUM(B59:E59)</f>
        <v>9450897.11931667</v>
      </c>
    </row>
    <row r="60" customFormat="false" ht="15" hidden="false" customHeight="false" outlineLevel="0" collapsed="false">
      <c r="A60" s="4" t="n">
        <v>2039</v>
      </c>
      <c r="B60" s="25" t="n">
        <f aca="false">B29/12000</f>
        <v>0</v>
      </c>
      <c r="C60" s="25" t="n">
        <f aca="false">C29/12000</f>
        <v>4229252.01826667</v>
      </c>
      <c r="D60" s="25" t="n">
        <f aca="false">D29/12000</f>
        <v>5409508.39545833</v>
      </c>
      <c r="E60" s="25" t="n">
        <f aca="false">E29/12000</f>
        <v>196709.3962</v>
      </c>
      <c r="F60" s="26" t="n">
        <f aca="false">SUM(B60:E60)</f>
        <v>9835469.809925</v>
      </c>
    </row>
    <row r="61" customFormat="false" ht="15" hidden="false" customHeight="false" outlineLevel="0" collapsed="false">
      <c r="A61" s="4" t="n">
        <v>2040</v>
      </c>
      <c r="B61" s="25" t="n">
        <f aca="false">B30/12000</f>
        <v>0</v>
      </c>
      <c r="C61" s="25" t="n">
        <f aca="false">C30/12000</f>
        <v>4399343.79555833</v>
      </c>
      <c r="D61" s="25" t="n">
        <f aca="false">D30/12000</f>
        <v>5627067.64548333</v>
      </c>
      <c r="E61" s="25" t="n">
        <f aca="false">E30/12000</f>
        <v>204620.64165</v>
      </c>
      <c r="F61" s="26" t="n">
        <f aca="false">SUM(B61:E61)</f>
        <v>10231032.0826917</v>
      </c>
    </row>
    <row r="62" customFormat="false" ht="15" hidden="false" customHeight="false" outlineLevel="0" collapsed="false">
      <c r="A62" s="4" t="n">
        <v>2041</v>
      </c>
      <c r="B62" s="25" t="n">
        <f aca="false">B31/12000</f>
        <v>0</v>
      </c>
      <c r="C62" s="25" t="n">
        <f aca="false">C31/12000</f>
        <v>4576466.10994167</v>
      </c>
      <c r="D62" s="25" t="n">
        <f aca="false">D31/12000</f>
        <v>5853619.44295</v>
      </c>
      <c r="E62" s="25" t="n">
        <f aca="false">E31/12000</f>
        <v>212858.888833333</v>
      </c>
      <c r="F62" s="26" t="n">
        <f aca="false">SUM(B62:E62)</f>
        <v>10642944.441725</v>
      </c>
    </row>
    <row r="63" customFormat="false" ht="15" hidden="false" customHeight="false" outlineLevel="0" collapsed="false">
      <c r="A63" s="4" t="n">
        <v>2042</v>
      </c>
      <c r="B63" s="25" t="n">
        <f aca="false">B32/12000</f>
        <v>0</v>
      </c>
      <c r="C63" s="25" t="n">
        <f aca="false">C32/12000</f>
        <v>4760898.103925</v>
      </c>
      <c r="D63" s="25" t="n">
        <f aca="false">D32/12000</f>
        <v>6089520.8306</v>
      </c>
      <c r="E63" s="25" t="n">
        <f aca="false">E32/12000</f>
        <v>221437.121116667</v>
      </c>
      <c r="F63" s="26" t="n">
        <f aca="false">SUM(B63:E63)</f>
        <v>11071856.0556417</v>
      </c>
    </row>
    <row r="64" customFormat="false" ht="15" hidden="false" customHeight="false" outlineLevel="0" collapsed="false">
      <c r="A64" s="4" t="n">
        <v>2043</v>
      </c>
      <c r="B64" s="25" t="n">
        <f aca="false">B33/12000</f>
        <v>0</v>
      </c>
      <c r="C64" s="25" t="n">
        <f aca="false">C33/12000</f>
        <v>4952928.8281</v>
      </c>
      <c r="D64" s="25" t="n">
        <f aca="false">D33/12000</f>
        <v>6335141.52431667</v>
      </c>
      <c r="E64" s="25" t="n">
        <f aca="false">E33/12000</f>
        <v>230368.7827</v>
      </c>
      <c r="F64" s="26" t="n">
        <f aca="false">SUM(B64:E64)</f>
        <v>11518439.1351167</v>
      </c>
    </row>
    <row r="65" customFormat="false" ht="15" hidden="false" customHeight="false" outlineLevel="0" collapsed="false">
      <c r="A65" s="4" t="n">
        <v>2044</v>
      </c>
      <c r="B65" s="25" t="n">
        <f aca="false">B34/12000</f>
        <v>0</v>
      </c>
      <c r="C65" s="25" t="n">
        <f aca="false">C34/12000</f>
        <v>5152853.06859167</v>
      </c>
      <c r="D65" s="25" t="n">
        <f aca="false">D34/12000</f>
        <v>6590858.5761</v>
      </c>
      <c r="E65" s="25" t="n">
        <f aca="false">E34/12000</f>
        <v>239667.584583333</v>
      </c>
      <c r="F65" s="26" t="n">
        <f aca="false">SUM(B65:E65)</f>
        <v>11983379.229275</v>
      </c>
    </row>
    <row r="66" customFormat="false" ht="15" hidden="false" customHeight="false" outlineLevel="0" collapsed="false">
      <c r="A66" s="4" t="n">
        <v>2045</v>
      </c>
      <c r="B66" s="25" t="n">
        <f aca="false">B35/12000</f>
        <v>0</v>
      </c>
      <c r="C66" s="25" t="n">
        <f aca="false">C35/12000</f>
        <v>5360974.2325</v>
      </c>
      <c r="D66" s="25" t="n">
        <f aca="false">D35/12000</f>
        <v>6857060.06483333</v>
      </c>
      <c r="E66" s="25" t="n">
        <f aca="false">E35/12000</f>
        <v>249347.638725</v>
      </c>
      <c r="F66" s="26" t="n">
        <f aca="false">SUM(B66:E66)</f>
        <v>12467381.9360583</v>
      </c>
    </row>
    <row r="67" customFormat="false" ht="15" hidden="false" customHeight="false" outlineLevel="0" collapsed="false">
      <c r="A67" s="4" t="n">
        <v>2046</v>
      </c>
      <c r="B67" s="25" t="n">
        <f aca="false">B36/12000</f>
        <v>0</v>
      </c>
      <c r="C67" s="25" t="n">
        <f aca="false">C36/12000</f>
        <v>5577604.71706667</v>
      </c>
      <c r="D67" s="25" t="n">
        <f aca="false">D36/12000</f>
        <v>7134145.56834167</v>
      </c>
      <c r="E67" s="25" t="n">
        <f aca="false">E36/12000</f>
        <v>259423.475208333</v>
      </c>
      <c r="F67" s="26" t="n">
        <f aca="false">SUM(B67:E67)</f>
        <v>12971173.7606167</v>
      </c>
    </row>
    <row r="68" customFormat="false" ht="15" hidden="false" customHeight="false" outlineLevel="0" collapsed="false">
      <c r="A68" s="4" t="n">
        <v>2047</v>
      </c>
      <c r="B68" s="25" t="n">
        <f aca="false">B37/12000</f>
        <v>0</v>
      </c>
      <c r="C68" s="25" t="n">
        <f aca="false">C37/12000</f>
        <v>5803079.03844167</v>
      </c>
      <c r="D68" s="25" t="n">
        <f aca="false">D37/12000</f>
        <v>7422542.95615</v>
      </c>
      <c r="E68" s="25" t="n">
        <f aca="false">E37/12000</f>
        <v>269910.65295</v>
      </c>
      <c r="F68" s="26" t="n">
        <f aca="false">SUM(B68:E68)</f>
        <v>13495532.6475417</v>
      </c>
    </row>
    <row r="69" customFormat="false" ht="15" hidden="false" customHeight="false" outlineLevel="0" collapsed="false">
      <c r="A69" s="4" t="n">
        <v>2048</v>
      </c>
      <c r="B69" s="25" t="n">
        <f aca="false">B38/12000</f>
        <v>0</v>
      </c>
      <c r="C69" s="25" t="n">
        <f aca="false">C38/12000</f>
        <v>6037736.26218333</v>
      </c>
      <c r="D69" s="25" t="n">
        <f aca="false">D38/12000</f>
        <v>7722685.91675</v>
      </c>
      <c r="E69" s="25" t="n">
        <f aca="false">E38/12000</f>
        <v>280824.942425</v>
      </c>
      <c r="F69" s="26" t="n">
        <f aca="false">SUM(B69:E69)</f>
        <v>14041247.1213583</v>
      </c>
    </row>
    <row r="70" customFormat="false" ht="15" hidden="false" customHeight="false" outlineLevel="0" collapsed="false">
      <c r="A70" s="4" t="n">
        <v>2049</v>
      </c>
      <c r="B70" s="25" t="n">
        <f aca="false">B39/12000</f>
        <v>0</v>
      </c>
      <c r="C70" s="25" t="n">
        <f aca="false">C39/12000</f>
        <v>6281926.91115</v>
      </c>
      <c r="D70" s="25" t="n">
        <f aca="false">D39/12000</f>
        <v>8035022.793325</v>
      </c>
      <c r="E70" s="25" t="n">
        <f aca="false">E39/12000</f>
        <v>292182.647033333</v>
      </c>
      <c r="F70" s="26" t="n">
        <f aca="false">SUM(B70:E70)</f>
        <v>14609132.3515083</v>
      </c>
    </row>
    <row r="71" customFormat="false" ht="15" hidden="false" customHeight="false" outlineLevel="0" collapsed="false">
      <c r="A71" s="4" t="n">
        <v>2050</v>
      </c>
      <c r="B71" s="25" t="n">
        <f aca="false">B40/12000</f>
        <v>0</v>
      </c>
      <c r="C71" s="25" t="n">
        <f aca="false">C40/12000</f>
        <v>6536016.9039</v>
      </c>
      <c r="D71" s="25" t="n">
        <f aca="false">D40/12000</f>
        <v>8360021.621275</v>
      </c>
      <c r="E71" s="25" t="n">
        <f aca="false">E40/12000</f>
        <v>304000.786225</v>
      </c>
      <c r="F71" s="26" t="n">
        <f aca="false">SUM(B71:E71)</f>
        <v>15200039.3114</v>
      </c>
    </row>
    <row r="74" customFormat="false" ht="15" hidden="false" customHeight="false" outlineLevel="0" collapsed="false">
      <c r="A74" s="10" t="s">
        <v>232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227</v>
      </c>
      <c r="C75" s="3" t="s">
        <v>228</v>
      </c>
      <c r="D75" s="3" t="s">
        <v>229</v>
      </c>
      <c r="E75" s="3" t="s">
        <v>230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29252411444.8</v>
      </c>
      <c r="D79" s="24" t="n">
        <v>37415875103.9</v>
      </c>
      <c r="E79" s="24" t="n">
        <v>1360577276.5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30568011010.1</v>
      </c>
      <c r="D80" s="24" t="n">
        <v>39098618733.8</v>
      </c>
      <c r="E80" s="24" t="n">
        <v>1421767954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31937726583.8</v>
      </c>
      <c r="D81" s="24" t="n">
        <v>40850580514.1</v>
      </c>
      <c r="E81" s="24" t="n">
        <v>1485475655.1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33384208370.4</v>
      </c>
      <c r="D82" s="24" t="n">
        <v>42700731636.6</v>
      </c>
      <c r="E82" s="24" t="n">
        <v>1552753877.7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34880968030.9</v>
      </c>
      <c r="D83" s="24" t="n">
        <v>44615191667.4</v>
      </c>
      <c r="E83" s="24" t="n">
        <v>1622370606.1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36428968179.2</v>
      </c>
      <c r="D84" s="24" t="n">
        <v>46595191857.1</v>
      </c>
      <c r="E84" s="24" t="n">
        <v>1694370613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38029113911.7</v>
      </c>
      <c r="D85" s="24" t="n">
        <v>48641889887</v>
      </c>
      <c r="E85" s="24" t="n">
        <v>1768795995.9</v>
      </c>
    </row>
    <row r="86" customFormat="false" ht="15" hidden="false" customHeight="false" outlineLevel="0" collapsed="false">
      <c r="A86" s="4" t="n">
        <v>2033</v>
      </c>
      <c r="B86" s="24" t="n">
        <v>0</v>
      </c>
      <c r="C86" s="24" t="n">
        <v>39682237533.6</v>
      </c>
      <c r="D86" s="24" t="n">
        <v>50756350333.7</v>
      </c>
      <c r="E86" s="24" t="n">
        <v>1845685466.7</v>
      </c>
    </row>
    <row r="87" customFormat="false" ht="15" hidden="false" customHeight="false" outlineLevel="0" collapsed="false">
      <c r="A87" s="4" t="n">
        <v>2034</v>
      </c>
      <c r="B87" s="24" t="n">
        <v>0</v>
      </c>
      <c r="C87" s="24" t="n">
        <v>41389096816.7</v>
      </c>
      <c r="D87" s="24" t="n">
        <v>52939542440</v>
      </c>
      <c r="E87" s="24" t="n">
        <v>1925074270.5</v>
      </c>
    </row>
    <row r="88" customFormat="false" ht="15" hidden="false" customHeight="false" outlineLevel="0" collapsed="false">
      <c r="A88" s="4" t="n">
        <v>2035</v>
      </c>
      <c r="B88" s="24" t="n">
        <v>0</v>
      </c>
      <c r="C88" s="24" t="n">
        <v>43150390547.3</v>
      </c>
      <c r="D88" s="24" t="n">
        <v>55192360002.4</v>
      </c>
      <c r="E88" s="24" t="n">
        <v>2006994909.2</v>
      </c>
    </row>
    <row r="89" customFormat="false" ht="15" hidden="false" customHeight="false" outlineLevel="0" collapsed="false">
      <c r="A89" s="4" t="n">
        <v>2036</v>
      </c>
      <c r="B89" s="24" t="n">
        <v>0</v>
      </c>
      <c r="C89" s="24" t="n">
        <v>44966732589.2</v>
      </c>
      <c r="D89" s="24" t="n">
        <v>57515588195.5</v>
      </c>
      <c r="E89" s="24" t="n">
        <v>2091475934.4</v>
      </c>
    </row>
    <row r="90" customFormat="false" ht="15" hidden="false" customHeight="false" outlineLevel="0" collapsed="false">
      <c r="A90" s="4" t="n">
        <v>2037</v>
      </c>
      <c r="B90" s="24" t="n">
        <v>0</v>
      </c>
      <c r="C90" s="24" t="n">
        <v>46838655810.7</v>
      </c>
      <c r="D90" s="24" t="n">
        <v>59909908595.1</v>
      </c>
      <c r="E90" s="24" t="n">
        <v>2178542130.7</v>
      </c>
    </row>
    <row r="91" customFormat="false" ht="15" hidden="false" customHeight="false" outlineLevel="0" collapsed="false">
      <c r="A91" s="4" t="n">
        <v>2038</v>
      </c>
      <c r="B91" s="24" t="n">
        <v>0</v>
      </c>
      <c r="C91" s="24" t="n">
        <v>48766629135.7</v>
      </c>
      <c r="D91" s="24" t="n">
        <v>62375920987.5</v>
      </c>
      <c r="E91" s="24" t="n">
        <v>2268215308.6</v>
      </c>
    </row>
    <row r="92" customFormat="false" ht="15" hidden="false" customHeight="false" outlineLevel="0" collapsed="false">
      <c r="A92" s="4" t="n">
        <v>2039</v>
      </c>
      <c r="B92" s="24" t="n">
        <v>0</v>
      </c>
      <c r="C92" s="24" t="n">
        <v>50751024219.2</v>
      </c>
      <c r="D92" s="24" t="n">
        <v>64914100745.5</v>
      </c>
      <c r="E92" s="24" t="n">
        <v>2360512754.4</v>
      </c>
    </row>
    <row r="93" customFormat="false" ht="15" hidden="false" customHeight="false" outlineLevel="0" collapsed="false">
      <c r="A93" s="4" t="n">
        <v>2040</v>
      </c>
      <c r="B93" s="24" t="n">
        <v>0</v>
      </c>
      <c r="C93" s="24" t="n">
        <v>52792125546.7</v>
      </c>
      <c r="D93" s="24" t="n">
        <v>67524811745.8</v>
      </c>
      <c r="E93" s="24" t="n">
        <v>2455447699.8</v>
      </c>
    </row>
    <row r="94" customFormat="false" ht="15" hidden="false" customHeight="false" outlineLevel="0" collapsed="false">
      <c r="A94" s="4" t="n">
        <v>2041</v>
      </c>
      <c r="B94" s="24" t="n">
        <v>0</v>
      </c>
      <c r="C94" s="24" t="n">
        <v>54917593319.3</v>
      </c>
      <c r="D94" s="24" t="n">
        <v>70243433315.4</v>
      </c>
      <c r="E94" s="24" t="n">
        <v>2554306666</v>
      </c>
    </row>
    <row r="95" customFormat="false" ht="15" hidden="false" customHeight="false" outlineLevel="0" collapsed="false">
      <c r="A95" s="4" t="n">
        <v>2042</v>
      </c>
      <c r="B95" s="24" t="n">
        <v>0</v>
      </c>
      <c r="C95" s="24" t="n">
        <v>57130777247.1</v>
      </c>
      <c r="D95" s="24" t="n">
        <v>73074249967.2</v>
      </c>
      <c r="E95" s="24" t="n">
        <v>2657245453.4</v>
      </c>
    </row>
    <row r="96" customFormat="false" ht="15" hidden="false" customHeight="false" outlineLevel="0" collapsed="false">
      <c r="A96" s="4" t="n">
        <v>2043</v>
      </c>
      <c r="B96" s="24" t="n">
        <v>0</v>
      </c>
      <c r="C96" s="24" t="n">
        <v>59435145937.2</v>
      </c>
      <c r="D96" s="24" t="n">
        <v>76021698291.8</v>
      </c>
      <c r="E96" s="24" t="n">
        <v>2764425392.4</v>
      </c>
    </row>
    <row r="97" customFormat="false" ht="15" hidden="false" customHeight="false" outlineLevel="0" collapsed="false">
      <c r="A97" s="4" t="n">
        <v>2044</v>
      </c>
      <c r="B97" s="24" t="n">
        <v>0</v>
      </c>
      <c r="C97" s="24" t="n">
        <v>61834236823.1</v>
      </c>
      <c r="D97" s="24" t="n">
        <v>79090302913.2</v>
      </c>
      <c r="E97" s="24" t="n">
        <v>2876011015</v>
      </c>
    </row>
    <row r="98" customFormat="false" ht="15" hidden="false" customHeight="false" outlineLevel="0" collapsed="false">
      <c r="A98" s="4" t="n">
        <v>2045</v>
      </c>
      <c r="B98" s="24" t="n">
        <v>0</v>
      </c>
      <c r="C98" s="24" t="n">
        <v>64331690790</v>
      </c>
      <c r="D98" s="24" t="n">
        <v>82284720778</v>
      </c>
      <c r="E98" s="24" t="n">
        <v>2992171664.7</v>
      </c>
    </row>
    <row r="99" customFormat="false" ht="15" hidden="false" customHeight="false" outlineLevel="0" collapsed="false">
      <c r="A99" s="4" t="n">
        <v>2046</v>
      </c>
      <c r="B99" s="24" t="n">
        <v>0</v>
      </c>
      <c r="C99" s="24" t="n">
        <v>66931256604.8</v>
      </c>
      <c r="D99" s="24" t="n">
        <v>85609746820.1</v>
      </c>
      <c r="E99" s="24" t="n">
        <v>3113081702.5</v>
      </c>
    </row>
    <row r="100" customFormat="false" ht="15" hidden="false" customHeight="false" outlineLevel="0" collapsed="false">
      <c r="A100" s="4" t="n">
        <v>2047</v>
      </c>
      <c r="B100" s="24" t="n">
        <v>0</v>
      </c>
      <c r="C100" s="24" t="n">
        <v>69636948461.3</v>
      </c>
      <c r="D100" s="24" t="n">
        <v>89070515473.8</v>
      </c>
      <c r="E100" s="24" t="n">
        <v>3238927835.4</v>
      </c>
    </row>
    <row r="101" customFormat="false" ht="15" hidden="false" customHeight="false" outlineLevel="0" collapsed="false">
      <c r="A101" s="4" t="n">
        <v>2048</v>
      </c>
      <c r="B101" s="24" t="n">
        <v>0</v>
      </c>
      <c r="C101" s="24" t="n">
        <v>72452835146.2</v>
      </c>
      <c r="D101" s="24" t="n">
        <v>92672231001</v>
      </c>
      <c r="E101" s="24" t="n">
        <v>3369899309.1</v>
      </c>
    </row>
    <row r="102" customFormat="false" ht="15" hidden="false" customHeight="false" outlineLevel="0" collapsed="false">
      <c r="A102" s="4" t="n">
        <v>2049</v>
      </c>
      <c r="B102" s="24" t="n">
        <v>0</v>
      </c>
      <c r="C102" s="24" t="n">
        <v>75383122933.8</v>
      </c>
      <c r="D102" s="24" t="n">
        <v>96420273519.9</v>
      </c>
      <c r="E102" s="24" t="n">
        <v>3506191764.4</v>
      </c>
    </row>
    <row r="103" customFormat="false" ht="15" hidden="false" customHeight="false" outlineLevel="0" collapsed="false">
      <c r="A103" s="4" t="n">
        <v>2050</v>
      </c>
      <c r="B103" s="24" t="n">
        <v>0</v>
      </c>
      <c r="C103" s="24" t="n">
        <v>78432202846.8</v>
      </c>
      <c r="D103" s="24" t="n">
        <v>100320259455.3</v>
      </c>
      <c r="E103" s="24" t="n">
        <v>3648009434.7</v>
      </c>
    </row>
    <row r="105" customFormat="false" ht="15" hidden="false" customHeight="false" outlineLevel="0" collapsed="false">
      <c r="A105" s="10" t="s">
        <v>233</v>
      </c>
      <c r="B105" s="12"/>
      <c r="C105" s="12"/>
      <c r="D105" s="12"/>
      <c r="E105" s="12"/>
    </row>
    <row r="106" customFormat="false" ht="26.85" hidden="false" customHeight="false" outlineLevel="0" collapsed="false">
      <c r="A106" s="3" t="s">
        <v>113</v>
      </c>
      <c r="B106" s="3" t="s">
        <v>227</v>
      </c>
      <c r="C106" s="3" t="s">
        <v>228</v>
      </c>
      <c r="D106" s="3" t="s">
        <v>229</v>
      </c>
      <c r="E106" s="3" t="s">
        <v>230</v>
      </c>
      <c r="F106" s="3" t="s">
        <v>58</v>
      </c>
    </row>
    <row r="107" customFormat="false" ht="15" hidden="false" customHeight="false" outlineLevel="0" collapsed="false">
      <c r="A107" s="4" t="n">
        <v>2023</v>
      </c>
      <c r="B107" s="25" t="n">
        <f aca="false">B76/12000</f>
        <v>0</v>
      </c>
      <c r="C107" s="25" t="n">
        <f aca="false">C76/12000</f>
        <v>2147165.154275</v>
      </c>
      <c r="D107" s="25" t="n">
        <f aca="false">D76/12000</f>
        <v>2746374.03454167</v>
      </c>
      <c r="E107" s="25" t="n">
        <f aca="false">E76/12000</f>
        <v>99868.1467083333</v>
      </c>
      <c r="F107" s="26" t="n">
        <f aca="false">SUM(B107:E107)</f>
        <v>4993407.335525</v>
      </c>
    </row>
    <row r="108" customFormat="false" ht="15" hidden="false" customHeight="false" outlineLevel="0" collapsed="false">
      <c r="A108" s="4" t="n">
        <v>2024</v>
      </c>
      <c r="B108" s="25" t="n">
        <f aca="false">B77/12000</f>
        <v>0</v>
      </c>
      <c r="C108" s="25" t="n">
        <f aca="false">C77/12000</f>
        <v>2235893.50531667</v>
      </c>
      <c r="D108" s="25" t="n">
        <f aca="false">D77/12000</f>
        <v>2859863.785875</v>
      </c>
      <c r="E108" s="25" t="n">
        <f aca="false">E77/12000</f>
        <v>103995.046758333</v>
      </c>
      <c r="F108" s="26" t="n">
        <f aca="false">SUM(B108:E108)</f>
        <v>5199752.33795</v>
      </c>
    </row>
    <row r="109" customFormat="false" ht="15" hidden="false" customHeight="false" outlineLevel="0" collapsed="false">
      <c r="A109" s="4" t="n">
        <v>2025</v>
      </c>
      <c r="B109" s="25" t="n">
        <f aca="false">B78/12000</f>
        <v>0</v>
      </c>
      <c r="C109" s="25" t="n">
        <f aca="false">C78/12000</f>
        <v>2333314.93499167</v>
      </c>
      <c r="D109" s="25" t="n">
        <f aca="false">D78/12000</f>
        <v>2984472.591275</v>
      </c>
      <c r="E109" s="25" t="n">
        <f aca="false">E78/12000</f>
        <v>108526.27605</v>
      </c>
      <c r="F109" s="26" t="n">
        <f aca="false">SUM(B109:E109)</f>
        <v>5426313.80231667</v>
      </c>
    </row>
    <row r="110" customFormat="false" ht="15" hidden="false" customHeight="false" outlineLevel="0" collapsed="false">
      <c r="A110" s="4" t="n">
        <v>2026</v>
      </c>
      <c r="B110" s="25" t="n">
        <f aca="false">B79/12000</f>
        <v>0</v>
      </c>
      <c r="C110" s="25" t="n">
        <f aca="false">C79/12000</f>
        <v>2437700.95373333</v>
      </c>
      <c r="D110" s="25" t="n">
        <f aca="false">D79/12000</f>
        <v>3117989.59199167</v>
      </c>
      <c r="E110" s="25" t="n">
        <f aca="false">E79/12000</f>
        <v>113381.439708333</v>
      </c>
      <c r="F110" s="26" t="n">
        <f aca="false">SUM(B110:E110)</f>
        <v>5669071.98543333</v>
      </c>
    </row>
    <row r="111" customFormat="false" ht="15" hidden="false" customHeight="false" outlineLevel="0" collapsed="false">
      <c r="A111" s="4" t="n">
        <v>2027</v>
      </c>
      <c r="B111" s="25" t="n">
        <f aca="false">B80/12000</f>
        <v>0</v>
      </c>
      <c r="C111" s="25" t="n">
        <f aca="false">C80/12000</f>
        <v>2547334.25084167</v>
      </c>
      <c r="D111" s="25" t="n">
        <f aca="false">D80/12000</f>
        <v>3258218.22781667</v>
      </c>
      <c r="E111" s="25" t="n">
        <f aca="false">E80/12000</f>
        <v>118480.662833333</v>
      </c>
      <c r="F111" s="26" t="n">
        <f aca="false">SUM(B111:E111)</f>
        <v>5924033.14149167</v>
      </c>
    </row>
    <row r="112" customFormat="false" ht="15" hidden="false" customHeight="false" outlineLevel="0" collapsed="false">
      <c r="A112" s="4" t="n">
        <v>2028</v>
      </c>
      <c r="B112" s="25" t="n">
        <f aca="false">B81/12000</f>
        <v>0</v>
      </c>
      <c r="C112" s="25" t="n">
        <f aca="false">C81/12000</f>
        <v>2661477.21531667</v>
      </c>
      <c r="D112" s="25" t="n">
        <f aca="false">D81/12000</f>
        <v>3404215.04284167</v>
      </c>
      <c r="E112" s="25" t="n">
        <f aca="false">E81/12000</f>
        <v>123789.637925</v>
      </c>
      <c r="F112" s="26" t="n">
        <f aca="false">SUM(B112:E112)</f>
        <v>6189481.89608333</v>
      </c>
    </row>
    <row r="113" customFormat="false" ht="15" hidden="false" customHeight="false" outlineLevel="0" collapsed="false">
      <c r="A113" s="4" t="n">
        <v>2029</v>
      </c>
      <c r="B113" s="25" t="n">
        <f aca="false">B82/12000</f>
        <v>0</v>
      </c>
      <c r="C113" s="25" t="n">
        <f aca="false">C82/12000</f>
        <v>2782017.3642</v>
      </c>
      <c r="D113" s="25" t="n">
        <f aca="false">D82/12000</f>
        <v>3558394.30305</v>
      </c>
      <c r="E113" s="25" t="n">
        <f aca="false">E82/12000</f>
        <v>129396.156475</v>
      </c>
      <c r="F113" s="26" t="n">
        <f aca="false">SUM(B113:E113)</f>
        <v>6469807.823725</v>
      </c>
    </row>
    <row r="114" customFormat="false" ht="15" hidden="false" customHeight="false" outlineLevel="0" collapsed="false">
      <c r="A114" s="4" t="n">
        <v>2030</v>
      </c>
      <c r="B114" s="25" t="n">
        <f aca="false">B83/12000</f>
        <v>0</v>
      </c>
      <c r="C114" s="25" t="n">
        <f aca="false">C83/12000</f>
        <v>2906747.33590833</v>
      </c>
      <c r="D114" s="25" t="n">
        <f aca="false">D83/12000</f>
        <v>3717932.63895</v>
      </c>
      <c r="E114" s="25" t="n">
        <f aca="false">E83/12000</f>
        <v>135197.550508333</v>
      </c>
      <c r="F114" s="26" t="n">
        <f aca="false">SUM(B114:E114)</f>
        <v>6759877.52536667</v>
      </c>
    </row>
    <row r="115" customFormat="false" ht="15" hidden="false" customHeight="false" outlineLevel="0" collapsed="false">
      <c r="A115" s="4" t="n">
        <v>2031</v>
      </c>
      <c r="B115" s="25" t="n">
        <f aca="false">B84/12000</f>
        <v>0</v>
      </c>
      <c r="C115" s="25" t="n">
        <f aca="false">C84/12000</f>
        <v>3035747.34826667</v>
      </c>
      <c r="D115" s="25" t="n">
        <f aca="false">D84/12000</f>
        <v>3882932.65475833</v>
      </c>
      <c r="E115" s="25" t="n">
        <f aca="false">E84/12000</f>
        <v>141197.551083333</v>
      </c>
      <c r="F115" s="26" t="n">
        <f aca="false">SUM(B115:E115)</f>
        <v>7059877.55410833</v>
      </c>
    </row>
    <row r="116" customFormat="false" ht="15" hidden="false" customHeight="false" outlineLevel="0" collapsed="false">
      <c r="A116" s="4" t="n">
        <v>2032</v>
      </c>
      <c r="B116" s="25" t="n">
        <f aca="false">B85/12000</f>
        <v>0</v>
      </c>
      <c r="C116" s="25" t="n">
        <f aca="false">C85/12000</f>
        <v>3169092.825975</v>
      </c>
      <c r="D116" s="25" t="n">
        <f aca="false">D85/12000</f>
        <v>4053490.82391667</v>
      </c>
      <c r="E116" s="25" t="n">
        <f aca="false">E85/12000</f>
        <v>147399.666325</v>
      </c>
      <c r="F116" s="26" t="n">
        <f aca="false">SUM(B116:E116)</f>
        <v>7369983.31621667</v>
      </c>
    </row>
    <row r="117" customFormat="false" ht="15" hidden="false" customHeight="false" outlineLevel="0" collapsed="false">
      <c r="A117" s="4" t="n">
        <v>2033</v>
      </c>
      <c r="B117" s="25" t="n">
        <f aca="false">B86/12000</f>
        <v>0</v>
      </c>
      <c r="C117" s="25" t="n">
        <f aca="false">C86/12000</f>
        <v>3306853.1278</v>
      </c>
      <c r="D117" s="25" t="n">
        <f aca="false">D86/12000</f>
        <v>4229695.86114167</v>
      </c>
      <c r="E117" s="25" t="n">
        <f aca="false">E86/12000</f>
        <v>153807.122225</v>
      </c>
      <c r="F117" s="26" t="n">
        <f aca="false">SUM(B117:E117)</f>
        <v>7690356.11116667</v>
      </c>
    </row>
    <row r="118" customFormat="false" ht="15" hidden="false" customHeight="false" outlineLevel="0" collapsed="false">
      <c r="A118" s="4" t="n">
        <v>2034</v>
      </c>
      <c r="B118" s="25" t="n">
        <f aca="false">B87/12000</f>
        <v>0</v>
      </c>
      <c r="C118" s="25" t="n">
        <f aca="false">C87/12000</f>
        <v>3449091.40139167</v>
      </c>
      <c r="D118" s="25" t="n">
        <f aca="false">D87/12000</f>
        <v>4411628.53666667</v>
      </c>
      <c r="E118" s="25" t="n">
        <f aca="false">E87/12000</f>
        <v>160422.855875</v>
      </c>
      <c r="F118" s="26" t="n">
        <f aca="false">SUM(B118:E118)</f>
        <v>8021142.79393333</v>
      </c>
    </row>
    <row r="119" customFormat="false" ht="15" hidden="false" customHeight="false" outlineLevel="0" collapsed="false">
      <c r="A119" s="4" t="n">
        <v>2035</v>
      </c>
      <c r="B119" s="25" t="n">
        <f aca="false">B88/12000</f>
        <v>0</v>
      </c>
      <c r="C119" s="25" t="n">
        <f aca="false">C88/12000</f>
        <v>3595865.87894167</v>
      </c>
      <c r="D119" s="25" t="n">
        <f aca="false">D88/12000</f>
        <v>4599363.33353333</v>
      </c>
      <c r="E119" s="25" t="n">
        <f aca="false">E88/12000</f>
        <v>167249.575766667</v>
      </c>
      <c r="F119" s="26" t="n">
        <f aca="false">SUM(B119:E119)</f>
        <v>8362478.78824167</v>
      </c>
    </row>
    <row r="120" customFormat="false" ht="15" hidden="false" customHeight="false" outlineLevel="0" collapsed="false">
      <c r="A120" s="4" t="n">
        <v>2036</v>
      </c>
      <c r="B120" s="25" t="n">
        <f aca="false">B89/12000</f>
        <v>0</v>
      </c>
      <c r="C120" s="25" t="n">
        <f aca="false">C89/12000</f>
        <v>3747227.71576667</v>
      </c>
      <c r="D120" s="25" t="n">
        <f aca="false">D89/12000</f>
        <v>4792965.68295833</v>
      </c>
      <c r="E120" s="25" t="n">
        <f aca="false">E89/12000</f>
        <v>174289.6612</v>
      </c>
      <c r="F120" s="26" t="n">
        <f aca="false">SUM(B120:E120)</f>
        <v>8714483.059925</v>
      </c>
    </row>
    <row r="121" customFormat="false" ht="15" hidden="false" customHeight="false" outlineLevel="0" collapsed="false">
      <c r="A121" s="4" t="n">
        <v>2037</v>
      </c>
      <c r="B121" s="25" t="n">
        <f aca="false">B90/12000</f>
        <v>0</v>
      </c>
      <c r="C121" s="25" t="n">
        <f aca="false">C90/12000</f>
        <v>3903221.31755833</v>
      </c>
      <c r="D121" s="25" t="n">
        <f aca="false">D90/12000</f>
        <v>4992492.382925</v>
      </c>
      <c r="E121" s="25" t="n">
        <f aca="false">E90/12000</f>
        <v>181545.177558333</v>
      </c>
      <c r="F121" s="26" t="n">
        <f aca="false">SUM(B121:E121)</f>
        <v>9077258.87804167</v>
      </c>
    </row>
    <row r="122" customFormat="false" ht="15" hidden="false" customHeight="false" outlineLevel="0" collapsed="false">
      <c r="A122" s="4" t="n">
        <v>2038</v>
      </c>
      <c r="B122" s="25" t="n">
        <f aca="false">B91/12000</f>
        <v>0</v>
      </c>
      <c r="C122" s="25" t="n">
        <f aca="false">C91/12000</f>
        <v>4063885.76130833</v>
      </c>
      <c r="D122" s="25" t="n">
        <f aca="false">D91/12000</f>
        <v>5197993.415625</v>
      </c>
      <c r="E122" s="25" t="n">
        <f aca="false">E91/12000</f>
        <v>189017.942383333</v>
      </c>
      <c r="F122" s="26" t="n">
        <f aca="false">SUM(B122:E122)</f>
        <v>9450897.11931667</v>
      </c>
    </row>
    <row r="123" customFormat="false" ht="15" hidden="false" customHeight="false" outlineLevel="0" collapsed="false">
      <c r="A123" s="4" t="n">
        <v>2039</v>
      </c>
      <c r="B123" s="25" t="n">
        <f aca="false">B92/12000</f>
        <v>0</v>
      </c>
      <c r="C123" s="25" t="n">
        <f aca="false">C92/12000</f>
        <v>4229252.01826667</v>
      </c>
      <c r="D123" s="25" t="n">
        <f aca="false">D92/12000</f>
        <v>5409508.39545833</v>
      </c>
      <c r="E123" s="25" t="n">
        <f aca="false">E92/12000</f>
        <v>196709.3962</v>
      </c>
      <c r="F123" s="26" t="n">
        <f aca="false">SUM(B123:E123)</f>
        <v>9835469.809925</v>
      </c>
    </row>
    <row r="124" customFormat="false" ht="15" hidden="false" customHeight="false" outlineLevel="0" collapsed="false">
      <c r="A124" s="4" t="n">
        <v>2040</v>
      </c>
      <c r="B124" s="25" t="n">
        <f aca="false">B93/12000</f>
        <v>0</v>
      </c>
      <c r="C124" s="25" t="n">
        <f aca="false">C93/12000</f>
        <v>4399343.79555833</v>
      </c>
      <c r="D124" s="25" t="n">
        <f aca="false">D93/12000</f>
        <v>5627067.64548333</v>
      </c>
      <c r="E124" s="25" t="n">
        <f aca="false">E93/12000</f>
        <v>204620.64165</v>
      </c>
      <c r="F124" s="26" t="n">
        <f aca="false">SUM(B124:E124)</f>
        <v>10231032.0826917</v>
      </c>
    </row>
    <row r="125" customFormat="false" ht="15" hidden="false" customHeight="false" outlineLevel="0" collapsed="false">
      <c r="A125" s="4" t="n">
        <v>2041</v>
      </c>
      <c r="B125" s="25" t="n">
        <f aca="false">B94/12000</f>
        <v>0</v>
      </c>
      <c r="C125" s="25" t="n">
        <f aca="false">C94/12000</f>
        <v>4576466.10994167</v>
      </c>
      <c r="D125" s="25" t="n">
        <f aca="false">D94/12000</f>
        <v>5853619.44295</v>
      </c>
      <c r="E125" s="25" t="n">
        <f aca="false">E94/12000</f>
        <v>212858.888833333</v>
      </c>
      <c r="F125" s="26" t="n">
        <f aca="false">SUM(B125:E125)</f>
        <v>10642944.441725</v>
      </c>
    </row>
    <row r="126" customFormat="false" ht="15" hidden="false" customHeight="false" outlineLevel="0" collapsed="false">
      <c r="A126" s="4" t="n">
        <v>2042</v>
      </c>
      <c r="B126" s="25" t="n">
        <f aca="false">B95/12000</f>
        <v>0</v>
      </c>
      <c r="C126" s="25" t="n">
        <f aca="false">C95/12000</f>
        <v>4760898.103925</v>
      </c>
      <c r="D126" s="25" t="n">
        <f aca="false">D95/12000</f>
        <v>6089520.8306</v>
      </c>
      <c r="E126" s="25" t="n">
        <f aca="false">E95/12000</f>
        <v>221437.121116667</v>
      </c>
      <c r="F126" s="26" t="n">
        <f aca="false">SUM(B126:E126)</f>
        <v>11071856.0556417</v>
      </c>
    </row>
    <row r="127" customFormat="false" ht="15" hidden="false" customHeight="false" outlineLevel="0" collapsed="false">
      <c r="A127" s="4" t="n">
        <v>2043</v>
      </c>
      <c r="B127" s="25" t="n">
        <f aca="false">B96/12000</f>
        <v>0</v>
      </c>
      <c r="C127" s="25" t="n">
        <f aca="false">C96/12000</f>
        <v>4952928.8281</v>
      </c>
      <c r="D127" s="25" t="n">
        <f aca="false">D96/12000</f>
        <v>6335141.52431667</v>
      </c>
      <c r="E127" s="25" t="n">
        <f aca="false">E96/12000</f>
        <v>230368.7827</v>
      </c>
      <c r="F127" s="26" t="n">
        <f aca="false">SUM(B127:E127)</f>
        <v>11518439.1351167</v>
      </c>
    </row>
    <row r="128" customFormat="false" ht="15" hidden="false" customHeight="false" outlineLevel="0" collapsed="false">
      <c r="A128" s="4" t="n">
        <v>2044</v>
      </c>
      <c r="B128" s="25" t="n">
        <f aca="false">B97/12000</f>
        <v>0</v>
      </c>
      <c r="C128" s="25" t="n">
        <f aca="false">C97/12000</f>
        <v>5152853.06859167</v>
      </c>
      <c r="D128" s="25" t="n">
        <f aca="false">D97/12000</f>
        <v>6590858.5761</v>
      </c>
      <c r="E128" s="25" t="n">
        <f aca="false">E97/12000</f>
        <v>239667.584583333</v>
      </c>
      <c r="F128" s="26" t="n">
        <f aca="false">SUM(B128:E128)</f>
        <v>11983379.229275</v>
      </c>
    </row>
    <row r="129" customFormat="false" ht="15" hidden="false" customHeight="false" outlineLevel="0" collapsed="false">
      <c r="A129" s="4" t="n">
        <v>2045</v>
      </c>
      <c r="B129" s="25" t="n">
        <f aca="false">B98/12000</f>
        <v>0</v>
      </c>
      <c r="C129" s="25" t="n">
        <f aca="false">C98/12000</f>
        <v>5360974.2325</v>
      </c>
      <c r="D129" s="25" t="n">
        <f aca="false">D98/12000</f>
        <v>6857060.06483333</v>
      </c>
      <c r="E129" s="25" t="n">
        <f aca="false">E98/12000</f>
        <v>249347.638725</v>
      </c>
      <c r="F129" s="26" t="n">
        <f aca="false">SUM(B129:E129)</f>
        <v>12467381.9360583</v>
      </c>
    </row>
    <row r="130" customFormat="false" ht="15" hidden="false" customHeight="false" outlineLevel="0" collapsed="false">
      <c r="A130" s="4" t="n">
        <v>2046</v>
      </c>
      <c r="B130" s="25" t="n">
        <f aca="false">B99/12000</f>
        <v>0</v>
      </c>
      <c r="C130" s="25" t="n">
        <f aca="false">C99/12000</f>
        <v>5577604.71706667</v>
      </c>
      <c r="D130" s="25" t="n">
        <f aca="false">D99/12000</f>
        <v>7134145.56834167</v>
      </c>
      <c r="E130" s="25" t="n">
        <f aca="false">E99/12000</f>
        <v>259423.475208333</v>
      </c>
      <c r="F130" s="26" t="n">
        <f aca="false">SUM(B130:E130)</f>
        <v>12971173.7606167</v>
      </c>
    </row>
    <row r="131" customFormat="false" ht="15" hidden="false" customHeight="false" outlineLevel="0" collapsed="false">
      <c r="A131" s="4" t="n">
        <v>2047</v>
      </c>
      <c r="B131" s="25" t="n">
        <f aca="false">B100/12000</f>
        <v>0</v>
      </c>
      <c r="C131" s="25" t="n">
        <f aca="false">C100/12000</f>
        <v>5803079.03844167</v>
      </c>
      <c r="D131" s="25" t="n">
        <f aca="false">D100/12000</f>
        <v>7422542.95615</v>
      </c>
      <c r="E131" s="25" t="n">
        <f aca="false">E100/12000</f>
        <v>269910.65295</v>
      </c>
      <c r="F131" s="26" t="n">
        <f aca="false">SUM(B131:E131)</f>
        <v>13495532.6475417</v>
      </c>
    </row>
    <row r="132" customFormat="false" ht="15" hidden="false" customHeight="false" outlineLevel="0" collapsed="false">
      <c r="A132" s="4" t="n">
        <v>2048</v>
      </c>
      <c r="B132" s="25" t="n">
        <f aca="false">B101/12000</f>
        <v>0</v>
      </c>
      <c r="C132" s="25" t="n">
        <f aca="false">C101/12000</f>
        <v>6037736.26218333</v>
      </c>
      <c r="D132" s="25" t="n">
        <f aca="false">D101/12000</f>
        <v>7722685.91675</v>
      </c>
      <c r="E132" s="25" t="n">
        <f aca="false">E101/12000</f>
        <v>280824.942425</v>
      </c>
      <c r="F132" s="26" t="n">
        <f aca="false">SUM(B132:E132)</f>
        <v>14041247.1213583</v>
      </c>
    </row>
    <row r="133" customFormat="false" ht="15" hidden="false" customHeight="false" outlineLevel="0" collapsed="false">
      <c r="A133" s="4" t="n">
        <v>2049</v>
      </c>
      <c r="B133" s="25" t="n">
        <f aca="false">B102/12000</f>
        <v>0</v>
      </c>
      <c r="C133" s="25" t="n">
        <f aca="false">C102/12000</f>
        <v>6281926.91115</v>
      </c>
      <c r="D133" s="25" t="n">
        <f aca="false">D102/12000</f>
        <v>8035022.793325</v>
      </c>
      <c r="E133" s="25" t="n">
        <f aca="false">E102/12000</f>
        <v>292182.647033333</v>
      </c>
      <c r="F133" s="26" t="n">
        <f aca="false">SUM(B133:E133)</f>
        <v>14609132.3515083</v>
      </c>
    </row>
    <row r="134" customFormat="false" ht="15" hidden="false" customHeight="false" outlineLevel="0" collapsed="false">
      <c r="A134" s="4" t="n">
        <v>2050</v>
      </c>
      <c r="B134" s="25" t="n">
        <f aca="false">B103/12000</f>
        <v>0</v>
      </c>
      <c r="C134" s="25" t="n">
        <f aca="false">C103/12000</f>
        <v>6536016.9039</v>
      </c>
      <c r="D134" s="25" t="n">
        <f aca="false">D103/12000</f>
        <v>8360021.621275</v>
      </c>
      <c r="E134" s="25" t="n">
        <f aca="false">E103/12000</f>
        <v>304000.786225</v>
      </c>
      <c r="F134" s="26" t="n">
        <f aca="false">SUM(B134:E134)</f>
        <v>15200039.3114</v>
      </c>
    </row>
    <row r="137" customFormat="false" ht="15" hidden="false" customHeight="false" outlineLevel="0" collapsed="false">
      <c r="A137" s="10" t="s">
        <v>234</v>
      </c>
      <c r="B137" s="12"/>
      <c r="C137" s="12"/>
      <c r="D137" s="12"/>
      <c r="E137" s="12"/>
    </row>
    <row r="138" customFormat="false" ht="26.85" hidden="false" customHeight="false" outlineLevel="0" collapsed="false">
      <c r="A138" s="3" t="s">
        <v>113</v>
      </c>
      <c r="B138" s="3" t="s">
        <v>227</v>
      </c>
      <c r="C138" s="3" t="s">
        <v>228</v>
      </c>
      <c r="D138" s="3" t="s">
        <v>229</v>
      </c>
      <c r="E138" s="3" t="s">
        <v>230</v>
      </c>
    </row>
    <row r="139" customFormat="false" ht="15" hidden="false" customHeight="false" outlineLevel="0" collapsed="false">
      <c r="A139" s="4" t="n">
        <v>2023</v>
      </c>
      <c r="B139" s="24" t="n">
        <v>0</v>
      </c>
      <c r="C139" s="24" t="n">
        <v>25765981851.3</v>
      </c>
      <c r="D139" s="24" t="n">
        <v>32956488414.5</v>
      </c>
      <c r="E139" s="24" t="n">
        <v>1198417760.5</v>
      </c>
    </row>
    <row r="140" customFormat="false" ht="15" hidden="false" customHeight="false" outlineLevel="0" collapsed="false">
      <c r="A140" s="4" t="n">
        <v>2024</v>
      </c>
      <c r="B140" s="24" t="n">
        <v>0</v>
      </c>
      <c r="C140" s="24" t="n">
        <v>26830722063.8</v>
      </c>
      <c r="D140" s="24" t="n">
        <v>34318365430.5</v>
      </c>
      <c r="E140" s="24" t="n">
        <v>1247940561.1</v>
      </c>
    </row>
    <row r="141" customFormat="false" ht="15" hidden="false" customHeight="false" outlineLevel="0" collapsed="false">
      <c r="A141" s="4" t="n">
        <v>2025</v>
      </c>
      <c r="B141" s="24" t="n">
        <v>0</v>
      </c>
      <c r="C141" s="24" t="n">
        <v>27999779219.9</v>
      </c>
      <c r="D141" s="24" t="n">
        <v>35813671095.3</v>
      </c>
      <c r="E141" s="24" t="n">
        <v>1302315312.6</v>
      </c>
    </row>
    <row r="142" customFormat="false" ht="15" hidden="false" customHeight="false" outlineLevel="0" collapsed="false">
      <c r="A142" s="4" t="n">
        <v>2026</v>
      </c>
      <c r="B142" s="24" t="n">
        <v>0</v>
      </c>
      <c r="C142" s="24" t="n">
        <v>28813625273.2</v>
      </c>
      <c r="D142" s="24" t="n">
        <v>36854636977.3</v>
      </c>
      <c r="E142" s="24" t="n">
        <v>1340168617.4</v>
      </c>
    </row>
    <row r="143" customFormat="false" ht="15" hidden="false" customHeight="false" outlineLevel="0" collapsed="false">
      <c r="A143" s="4" t="n">
        <v>2027</v>
      </c>
      <c r="B143" s="24" t="n">
        <v>0</v>
      </c>
      <c r="C143" s="24" t="n">
        <v>29650970679.8</v>
      </c>
      <c r="D143" s="24" t="n">
        <v>37925660171.8</v>
      </c>
      <c r="E143" s="24" t="n">
        <v>1379114915.3</v>
      </c>
    </row>
    <row r="144" customFormat="false" ht="15" hidden="false" customHeight="false" outlineLevel="0" collapsed="false">
      <c r="A144" s="4" t="n">
        <v>2028</v>
      </c>
      <c r="B144" s="24" t="n">
        <v>0</v>
      </c>
      <c r="C144" s="24" t="n">
        <v>30500528887.5</v>
      </c>
      <c r="D144" s="24" t="n">
        <v>39012304391</v>
      </c>
      <c r="E144" s="24" t="n">
        <v>1418629250.6</v>
      </c>
    </row>
    <row r="145" customFormat="false" ht="15" hidden="false" customHeight="false" outlineLevel="0" collapsed="false">
      <c r="A145" s="4" t="n">
        <v>2029</v>
      </c>
      <c r="B145" s="24" t="n">
        <v>0</v>
      </c>
      <c r="C145" s="24" t="n">
        <v>31381155868.2</v>
      </c>
      <c r="D145" s="24" t="n">
        <v>40138687738.4</v>
      </c>
      <c r="E145" s="24" t="n">
        <v>1459588645</v>
      </c>
    </row>
    <row r="146" customFormat="false" ht="15" hidden="false" customHeight="false" outlineLevel="0" collapsed="false">
      <c r="A146" s="4" t="n">
        <v>2030</v>
      </c>
      <c r="B146" s="24" t="n">
        <v>0</v>
      </c>
      <c r="C146" s="24" t="n">
        <v>32264895428.6</v>
      </c>
      <c r="D146" s="24" t="n">
        <v>41269052292.4</v>
      </c>
      <c r="E146" s="24" t="n">
        <v>1500692810.6</v>
      </c>
    </row>
    <row r="147" customFormat="false" ht="15" hidden="false" customHeight="false" outlineLevel="0" collapsed="false">
      <c r="A147" s="4" t="n">
        <v>2031</v>
      </c>
      <c r="B147" s="24" t="n">
        <v>0</v>
      </c>
      <c r="C147" s="24" t="n">
        <v>33150361043.1</v>
      </c>
      <c r="D147" s="24" t="n">
        <v>42401624590</v>
      </c>
      <c r="E147" s="24" t="n">
        <v>1541877257.8</v>
      </c>
    </row>
    <row r="148" customFormat="false" ht="15" hidden="false" customHeight="false" outlineLevel="0" collapsed="false">
      <c r="A148" s="4" t="n">
        <v>2032</v>
      </c>
      <c r="B148" s="24" t="n">
        <v>0</v>
      </c>
      <c r="C148" s="24" t="n">
        <v>34036056951</v>
      </c>
      <c r="D148" s="24" t="n">
        <v>43534491448.9</v>
      </c>
      <c r="E148" s="24" t="n">
        <v>1583072416.3</v>
      </c>
    </row>
    <row r="149" customFormat="false" ht="15" hidden="false" customHeight="false" outlineLevel="0" collapsed="false">
      <c r="A149" s="4" t="n">
        <v>2033</v>
      </c>
      <c r="B149" s="24" t="n">
        <v>4511675585.2</v>
      </c>
      <c r="C149" s="24" t="n">
        <v>32980348527.9</v>
      </c>
      <c r="D149" s="24" t="n">
        <v>42184166721.8</v>
      </c>
      <c r="E149" s="24" t="n">
        <v>1533969699</v>
      </c>
    </row>
    <row r="150" customFormat="false" ht="15" hidden="false" customHeight="false" outlineLevel="0" collapsed="false">
      <c r="A150" s="4" t="n">
        <v>2034</v>
      </c>
      <c r="B150" s="24" t="n">
        <v>9251051355.7</v>
      </c>
      <c r="C150" s="24" t="n">
        <v>31823616663.5</v>
      </c>
      <c r="D150" s="24" t="n">
        <v>40704625965</v>
      </c>
      <c r="E150" s="24" t="n">
        <v>1480168216.9</v>
      </c>
    </row>
    <row r="151" customFormat="false" ht="15" hidden="false" customHeight="false" outlineLevel="0" collapsed="false">
      <c r="A151" s="4" t="n">
        <v>2035</v>
      </c>
      <c r="B151" s="24" t="n">
        <v>14216213940</v>
      </c>
      <c r="C151" s="24" t="n">
        <v>30564859971</v>
      </c>
      <c r="D151" s="24" t="n">
        <v>39094588335</v>
      </c>
      <c r="E151" s="24" t="n">
        <v>1421621394</v>
      </c>
    </row>
    <row r="152" customFormat="false" ht="15" hidden="false" customHeight="false" outlineLevel="0" collapsed="false">
      <c r="A152" s="4" t="n">
        <v>2036</v>
      </c>
      <c r="B152" s="24" t="n">
        <v>19404248946.8</v>
      </c>
      <c r="C152" s="24" t="n">
        <v>29203394664.9</v>
      </c>
      <c r="D152" s="24" t="n">
        <v>37353179222.5</v>
      </c>
      <c r="E152" s="24" t="n">
        <v>1358297426.3</v>
      </c>
    </row>
    <row r="153" customFormat="false" ht="15" hidden="false" customHeight="false" outlineLevel="0" collapsed="false">
      <c r="A153" s="4" t="n">
        <v>2037</v>
      </c>
      <c r="B153" s="24" t="n">
        <v>24811174266.7</v>
      </c>
      <c r="C153" s="24" t="n">
        <v>27738892830.1</v>
      </c>
      <c r="D153" s="24" t="n">
        <v>35479979201.3</v>
      </c>
      <c r="E153" s="24" t="n">
        <v>1290181061.9</v>
      </c>
    </row>
    <row r="154" customFormat="false" ht="15" hidden="false" customHeight="false" outlineLevel="0" collapsed="false">
      <c r="A154" s="4" t="n">
        <v>2038</v>
      </c>
      <c r="B154" s="24" t="n">
        <v>30431888724.2</v>
      </c>
      <c r="C154" s="24" t="n">
        <v>26171424302.8</v>
      </c>
      <c r="D154" s="24" t="n">
        <v>33475077596.6</v>
      </c>
      <c r="E154" s="24" t="n">
        <v>1217275549</v>
      </c>
    </row>
    <row r="155" customFormat="false" ht="15" hidden="false" customHeight="false" outlineLevel="0" collapsed="false">
      <c r="A155" s="4" t="n">
        <v>2039</v>
      </c>
      <c r="B155" s="24" t="n">
        <v>36260098699.3</v>
      </c>
      <c r="C155" s="24" t="n">
        <v>24501466692.5</v>
      </c>
      <c r="D155" s="24" t="n">
        <v>31339085304.4</v>
      </c>
      <c r="E155" s="24" t="n">
        <v>1139603102</v>
      </c>
    </row>
    <row r="156" customFormat="false" ht="15" hidden="false" customHeight="false" outlineLevel="0" collapsed="false">
      <c r="A156" s="4" t="n">
        <v>2040</v>
      </c>
      <c r="B156" s="24" t="n">
        <v>42288265941.8</v>
      </c>
      <c r="C156" s="24" t="n">
        <v>22729942943.7</v>
      </c>
      <c r="D156" s="24" t="n">
        <v>29073182835</v>
      </c>
      <c r="E156" s="24" t="n">
        <v>1057206648.5</v>
      </c>
    </row>
    <row r="157" customFormat="false" ht="15" hidden="false" customHeight="false" outlineLevel="0" collapsed="false">
      <c r="A157" s="4" t="n">
        <v>2041</v>
      </c>
      <c r="B157" s="24" t="n">
        <v>48531826654.3</v>
      </c>
      <c r="C157" s="24" t="n">
        <v>20868685461.4</v>
      </c>
      <c r="D157" s="24" t="n">
        <v>26692504659.9</v>
      </c>
      <c r="E157" s="24" t="n">
        <v>970636533.1</v>
      </c>
    </row>
    <row r="158" customFormat="false" ht="15" hidden="false" customHeight="false" outlineLevel="0" collapsed="false">
      <c r="A158" s="4" t="n">
        <v>2042</v>
      </c>
      <c r="B158" s="24" t="n">
        <v>54990218409.6</v>
      </c>
      <c r="C158" s="24" t="n">
        <v>18916635132.9</v>
      </c>
      <c r="D158" s="24" t="n">
        <v>24195696100.2</v>
      </c>
      <c r="E158" s="24" t="n">
        <v>879843494.6</v>
      </c>
    </row>
    <row r="159" customFormat="false" ht="15" hidden="false" customHeight="false" outlineLevel="0" collapsed="false">
      <c r="A159" s="4" t="n">
        <v>2043</v>
      </c>
      <c r="B159" s="24" t="n">
        <v>61662044170</v>
      </c>
      <c r="C159" s="24" t="n">
        <v>16872977541.1</v>
      </c>
      <c r="D159" s="24" t="n">
        <v>21581715459.5</v>
      </c>
      <c r="E159" s="24" t="n">
        <v>784789653.1</v>
      </c>
    </row>
    <row r="160" customFormat="false" ht="15" hidden="false" customHeight="false" outlineLevel="0" collapsed="false">
      <c r="A160" s="4" t="n">
        <v>2044</v>
      </c>
      <c r="B160" s="24" t="n">
        <v>68544929191.5</v>
      </c>
      <c r="C160" s="24" t="n">
        <v>14737159776.2</v>
      </c>
      <c r="D160" s="24" t="n">
        <v>18849855527.7</v>
      </c>
      <c r="E160" s="24" t="n">
        <v>685449291.9</v>
      </c>
    </row>
    <row r="161" customFormat="false" ht="15" hidden="false" customHeight="false" outlineLevel="0" collapsed="false">
      <c r="A161" s="4" t="n">
        <v>2045</v>
      </c>
      <c r="B161" s="24" t="n">
        <v>75635450412.1</v>
      </c>
      <c r="C161" s="24" t="n">
        <v>12508939875.8</v>
      </c>
      <c r="D161" s="24" t="n">
        <v>15999806817.9</v>
      </c>
      <c r="E161" s="24" t="n">
        <v>581811157</v>
      </c>
    </row>
    <row r="162" customFormat="false" ht="15" hidden="false" customHeight="false" outlineLevel="0" collapsed="false">
      <c r="A162" s="4" t="n">
        <v>2046</v>
      </c>
      <c r="B162" s="24" t="n">
        <v>82929037576.2</v>
      </c>
      <c r="C162" s="24" t="n">
        <v>10188424616.5</v>
      </c>
      <c r="D162" s="24" t="n">
        <v>13031705904.8</v>
      </c>
      <c r="E162" s="24" t="n">
        <v>473880214.7</v>
      </c>
    </row>
    <row r="163" customFormat="false" ht="15" hidden="false" customHeight="false" outlineLevel="0" collapsed="false">
      <c r="A163" s="4" t="n">
        <v>2047</v>
      </c>
      <c r="B163" s="24" t="n">
        <v>90420068738.5</v>
      </c>
      <c r="C163" s="24" t="n">
        <v>7776125911.5</v>
      </c>
      <c r="D163" s="24" t="n">
        <v>9946207561.2</v>
      </c>
      <c r="E163" s="24" t="n">
        <v>361680275</v>
      </c>
    </row>
    <row r="164" customFormat="false" ht="15" hidden="false" customHeight="false" outlineLevel="0" collapsed="false">
      <c r="A164" s="4" t="n">
        <v>2048</v>
      </c>
      <c r="B164" s="24" t="n">
        <v>98101513221.2</v>
      </c>
      <c r="C164" s="24" t="n">
        <v>5272956335.6</v>
      </c>
      <c r="D164" s="24" t="n">
        <v>6744479034</v>
      </c>
      <c r="E164" s="24" t="n">
        <v>245253783.1</v>
      </c>
    </row>
    <row r="165" customFormat="false" ht="15" hidden="false" customHeight="false" outlineLevel="0" collapsed="false">
      <c r="A165" s="4" t="n">
        <v>2049</v>
      </c>
      <c r="B165" s="24" t="n">
        <v>105964906656.2</v>
      </c>
      <c r="C165" s="24" t="n">
        <v>2680288815.4</v>
      </c>
      <c r="D165" s="24" t="n">
        <v>3428276391.8</v>
      </c>
      <c r="E165" s="24" t="n">
        <v>124664596.1</v>
      </c>
    </row>
    <row r="166" customFormat="false" ht="15" hidden="false" customHeight="false" outlineLevel="0" collapsed="false">
      <c r="A166" s="4" t="n">
        <v>2050</v>
      </c>
      <c r="B166" s="24" t="n">
        <v>114000294835.5</v>
      </c>
      <c r="C166" s="24" t="n">
        <v>0</v>
      </c>
      <c r="D166" s="24" t="n">
        <v>0</v>
      </c>
      <c r="E166" s="24" t="n">
        <v>0</v>
      </c>
    </row>
    <row r="168" customFormat="false" ht="15" hidden="false" customHeight="false" outlineLevel="0" collapsed="false">
      <c r="A168" s="10" t="s">
        <v>235</v>
      </c>
      <c r="B168" s="12"/>
      <c r="C168" s="12"/>
      <c r="D168" s="12"/>
      <c r="E168" s="12"/>
    </row>
    <row r="169" customFormat="false" ht="26.85" hidden="false" customHeight="false" outlineLevel="0" collapsed="false">
      <c r="A169" s="3" t="s">
        <v>113</v>
      </c>
      <c r="B169" s="3" t="s">
        <v>227</v>
      </c>
      <c r="C169" s="3" t="s">
        <v>228</v>
      </c>
      <c r="D169" s="3" t="s">
        <v>229</v>
      </c>
      <c r="E169" s="3" t="s">
        <v>230</v>
      </c>
      <c r="F169" s="3" t="s">
        <v>58</v>
      </c>
    </row>
    <row r="170" customFormat="false" ht="15" hidden="false" customHeight="false" outlineLevel="0" collapsed="false">
      <c r="A170" s="4" t="n">
        <v>2023</v>
      </c>
      <c r="B170" s="25" t="n">
        <f aca="false">B139/12000</f>
        <v>0</v>
      </c>
      <c r="C170" s="25" t="n">
        <f aca="false">C139/12000</f>
        <v>2147165.154275</v>
      </c>
      <c r="D170" s="25" t="n">
        <f aca="false">D139/12000</f>
        <v>2746374.03454167</v>
      </c>
      <c r="E170" s="25" t="n">
        <f aca="false">E139/12000</f>
        <v>99868.1467083333</v>
      </c>
      <c r="F170" s="26" t="n">
        <f aca="false">SUM(B170:E170)</f>
        <v>4993407.335525</v>
      </c>
    </row>
    <row r="171" customFormat="false" ht="15" hidden="false" customHeight="false" outlineLevel="0" collapsed="false">
      <c r="A171" s="4" t="n">
        <v>2024</v>
      </c>
      <c r="B171" s="25" t="n">
        <f aca="false">B140/12000</f>
        <v>0</v>
      </c>
      <c r="C171" s="25" t="n">
        <f aca="false">C140/12000</f>
        <v>2235893.50531667</v>
      </c>
      <c r="D171" s="25" t="n">
        <f aca="false">D140/12000</f>
        <v>2859863.785875</v>
      </c>
      <c r="E171" s="25" t="n">
        <f aca="false">E140/12000</f>
        <v>103995.046758333</v>
      </c>
      <c r="F171" s="26" t="n">
        <f aca="false">SUM(B171:E171)</f>
        <v>5199752.33795</v>
      </c>
    </row>
    <row r="172" customFormat="false" ht="15" hidden="false" customHeight="false" outlineLevel="0" collapsed="false">
      <c r="A172" s="4" t="n">
        <v>2025</v>
      </c>
      <c r="B172" s="25" t="n">
        <f aca="false">B141/12000</f>
        <v>0</v>
      </c>
      <c r="C172" s="25" t="n">
        <f aca="false">C141/12000</f>
        <v>2333314.93499167</v>
      </c>
      <c r="D172" s="25" t="n">
        <f aca="false">D141/12000</f>
        <v>2984472.591275</v>
      </c>
      <c r="E172" s="25" t="n">
        <f aca="false">E141/12000</f>
        <v>108526.27605</v>
      </c>
      <c r="F172" s="26" t="n">
        <f aca="false">SUM(B172:E172)</f>
        <v>5426313.80231667</v>
      </c>
    </row>
    <row r="173" customFormat="false" ht="15" hidden="false" customHeight="false" outlineLevel="0" collapsed="false">
      <c r="A173" s="4" t="n">
        <v>2026</v>
      </c>
      <c r="B173" s="25" t="n">
        <f aca="false">B142/12000</f>
        <v>0</v>
      </c>
      <c r="C173" s="25" t="n">
        <f aca="false">C142/12000</f>
        <v>2401135.43943333</v>
      </c>
      <c r="D173" s="25" t="n">
        <f aca="false">D142/12000</f>
        <v>3071219.74810833</v>
      </c>
      <c r="E173" s="25" t="n">
        <f aca="false">E142/12000</f>
        <v>111680.718116667</v>
      </c>
      <c r="F173" s="26" t="n">
        <f aca="false">SUM(B173:E173)</f>
        <v>5584035.90565833</v>
      </c>
    </row>
    <row r="174" customFormat="false" ht="15" hidden="false" customHeight="false" outlineLevel="0" collapsed="false">
      <c r="A174" s="4" t="n">
        <v>2027</v>
      </c>
      <c r="B174" s="25" t="n">
        <f aca="false">B143/12000</f>
        <v>0</v>
      </c>
      <c r="C174" s="25" t="n">
        <f aca="false">C143/12000</f>
        <v>2470914.22331667</v>
      </c>
      <c r="D174" s="25" t="n">
        <f aca="false">D143/12000</f>
        <v>3160471.68098333</v>
      </c>
      <c r="E174" s="25" t="n">
        <f aca="false">E143/12000</f>
        <v>114926.242941667</v>
      </c>
      <c r="F174" s="26" t="n">
        <f aca="false">SUM(B174:E174)</f>
        <v>5746312.14724167</v>
      </c>
    </row>
    <row r="175" customFormat="false" ht="15" hidden="false" customHeight="false" outlineLevel="0" collapsed="false">
      <c r="A175" s="4" t="n">
        <v>2028</v>
      </c>
      <c r="B175" s="25" t="n">
        <f aca="false">B144/12000</f>
        <v>0</v>
      </c>
      <c r="C175" s="25" t="n">
        <f aca="false">C144/12000</f>
        <v>2541710.740625</v>
      </c>
      <c r="D175" s="25" t="n">
        <f aca="false">D144/12000</f>
        <v>3251025.36591667</v>
      </c>
      <c r="E175" s="25" t="n">
        <f aca="false">E144/12000</f>
        <v>118219.104216667</v>
      </c>
      <c r="F175" s="26" t="n">
        <f aca="false">SUM(B175:E175)</f>
        <v>5910955.21075833</v>
      </c>
    </row>
    <row r="176" customFormat="false" ht="15" hidden="false" customHeight="false" outlineLevel="0" collapsed="false">
      <c r="A176" s="4" t="n">
        <v>2029</v>
      </c>
      <c r="B176" s="25" t="n">
        <f aca="false">B145/12000</f>
        <v>0</v>
      </c>
      <c r="C176" s="25" t="n">
        <f aca="false">C145/12000</f>
        <v>2615096.32235</v>
      </c>
      <c r="D176" s="25" t="n">
        <f aca="false">D145/12000</f>
        <v>3344890.64486667</v>
      </c>
      <c r="E176" s="25" t="n">
        <f aca="false">E145/12000</f>
        <v>121632.387083333</v>
      </c>
      <c r="F176" s="26" t="n">
        <f aca="false">SUM(B176:E176)</f>
        <v>6081619.3543</v>
      </c>
    </row>
    <row r="177" customFormat="false" ht="15" hidden="false" customHeight="false" outlineLevel="0" collapsed="false">
      <c r="A177" s="4" t="n">
        <v>2030</v>
      </c>
      <c r="B177" s="25" t="n">
        <f aca="false">B146/12000</f>
        <v>0</v>
      </c>
      <c r="C177" s="25" t="n">
        <f aca="false">C146/12000</f>
        <v>2688741.28571667</v>
      </c>
      <c r="D177" s="25" t="n">
        <f aca="false">D146/12000</f>
        <v>3439087.69103333</v>
      </c>
      <c r="E177" s="25" t="n">
        <f aca="false">E146/12000</f>
        <v>125057.734216667</v>
      </c>
      <c r="F177" s="26" t="n">
        <f aca="false">SUM(B177:E177)</f>
        <v>6252886.71096667</v>
      </c>
    </row>
    <row r="178" customFormat="false" ht="15" hidden="false" customHeight="false" outlineLevel="0" collapsed="false">
      <c r="A178" s="4" t="n">
        <v>2031</v>
      </c>
      <c r="B178" s="25" t="n">
        <f aca="false">B147/12000</f>
        <v>0</v>
      </c>
      <c r="C178" s="25" t="n">
        <f aca="false">C147/12000</f>
        <v>2762530.086925</v>
      </c>
      <c r="D178" s="25" t="n">
        <f aca="false">D147/12000</f>
        <v>3533468.71583333</v>
      </c>
      <c r="E178" s="25" t="n">
        <f aca="false">E147/12000</f>
        <v>128489.771483333</v>
      </c>
      <c r="F178" s="26" t="n">
        <f aca="false">SUM(B178:E178)</f>
        <v>6424488.57424167</v>
      </c>
    </row>
    <row r="179" customFormat="false" ht="15" hidden="false" customHeight="false" outlineLevel="0" collapsed="false">
      <c r="A179" s="4" t="n">
        <v>2032</v>
      </c>
      <c r="B179" s="25" t="n">
        <f aca="false">B148/12000</f>
        <v>0</v>
      </c>
      <c r="C179" s="25" t="n">
        <f aca="false">C148/12000</f>
        <v>2836338.07925</v>
      </c>
      <c r="D179" s="25" t="n">
        <f aca="false">D148/12000</f>
        <v>3627874.28740833</v>
      </c>
      <c r="E179" s="25" t="n">
        <f aca="false">E148/12000</f>
        <v>131922.701358333</v>
      </c>
      <c r="F179" s="26" t="n">
        <f aca="false">SUM(B179:E179)</f>
        <v>6596135.06801667</v>
      </c>
    </row>
    <row r="180" customFormat="false" ht="15" hidden="false" customHeight="false" outlineLevel="0" collapsed="false">
      <c r="A180" s="4" t="n">
        <v>2033</v>
      </c>
      <c r="B180" s="25" t="n">
        <f aca="false">B149/12000</f>
        <v>375972.965433333</v>
      </c>
      <c r="C180" s="25" t="n">
        <f aca="false">C149/12000</f>
        <v>2748362.377325</v>
      </c>
      <c r="D180" s="25" t="n">
        <f aca="false">D149/12000</f>
        <v>3515347.22681667</v>
      </c>
      <c r="E180" s="25" t="n">
        <f aca="false">E149/12000</f>
        <v>127830.80825</v>
      </c>
      <c r="F180" s="26" t="n">
        <f aca="false">SUM(B180:E180)</f>
        <v>6767513.377825</v>
      </c>
    </row>
    <row r="181" customFormat="false" ht="15" hidden="false" customHeight="false" outlineLevel="0" collapsed="false">
      <c r="A181" s="4" t="n">
        <v>2034</v>
      </c>
      <c r="B181" s="25" t="n">
        <f aca="false">B150/12000</f>
        <v>770920.946308333</v>
      </c>
      <c r="C181" s="25" t="n">
        <f aca="false">C150/12000</f>
        <v>2651968.05529167</v>
      </c>
      <c r="D181" s="25" t="n">
        <f aca="false">D150/12000</f>
        <v>3392052.16375</v>
      </c>
      <c r="E181" s="25" t="n">
        <f aca="false">E150/12000</f>
        <v>123347.351408333</v>
      </c>
      <c r="F181" s="26" t="n">
        <f aca="false">SUM(B181:E181)</f>
        <v>6938288.51675833</v>
      </c>
    </row>
    <row r="182" customFormat="false" ht="15" hidden="false" customHeight="false" outlineLevel="0" collapsed="false">
      <c r="A182" s="4" t="n">
        <v>2035</v>
      </c>
      <c r="B182" s="25" t="n">
        <f aca="false">B151/12000</f>
        <v>1184684.495</v>
      </c>
      <c r="C182" s="25" t="n">
        <f aca="false">C151/12000</f>
        <v>2547071.66425</v>
      </c>
      <c r="D182" s="25" t="n">
        <f aca="false">D151/12000</f>
        <v>3257882.36125</v>
      </c>
      <c r="E182" s="25" t="n">
        <f aca="false">E151/12000</f>
        <v>118468.4495</v>
      </c>
      <c r="F182" s="26" t="n">
        <f aca="false">SUM(B182:E182)</f>
        <v>7108106.97</v>
      </c>
    </row>
    <row r="183" customFormat="false" ht="15" hidden="false" customHeight="false" outlineLevel="0" collapsed="false">
      <c r="A183" s="4" t="n">
        <v>2036</v>
      </c>
      <c r="B183" s="25" t="n">
        <f aca="false">B152/12000</f>
        <v>1617020.74556667</v>
      </c>
      <c r="C183" s="25" t="n">
        <f aca="false">C152/12000</f>
        <v>2433616.222075</v>
      </c>
      <c r="D183" s="25" t="n">
        <f aca="false">D152/12000</f>
        <v>3112764.93520833</v>
      </c>
      <c r="E183" s="25" t="n">
        <f aca="false">E152/12000</f>
        <v>113191.452191667</v>
      </c>
      <c r="F183" s="26" t="n">
        <f aca="false">SUM(B183:E183)</f>
        <v>7276593.35504167</v>
      </c>
    </row>
    <row r="184" customFormat="false" ht="15" hidden="false" customHeight="false" outlineLevel="0" collapsed="false">
      <c r="A184" s="4" t="n">
        <v>2037</v>
      </c>
      <c r="B184" s="25" t="n">
        <f aca="false">B153/12000</f>
        <v>2067597.85555833</v>
      </c>
      <c r="C184" s="25" t="n">
        <f aca="false">C153/12000</f>
        <v>2311574.40250833</v>
      </c>
      <c r="D184" s="25" t="n">
        <f aca="false">D153/12000</f>
        <v>2956664.93344167</v>
      </c>
      <c r="E184" s="25" t="n">
        <f aca="false">E153/12000</f>
        <v>107515.088491667</v>
      </c>
      <c r="F184" s="26" t="n">
        <f aca="false">SUM(B184:E184)</f>
        <v>7443352.28</v>
      </c>
    </row>
    <row r="185" customFormat="false" ht="15" hidden="false" customHeight="false" outlineLevel="0" collapsed="false">
      <c r="A185" s="4" t="n">
        <v>2038</v>
      </c>
      <c r="B185" s="25" t="n">
        <f aca="false">B154/12000</f>
        <v>2535990.72701667</v>
      </c>
      <c r="C185" s="25" t="n">
        <f aca="false">C154/12000</f>
        <v>2180952.02523333</v>
      </c>
      <c r="D185" s="25" t="n">
        <f aca="false">D154/12000</f>
        <v>2789589.79971667</v>
      </c>
      <c r="E185" s="25" t="n">
        <f aca="false">E154/12000</f>
        <v>101439.629083333</v>
      </c>
      <c r="F185" s="26" t="n">
        <f aca="false">SUM(B185:E185)</f>
        <v>7607972.18105</v>
      </c>
    </row>
    <row r="186" customFormat="false" ht="15" hidden="false" customHeight="false" outlineLevel="0" collapsed="false">
      <c r="A186" s="4" t="n">
        <v>2039</v>
      </c>
      <c r="B186" s="25" t="n">
        <f aca="false">B155/12000</f>
        <v>3021674.89160833</v>
      </c>
      <c r="C186" s="25" t="n">
        <f aca="false">C155/12000</f>
        <v>2041788.89104167</v>
      </c>
      <c r="D186" s="25" t="n">
        <f aca="false">D155/12000</f>
        <v>2611590.44203333</v>
      </c>
      <c r="E186" s="25" t="n">
        <f aca="false">E155/12000</f>
        <v>94966.9251666667</v>
      </c>
      <c r="F186" s="26" t="n">
        <f aca="false">SUM(B186:E186)</f>
        <v>7770021.14985</v>
      </c>
    </row>
    <row r="187" customFormat="false" ht="15" hidden="false" customHeight="false" outlineLevel="0" collapsed="false">
      <c r="A187" s="4" t="n">
        <v>2040</v>
      </c>
      <c r="B187" s="25" t="n">
        <f aca="false">B156/12000</f>
        <v>3524022.16181667</v>
      </c>
      <c r="C187" s="25" t="n">
        <f aca="false">C156/12000</f>
        <v>1894161.911975</v>
      </c>
      <c r="D187" s="25" t="n">
        <f aca="false">D156/12000</f>
        <v>2422765.23625</v>
      </c>
      <c r="E187" s="25" t="n">
        <f aca="false">E156/12000</f>
        <v>88100.5540416667</v>
      </c>
      <c r="F187" s="26" t="n">
        <f aca="false">SUM(B187:E187)</f>
        <v>7929049.86408333</v>
      </c>
    </row>
    <row r="188" customFormat="false" ht="15" hidden="false" customHeight="false" outlineLevel="0" collapsed="false">
      <c r="A188" s="4" t="n">
        <v>2041</v>
      </c>
      <c r="B188" s="25" t="n">
        <f aca="false">B157/12000</f>
        <v>4044318.88785833</v>
      </c>
      <c r="C188" s="25" t="n">
        <f aca="false">C157/12000</f>
        <v>1739057.12178333</v>
      </c>
      <c r="D188" s="25" t="n">
        <f aca="false">D157/12000</f>
        <v>2224375.388325</v>
      </c>
      <c r="E188" s="25" t="n">
        <f aca="false">E157/12000</f>
        <v>80886.3777583333</v>
      </c>
      <c r="F188" s="26" t="n">
        <f aca="false">SUM(B188:E188)</f>
        <v>8088637.775725</v>
      </c>
    </row>
    <row r="189" customFormat="false" ht="15" hidden="false" customHeight="false" outlineLevel="0" collapsed="false">
      <c r="A189" s="4" t="n">
        <v>2042</v>
      </c>
      <c r="B189" s="25" t="n">
        <f aca="false">B158/12000</f>
        <v>4582518.2008</v>
      </c>
      <c r="C189" s="25" t="n">
        <f aca="false">C158/12000</f>
        <v>1576386.261075</v>
      </c>
      <c r="D189" s="25" t="n">
        <f aca="false">D158/12000</f>
        <v>2016308.00835</v>
      </c>
      <c r="E189" s="25" t="n">
        <f aca="false">E158/12000</f>
        <v>73320.2912166667</v>
      </c>
      <c r="F189" s="26" t="n">
        <f aca="false">SUM(B189:E189)</f>
        <v>8248532.76144167</v>
      </c>
    </row>
    <row r="190" customFormat="false" ht="15" hidden="false" customHeight="false" outlineLevel="0" collapsed="false">
      <c r="A190" s="4" t="n">
        <v>2043</v>
      </c>
      <c r="B190" s="25" t="n">
        <f aca="false">B159/12000</f>
        <v>5138503.68083333</v>
      </c>
      <c r="C190" s="25" t="n">
        <f aca="false">C159/12000</f>
        <v>1406081.46175833</v>
      </c>
      <c r="D190" s="25" t="n">
        <f aca="false">D159/12000</f>
        <v>1798476.28829167</v>
      </c>
      <c r="E190" s="25" t="n">
        <f aca="false">E159/12000</f>
        <v>65399.1377583333</v>
      </c>
      <c r="F190" s="26" t="n">
        <f aca="false">SUM(B190:E190)</f>
        <v>8408460.56864167</v>
      </c>
    </row>
    <row r="191" customFormat="false" ht="15" hidden="false" customHeight="false" outlineLevel="0" collapsed="false">
      <c r="A191" s="4" t="n">
        <v>2044</v>
      </c>
      <c r="B191" s="25" t="n">
        <f aca="false">B160/12000</f>
        <v>5712077.432625</v>
      </c>
      <c r="C191" s="25" t="n">
        <f aca="false">C160/12000</f>
        <v>1228096.64801667</v>
      </c>
      <c r="D191" s="25" t="n">
        <f aca="false">D160/12000</f>
        <v>1570821.293975</v>
      </c>
      <c r="E191" s="25" t="n">
        <f aca="false">E160/12000</f>
        <v>57120.774325</v>
      </c>
      <c r="F191" s="26" t="n">
        <f aca="false">SUM(B191:E191)</f>
        <v>8568116.14894167</v>
      </c>
    </row>
    <row r="192" customFormat="false" ht="15" hidden="false" customHeight="false" outlineLevel="0" collapsed="false">
      <c r="A192" s="4" t="n">
        <v>2045</v>
      </c>
      <c r="B192" s="25" t="n">
        <f aca="false">B161/12000</f>
        <v>6302954.20100833</v>
      </c>
      <c r="C192" s="25" t="n">
        <f aca="false">C161/12000</f>
        <v>1042411.65631667</v>
      </c>
      <c r="D192" s="25" t="n">
        <f aca="false">D161/12000</f>
        <v>1333317.234825</v>
      </c>
      <c r="E192" s="25" t="n">
        <f aca="false">E161/12000</f>
        <v>48484.2630833333</v>
      </c>
      <c r="F192" s="26" t="n">
        <f aca="false">SUM(B192:E192)</f>
        <v>8727167.35523333</v>
      </c>
    </row>
    <row r="193" customFormat="false" ht="15" hidden="false" customHeight="false" outlineLevel="0" collapsed="false">
      <c r="A193" s="4" t="n">
        <v>2046</v>
      </c>
      <c r="B193" s="25" t="n">
        <f aca="false">B162/12000</f>
        <v>6910753.13135</v>
      </c>
      <c r="C193" s="25" t="n">
        <f aca="false">C162/12000</f>
        <v>849035.384708333</v>
      </c>
      <c r="D193" s="25" t="n">
        <f aca="false">D162/12000</f>
        <v>1085975.49206667</v>
      </c>
      <c r="E193" s="25" t="n">
        <f aca="false">E162/12000</f>
        <v>39490.0178916667</v>
      </c>
      <c r="F193" s="26" t="n">
        <f aca="false">SUM(B193:E193)</f>
        <v>8885254.02601667</v>
      </c>
    </row>
    <row r="194" customFormat="false" ht="15" hidden="false" customHeight="false" outlineLevel="0" collapsed="false">
      <c r="A194" s="4" t="n">
        <v>2047</v>
      </c>
      <c r="B194" s="25" t="n">
        <f aca="false">B163/12000</f>
        <v>7535005.72820833</v>
      </c>
      <c r="C194" s="25" t="n">
        <f aca="false">C163/12000</f>
        <v>648010.492625</v>
      </c>
      <c r="D194" s="25" t="n">
        <f aca="false">D163/12000</f>
        <v>828850.6301</v>
      </c>
      <c r="E194" s="25" t="n">
        <f aca="false">E163/12000</f>
        <v>30140.0229166667</v>
      </c>
      <c r="F194" s="26" t="n">
        <f aca="false">SUM(B194:E194)</f>
        <v>9042006.87385</v>
      </c>
    </row>
    <row r="195" customFormat="false" ht="15" hidden="false" customHeight="false" outlineLevel="0" collapsed="false">
      <c r="A195" s="4" t="n">
        <v>2048</v>
      </c>
      <c r="B195" s="25" t="n">
        <f aca="false">B164/12000</f>
        <v>8175126.10176667</v>
      </c>
      <c r="C195" s="25" t="n">
        <f aca="false">C164/12000</f>
        <v>439413.027966667</v>
      </c>
      <c r="D195" s="25" t="n">
        <f aca="false">D164/12000</f>
        <v>562039.9195</v>
      </c>
      <c r="E195" s="25" t="n">
        <f aca="false">E164/12000</f>
        <v>20437.8152583333</v>
      </c>
      <c r="F195" s="26" t="n">
        <f aca="false">SUM(B195:E195)</f>
        <v>9197016.86449167</v>
      </c>
    </row>
    <row r="196" customFormat="false" ht="15" hidden="false" customHeight="false" outlineLevel="0" collapsed="false">
      <c r="A196" s="4" t="n">
        <v>2049</v>
      </c>
      <c r="B196" s="25" t="n">
        <f aca="false">B165/12000</f>
        <v>8830408.88801667</v>
      </c>
      <c r="C196" s="25" t="n">
        <f aca="false">C165/12000</f>
        <v>223357.401283333</v>
      </c>
      <c r="D196" s="25" t="n">
        <f aca="false">D165/12000</f>
        <v>285689.699316667</v>
      </c>
      <c r="E196" s="25" t="n">
        <f aca="false">E165/12000</f>
        <v>10388.7163416667</v>
      </c>
      <c r="F196" s="26" t="n">
        <f aca="false">SUM(B196:E196)</f>
        <v>9349844.70495834</v>
      </c>
    </row>
    <row r="197" customFormat="false" ht="15" hidden="false" customHeight="false" outlineLevel="0" collapsed="false">
      <c r="A197" s="4" t="n">
        <v>2050</v>
      </c>
      <c r="B197" s="25" t="n">
        <f aca="false">B166/12000</f>
        <v>9500024.569625</v>
      </c>
      <c r="C197" s="25" t="n">
        <f aca="false">C166/12000</f>
        <v>0</v>
      </c>
      <c r="D197" s="25" t="n">
        <f aca="false">D166/12000</f>
        <v>0</v>
      </c>
      <c r="E197" s="25" t="n">
        <f aca="false">E166/12000</f>
        <v>0</v>
      </c>
      <c r="F197" s="26" t="n">
        <f aca="false">SUM(B197:E197)</f>
        <v>9500024.569625</v>
      </c>
    </row>
    <row r="200" customFormat="false" ht="15" hidden="false" customHeight="false" outlineLevel="0" collapsed="false">
      <c r="A200" s="23" t="s">
        <v>236</v>
      </c>
    </row>
    <row r="202" customFormat="false" ht="15" hidden="false" customHeight="false" outlineLevel="0" collapsed="false">
      <c r="A202" s="10" t="s">
        <v>226</v>
      </c>
      <c r="B202" s="12"/>
      <c r="C202" s="12"/>
      <c r="D202" s="12"/>
    </row>
    <row r="203" customFormat="false" ht="15" hidden="false" customHeight="false" outlineLevel="0" collapsed="false">
      <c r="A203" s="3" t="s">
        <v>113</v>
      </c>
      <c r="B203" s="3" t="s">
        <v>227</v>
      </c>
      <c r="C203" s="3" t="s">
        <v>228</v>
      </c>
      <c r="D203" s="3" t="s">
        <v>229</v>
      </c>
    </row>
    <row r="204" customFormat="false" ht="15" hidden="false" customHeight="false" outlineLevel="0" collapsed="false">
      <c r="A204" s="4" t="n">
        <v>2023</v>
      </c>
      <c r="B204" s="24" t="n">
        <v>20282864.9</v>
      </c>
      <c r="C204" s="24" t="n">
        <v>6240881.5</v>
      </c>
      <c r="D204" s="24" t="n">
        <v>597564405.7</v>
      </c>
    </row>
    <row r="205" customFormat="false" ht="15" hidden="false" customHeight="false" outlineLevel="0" collapsed="false">
      <c r="A205" s="4" t="n">
        <v>2024</v>
      </c>
      <c r="B205" s="24" t="n">
        <v>22745717.8</v>
      </c>
      <c r="C205" s="24" t="n">
        <v>6498776.5</v>
      </c>
      <c r="D205" s="24" t="n">
        <v>620633156.4</v>
      </c>
    </row>
    <row r="206" customFormat="false" ht="15" hidden="false" customHeight="false" outlineLevel="0" collapsed="false">
      <c r="A206" s="4" t="n">
        <v>2025</v>
      </c>
      <c r="B206" s="24" t="n">
        <v>25432269.4</v>
      </c>
      <c r="C206" s="24" t="n">
        <v>6781938.5</v>
      </c>
      <c r="D206" s="24" t="n">
        <v>645979643.7</v>
      </c>
    </row>
    <row r="207" customFormat="false" ht="15" hidden="false" customHeight="false" outlineLevel="0" collapsed="false">
      <c r="A207" s="4" t="n">
        <v>2026</v>
      </c>
      <c r="B207" s="24" t="n">
        <v>28341374.3</v>
      </c>
      <c r="C207" s="24" t="n">
        <v>7085343.6</v>
      </c>
      <c r="D207" s="24" t="n">
        <v>673107639.9</v>
      </c>
    </row>
    <row r="208" customFormat="false" ht="15" hidden="false" customHeight="false" outlineLevel="0" collapsed="false">
      <c r="A208" s="4" t="n">
        <v>2027</v>
      </c>
      <c r="B208" s="24" t="n">
        <v>31467000.9</v>
      </c>
      <c r="C208" s="24" t="n">
        <v>7404000.2</v>
      </c>
      <c r="D208" s="24" t="n">
        <v>701529020</v>
      </c>
    </row>
    <row r="209" customFormat="false" ht="15" hidden="false" customHeight="false" outlineLevel="0" collapsed="false">
      <c r="A209" s="4" t="n">
        <v>2028</v>
      </c>
      <c r="B209" s="24" t="n">
        <v>34810940.2</v>
      </c>
      <c r="C209" s="24" t="n">
        <v>7735764.5</v>
      </c>
      <c r="D209" s="24" t="n">
        <v>731029745.1</v>
      </c>
    </row>
    <row r="210" customFormat="false" ht="15" hidden="false" customHeight="false" outlineLevel="0" collapsed="false">
      <c r="A210" s="4" t="n">
        <v>2029</v>
      </c>
      <c r="B210" s="24" t="n">
        <v>38409082.5</v>
      </c>
      <c r="C210" s="24" t="n">
        <v>8086122.6</v>
      </c>
      <c r="D210" s="24" t="n">
        <v>762117058.6</v>
      </c>
    </row>
    <row r="211" customFormat="false" ht="15" hidden="false" customHeight="false" outlineLevel="0" collapsed="false">
      <c r="A211" s="4" t="n">
        <v>2030</v>
      </c>
      <c r="B211" s="24" t="n">
        <v>42243293.9</v>
      </c>
      <c r="C211" s="24" t="n">
        <v>8448658.8</v>
      </c>
      <c r="D211" s="24" t="n">
        <v>794173925.5</v>
      </c>
    </row>
    <row r="212" customFormat="false" ht="15" hidden="false" customHeight="false" outlineLevel="0" collapsed="false">
      <c r="A212" s="4" t="n">
        <v>2031</v>
      </c>
      <c r="B212" s="24" t="n">
        <v>46323932</v>
      </c>
      <c r="C212" s="24" t="n">
        <v>8823606.1</v>
      </c>
      <c r="D212" s="24" t="n">
        <v>827213070.9</v>
      </c>
    </row>
    <row r="213" customFormat="false" ht="15" hidden="false" customHeight="false" outlineLevel="0" collapsed="false">
      <c r="A213" s="4" t="n">
        <v>2032</v>
      </c>
      <c r="B213" s="24" t="n">
        <v>50661510.8</v>
      </c>
      <c r="C213" s="24" t="n">
        <v>9211183.8</v>
      </c>
      <c r="D213" s="24" t="n">
        <v>861245684.1</v>
      </c>
    </row>
    <row r="214" customFormat="false" ht="15" hidden="false" customHeight="false" outlineLevel="0" collapsed="false">
      <c r="A214" s="4" t="n">
        <v>2033</v>
      </c>
      <c r="B214" s="24" t="n">
        <v>55266662.5</v>
      </c>
      <c r="C214" s="24" t="n">
        <v>9611593.5</v>
      </c>
      <c r="D214" s="24" t="n">
        <v>896281091.3</v>
      </c>
    </row>
    <row r="215" customFormat="false" ht="15" hidden="false" customHeight="false" outlineLevel="0" collapsed="false">
      <c r="A215" s="4" t="n">
        <v>2034</v>
      </c>
      <c r="B215" s="24" t="n">
        <v>60150112.1</v>
      </c>
      <c r="C215" s="24" t="n">
        <v>10025018.7</v>
      </c>
      <c r="D215" s="24" t="n">
        <v>932326737.8</v>
      </c>
    </row>
    <row r="216" customFormat="false" ht="15" hidden="false" customHeight="false" outlineLevel="0" collapsed="false">
      <c r="A216" s="4" t="n">
        <v>2035</v>
      </c>
      <c r="B216" s="24" t="n">
        <v>65322679.3</v>
      </c>
      <c r="C216" s="24" t="n">
        <v>10451628.7</v>
      </c>
      <c r="D216" s="24" t="n">
        <v>969388560.6</v>
      </c>
    </row>
    <row r="217" customFormat="false" ht="15" hidden="false" customHeight="false" outlineLevel="0" collapsed="false">
      <c r="A217" s="4" t="n">
        <v>2036</v>
      </c>
      <c r="B217" s="24" t="n">
        <v>70795219</v>
      </c>
      <c r="C217" s="24" t="n">
        <v>10891572.2</v>
      </c>
      <c r="D217" s="24" t="n">
        <v>1007470424.4</v>
      </c>
    </row>
    <row r="218" customFormat="false" ht="15" hidden="false" customHeight="false" outlineLevel="0" collapsed="false">
      <c r="A218" s="4" t="n">
        <v>2037</v>
      </c>
      <c r="B218" s="24" t="n">
        <v>76578602.6</v>
      </c>
      <c r="C218" s="24" t="n">
        <v>11344978.2</v>
      </c>
      <c r="D218" s="24" t="n">
        <v>1046574235.9</v>
      </c>
    </row>
    <row r="219" customFormat="false" ht="15" hidden="false" customHeight="false" outlineLevel="0" collapsed="false">
      <c r="A219" s="4" t="n">
        <v>2038</v>
      </c>
      <c r="B219" s="24" t="n">
        <v>82683722.1</v>
      </c>
      <c r="C219" s="24" t="n">
        <v>11811960.3</v>
      </c>
      <c r="D219" s="24" t="n">
        <v>1086700347.3</v>
      </c>
    </row>
    <row r="220" customFormat="false" ht="15" hidden="false" customHeight="false" outlineLevel="0" collapsed="false">
      <c r="A220" s="4" t="n">
        <v>2039</v>
      </c>
      <c r="B220" s="24" t="n">
        <v>89121412.1</v>
      </c>
      <c r="C220" s="24" t="n">
        <v>12292608.6</v>
      </c>
      <c r="D220" s="24" t="n">
        <v>1127846836.1</v>
      </c>
    </row>
    <row r="221" customFormat="false" ht="15" hidden="false" customHeight="false" outlineLevel="0" collapsed="false">
      <c r="A221" s="4" t="n">
        <v>2040</v>
      </c>
      <c r="B221" s="24" t="n">
        <v>95902439.1</v>
      </c>
      <c r="C221" s="24" t="n">
        <v>12786991.9</v>
      </c>
      <c r="D221" s="24" t="n">
        <v>1170009757.4</v>
      </c>
    </row>
    <row r="222" customFormat="false" ht="15" hidden="false" customHeight="false" outlineLevel="0" collapsed="false">
      <c r="A222" s="4" t="n">
        <v>2041</v>
      </c>
      <c r="B222" s="24" t="n">
        <v>103089027</v>
      </c>
      <c r="C222" s="24" t="n">
        <v>13301809.9</v>
      </c>
      <c r="D222" s="24" t="n">
        <v>1213790156.5</v>
      </c>
    </row>
    <row r="223" customFormat="false" ht="15" hidden="false" customHeight="false" outlineLevel="0" collapsed="false">
      <c r="A223" s="4" t="n">
        <v>2042</v>
      </c>
      <c r="B223" s="24" t="n">
        <v>110702992.5</v>
      </c>
      <c r="C223" s="24" t="n">
        <v>13837874.1</v>
      </c>
      <c r="D223" s="24" t="n">
        <v>1259246540</v>
      </c>
    </row>
    <row r="224" customFormat="false" ht="15" hidden="false" customHeight="false" outlineLevel="0" collapsed="false">
      <c r="A224" s="4" t="n">
        <v>2043</v>
      </c>
      <c r="B224" s="24" t="n">
        <v>118767201.5</v>
      </c>
      <c r="C224" s="24" t="n">
        <v>14396024.4</v>
      </c>
      <c r="D224" s="24" t="n">
        <v>1306439216.4</v>
      </c>
    </row>
    <row r="225" customFormat="false" ht="15" hidden="false" customHeight="false" outlineLevel="0" collapsed="false">
      <c r="A225" s="4" t="n">
        <v>2044</v>
      </c>
      <c r="B225" s="24" t="n">
        <v>127305501.5</v>
      </c>
      <c r="C225" s="24" t="n">
        <v>14977117.8</v>
      </c>
      <c r="D225" s="24" t="n">
        <v>1355429162.9</v>
      </c>
    </row>
    <row r="226" customFormat="false" ht="15" hidden="false" customHeight="false" outlineLevel="0" collapsed="false">
      <c r="A226" s="4" t="n">
        <v>2045</v>
      </c>
      <c r="B226" s="24" t="n">
        <v>136342816.2</v>
      </c>
      <c r="C226" s="24" t="n">
        <v>15582036.1</v>
      </c>
      <c r="D226" s="24" t="n">
        <v>1406278761.4</v>
      </c>
    </row>
    <row r="227" customFormat="false" ht="15" hidden="false" customHeight="false" outlineLevel="0" collapsed="false">
      <c r="A227" s="4" t="n">
        <v>2046</v>
      </c>
      <c r="B227" s="24" t="n">
        <v>145905186.3</v>
      </c>
      <c r="C227" s="24" t="n">
        <v>16211687.4</v>
      </c>
      <c r="D227" s="24" t="n">
        <v>1459051863.3</v>
      </c>
    </row>
    <row r="228" customFormat="false" ht="15" hidden="false" customHeight="false" outlineLevel="0" collapsed="false">
      <c r="A228" s="4" t="n">
        <v>2047</v>
      </c>
      <c r="B228" s="24" t="n">
        <v>156020155.3</v>
      </c>
      <c r="C228" s="24" t="n">
        <v>16867043.8</v>
      </c>
      <c r="D228" s="24" t="n">
        <v>1513817182.6</v>
      </c>
    </row>
    <row r="229" customFormat="false" ht="15" hidden="false" customHeight="false" outlineLevel="0" collapsed="false">
      <c r="A229" s="4" t="n">
        <v>2048</v>
      </c>
      <c r="B229" s="24" t="n">
        <v>166716364.4</v>
      </c>
      <c r="C229" s="24" t="n">
        <v>17549091</v>
      </c>
      <c r="D229" s="24" t="n">
        <v>1570643644</v>
      </c>
    </row>
    <row r="230" customFormat="false" ht="15" hidden="false" customHeight="false" outlineLevel="0" collapsed="false">
      <c r="A230" s="4" t="n">
        <v>2049</v>
      </c>
      <c r="B230" s="24" t="n">
        <v>178023765.3</v>
      </c>
      <c r="C230" s="24" t="n">
        <v>18258847.7</v>
      </c>
      <c r="D230" s="24" t="n">
        <v>1629602159</v>
      </c>
    </row>
    <row r="231" customFormat="false" ht="15" hidden="false" customHeight="false" outlineLevel="0" collapsed="false">
      <c r="A231" s="4" t="n">
        <v>2050</v>
      </c>
      <c r="B231" s="24" t="n">
        <v>189973775.6</v>
      </c>
      <c r="C231" s="24" t="n">
        <v>18997377.6</v>
      </c>
      <c r="D231" s="24" t="n">
        <v>1690766602.9</v>
      </c>
    </row>
    <row r="233" customFormat="false" ht="15" hidden="false" customHeight="false" outlineLevel="0" collapsed="false">
      <c r="A233" s="10" t="s">
        <v>237</v>
      </c>
      <c r="B233" s="12"/>
      <c r="C233" s="12"/>
      <c r="D233" s="12"/>
    </row>
    <row r="234" customFormat="false" ht="15" hidden="false" customHeight="false" outlineLevel="0" collapsed="false">
      <c r="A234" s="3" t="s">
        <v>113</v>
      </c>
      <c r="B234" s="3" t="s">
        <v>227</v>
      </c>
      <c r="C234" s="3" t="s">
        <v>228</v>
      </c>
      <c r="D234" s="3" t="s">
        <v>229</v>
      </c>
      <c r="E234" s="3" t="s">
        <v>58</v>
      </c>
    </row>
    <row r="235" customFormat="false" ht="15" hidden="false" customHeight="false" outlineLevel="0" collapsed="false">
      <c r="A235" s="4" t="n">
        <v>2023</v>
      </c>
      <c r="B235" s="25" t="n">
        <f aca="false">B204/60000</f>
        <v>338.047748333333</v>
      </c>
      <c r="C235" s="25" t="n">
        <f aca="false">C204/60000</f>
        <v>104.014691666667</v>
      </c>
      <c r="D235" s="25" t="n">
        <f aca="false">D204/60000</f>
        <v>9959.40676166667</v>
      </c>
      <c r="E235" s="26" t="n">
        <f aca="false">SUM(B235:D235)</f>
        <v>10401.4692016667</v>
      </c>
    </row>
    <row r="236" customFormat="false" ht="15" hidden="false" customHeight="false" outlineLevel="0" collapsed="false">
      <c r="A236" s="4" t="n">
        <v>2024</v>
      </c>
      <c r="B236" s="25" t="n">
        <f aca="false">B205/60000</f>
        <v>379.095296666667</v>
      </c>
      <c r="C236" s="25" t="n">
        <f aca="false">C205/60000</f>
        <v>108.312941666667</v>
      </c>
      <c r="D236" s="25" t="n">
        <f aca="false">D205/60000</f>
        <v>10343.88594</v>
      </c>
      <c r="E236" s="26" t="n">
        <f aca="false">SUM(B236:D236)</f>
        <v>10831.2941783333</v>
      </c>
    </row>
    <row r="237" customFormat="false" ht="15" hidden="false" customHeight="false" outlineLevel="0" collapsed="false">
      <c r="A237" s="4" t="n">
        <v>2025</v>
      </c>
      <c r="B237" s="25" t="n">
        <f aca="false">B206/60000</f>
        <v>423.871156666667</v>
      </c>
      <c r="C237" s="25" t="n">
        <f aca="false">C206/60000</f>
        <v>113.032308333333</v>
      </c>
      <c r="D237" s="25" t="n">
        <f aca="false">D206/60000</f>
        <v>10766.327395</v>
      </c>
      <c r="E237" s="26" t="n">
        <f aca="false">SUM(B237:D237)</f>
        <v>11303.23086</v>
      </c>
    </row>
    <row r="238" customFormat="false" ht="15" hidden="false" customHeight="false" outlineLevel="0" collapsed="false">
      <c r="A238" s="4" t="n">
        <v>2026</v>
      </c>
      <c r="B238" s="25" t="n">
        <f aca="false">B207/60000</f>
        <v>472.356238333333</v>
      </c>
      <c r="C238" s="25" t="n">
        <f aca="false">C207/60000</f>
        <v>118.08906</v>
      </c>
      <c r="D238" s="25" t="n">
        <f aca="false">D207/60000</f>
        <v>11218.460665</v>
      </c>
      <c r="E238" s="26" t="n">
        <f aca="false">SUM(B238:D238)</f>
        <v>11808.9059633333</v>
      </c>
    </row>
    <row r="239" customFormat="false" ht="15" hidden="false" customHeight="false" outlineLevel="0" collapsed="false">
      <c r="A239" s="4" t="n">
        <v>2027</v>
      </c>
      <c r="B239" s="25" t="n">
        <f aca="false">B208/60000</f>
        <v>524.450015</v>
      </c>
      <c r="C239" s="25" t="n">
        <f aca="false">C208/60000</f>
        <v>123.400003333333</v>
      </c>
      <c r="D239" s="25" t="n">
        <f aca="false">D208/60000</f>
        <v>11692.1503333333</v>
      </c>
      <c r="E239" s="26" t="n">
        <f aca="false">SUM(B239:D239)</f>
        <v>12340.0003516667</v>
      </c>
    </row>
    <row r="240" customFormat="false" ht="15" hidden="false" customHeight="false" outlineLevel="0" collapsed="false">
      <c r="A240" s="4" t="n">
        <v>2028</v>
      </c>
      <c r="B240" s="25" t="n">
        <f aca="false">B209/60000</f>
        <v>580.182336666667</v>
      </c>
      <c r="C240" s="25" t="n">
        <f aca="false">C209/60000</f>
        <v>128.929408333333</v>
      </c>
      <c r="D240" s="25" t="n">
        <f aca="false">D209/60000</f>
        <v>12183.829085</v>
      </c>
      <c r="E240" s="26" t="n">
        <f aca="false">SUM(B240:D240)</f>
        <v>12892.94083</v>
      </c>
    </row>
    <row r="241" customFormat="false" ht="15" hidden="false" customHeight="false" outlineLevel="0" collapsed="false">
      <c r="A241" s="4" t="n">
        <v>2029</v>
      </c>
      <c r="B241" s="25" t="n">
        <f aca="false">B210/60000</f>
        <v>640.151375</v>
      </c>
      <c r="C241" s="25" t="n">
        <f aca="false">C210/60000</f>
        <v>134.76871</v>
      </c>
      <c r="D241" s="25" t="n">
        <f aca="false">D210/60000</f>
        <v>12701.9509766667</v>
      </c>
      <c r="E241" s="26" t="n">
        <f aca="false">SUM(B241:D241)</f>
        <v>13476.8710616667</v>
      </c>
    </row>
    <row r="242" customFormat="false" ht="15" hidden="false" customHeight="false" outlineLevel="0" collapsed="false">
      <c r="A242" s="4" t="n">
        <v>2030</v>
      </c>
      <c r="B242" s="25" t="n">
        <f aca="false">B211/60000</f>
        <v>704.054898333333</v>
      </c>
      <c r="C242" s="25" t="n">
        <f aca="false">C211/60000</f>
        <v>140.81098</v>
      </c>
      <c r="D242" s="25" t="n">
        <f aca="false">D211/60000</f>
        <v>13236.2320916667</v>
      </c>
      <c r="E242" s="26" t="n">
        <f aca="false">SUM(B242:D242)</f>
        <v>14081.09797</v>
      </c>
    </row>
    <row r="243" customFormat="false" ht="15" hidden="false" customHeight="false" outlineLevel="0" collapsed="false">
      <c r="A243" s="4" t="n">
        <v>2031</v>
      </c>
      <c r="B243" s="25" t="n">
        <f aca="false">B212/60000</f>
        <v>772.065533333333</v>
      </c>
      <c r="C243" s="25" t="n">
        <f aca="false">C212/60000</f>
        <v>147.060101666667</v>
      </c>
      <c r="D243" s="25" t="n">
        <f aca="false">D212/60000</f>
        <v>13786.884515</v>
      </c>
      <c r="E243" s="26" t="n">
        <f aca="false">SUM(B243:D243)</f>
        <v>14706.01015</v>
      </c>
    </row>
    <row r="244" customFormat="false" ht="15" hidden="false" customHeight="false" outlineLevel="0" collapsed="false">
      <c r="A244" s="4" t="n">
        <v>2032</v>
      </c>
      <c r="B244" s="25" t="n">
        <f aca="false">B213/60000</f>
        <v>844.358513333333</v>
      </c>
      <c r="C244" s="25" t="n">
        <f aca="false">C213/60000</f>
        <v>153.51973</v>
      </c>
      <c r="D244" s="25" t="n">
        <f aca="false">D213/60000</f>
        <v>14354.094735</v>
      </c>
      <c r="E244" s="26" t="n">
        <f aca="false">SUM(B244:D244)</f>
        <v>15351.9729783333</v>
      </c>
    </row>
    <row r="245" customFormat="false" ht="15" hidden="false" customHeight="false" outlineLevel="0" collapsed="false">
      <c r="A245" s="4" t="n">
        <v>2033</v>
      </c>
      <c r="B245" s="25" t="n">
        <f aca="false">B214/60000</f>
        <v>921.111041666667</v>
      </c>
      <c r="C245" s="25" t="n">
        <f aca="false">C214/60000</f>
        <v>160.193225</v>
      </c>
      <c r="D245" s="25" t="n">
        <f aca="false">D214/60000</f>
        <v>14938.0181883333</v>
      </c>
      <c r="E245" s="26" t="n">
        <f aca="false">SUM(B245:D245)</f>
        <v>16019.322455</v>
      </c>
    </row>
    <row r="246" customFormat="false" ht="15" hidden="false" customHeight="false" outlineLevel="0" collapsed="false">
      <c r="A246" s="4" t="n">
        <v>2034</v>
      </c>
      <c r="B246" s="25" t="n">
        <f aca="false">B215/60000</f>
        <v>1002.50186833333</v>
      </c>
      <c r="C246" s="25" t="n">
        <f aca="false">C215/60000</f>
        <v>167.083645</v>
      </c>
      <c r="D246" s="25" t="n">
        <f aca="false">D215/60000</f>
        <v>15538.7789633333</v>
      </c>
      <c r="E246" s="26" t="n">
        <f aca="false">SUM(B246:D246)</f>
        <v>16708.3644766667</v>
      </c>
    </row>
    <row r="247" customFormat="false" ht="15" hidden="false" customHeight="false" outlineLevel="0" collapsed="false">
      <c r="A247" s="4" t="n">
        <v>2035</v>
      </c>
      <c r="B247" s="25" t="n">
        <f aca="false">B216/60000</f>
        <v>1088.71132166667</v>
      </c>
      <c r="C247" s="25" t="n">
        <f aca="false">C216/60000</f>
        <v>174.193811666667</v>
      </c>
      <c r="D247" s="25" t="n">
        <f aca="false">D216/60000</f>
        <v>16156.47601</v>
      </c>
      <c r="E247" s="26" t="n">
        <f aca="false">SUM(B247:D247)</f>
        <v>17419.3811433333</v>
      </c>
    </row>
    <row r="248" customFormat="false" ht="15" hidden="false" customHeight="false" outlineLevel="0" collapsed="false">
      <c r="A248" s="4" t="n">
        <v>2036</v>
      </c>
      <c r="B248" s="25" t="n">
        <f aca="false">B217/60000</f>
        <v>1179.92031666667</v>
      </c>
      <c r="C248" s="25" t="n">
        <f aca="false">C217/60000</f>
        <v>181.526203333333</v>
      </c>
      <c r="D248" s="25" t="n">
        <f aca="false">D217/60000</f>
        <v>16791.17374</v>
      </c>
      <c r="E248" s="26" t="n">
        <f aca="false">SUM(B248:D248)</f>
        <v>18152.62026</v>
      </c>
    </row>
    <row r="249" customFormat="false" ht="15" hidden="false" customHeight="false" outlineLevel="0" collapsed="false">
      <c r="A249" s="4" t="n">
        <v>2037</v>
      </c>
      <c r="B249" s="25" t="n">
        <f aca="false">B218/60000</f>
        <v>1276.31004333333</v>
      </c>
      <c r="C249" s="25" t="n">
        <f aca="false">C218/60000</f>
        <v>189.08297</v>
      </c>
      <c r="D249" s="25" t="n">
        <f aca="false">D218/60000</f>
        <v>17442.9039316667</v>
      </c>
      <c r="E249" s="26" t="n">
        <f aca="false">SUM(B249:D249)</f>
        <v>18908.296945</v>
      </c>
    </row>
    <row r="250" customFormat="false" ht="15" hidden="false" customHeight="false" outlineLevel="0" collapsed="false">
      <c r="A250" s="4" t="n">
        <v>2038</v>
      </c>
      <c r="B250" s="25" t="n">
        <f aca="false">B219/60000</f>
        <v>1378.062035</v>
      </c>
      <c r="C250" s="25" t="n">
        <f aca="false">C219/60000</f>
        <v>196.866005</v>
      </c>
      <c r="D250" s="25" t="n">
        <f aca="false">D219/60000</f>
        <v>18111.672455</v>
      </c>
      <c r="E250" s="26" t="n">
        <f aca="false">SUM(B250:D250)</f>
        <v>19686.600495</v>
      </c>
    </row>
    <row r="251" customFormat="false" ht="15" hidden="false" customHeight="false" outlineLevel="0" collapsed="false">
      <c r="A251" s="4" t="n">
        <v>2039</v>
      </c>
      <c r="B251" s="25" t="n">
        <f aca="false">B220/60000</f>
        <v>1485.35686833333</v>
      </c>
      <c r="C251" s="25" t="n">
        <f aca="false">C220/60000</f>
        <v>204.87681</v>
      </c>
      <c r="D251" s="25" t="n">
        <f aca="false">D220/60000</f>
        <v>18797.4472683333</v>
      </c>
      <c r="E251" s="26" t="n">
        <f aca="false">SUM(B251:D251)</f>
        <v>20487.6809466667</v>
      </c>
    </row>
    <row r="252" customFormat="false" ht="15" hidden="false" customHeight="false" outlineLevel="0" collapsed="false">
      <c r="A252" s="4" t="n">
        <v>2040</v>
      </c>
      <c r="B252" s="25" t="n">
        <f aca="false">B221/60000</f>
        <v>1598.373985</v>
      </c>
      <c r="C252" s="25" t="n">
        <f aca="false">C221/60000</f>
        <v>213.116531666667</v>
      </c>
      <c r="D252" s="25" t="n">
        <f aca="false">D221/60000</f>
        <v>19500.1626233333</v>
      </c>
      <c r="E252" s="26" t="n">
        <f aca="false">SUM(B252:D252)</f>
        <v>21311.65314</v>
      </c>
    </row>
    <row r="253" customFormat="false" ht="15" hidden="false" customHeight="false" outlineLevel="0" collapsed="false">
      <c r="A253" s="4" t="n">
        <v>2041</v>
      </c>
      <c r="B253" s="25" t="n">
        <f aca="false">B222/60000</f>
        <v>1718.15045</v>
      </c>
      <c r="C253" s="25" t="n">
        <f aca="false">C222/60000</f>
        <v>221.696831666667</v>
      </c>
      <c r="D253" s="25" t="n">
        <f aca="false">D222/60000</f>
        <v>20229.8359416667</v>
      </c>
      <c r="E253" s="26" t="n">
        <f aca="false">SUM(B253:D253)</f>
        <v>22169.6832233333</v>
      </c>
    </row>
    <row r="254" customFormat="false" ht="15" hidden="false" customHeight="false" outlineLevel="0" collapsed="false">
      <c r="A254" s="4" t="n">
        <v>2042</v>
      </c>
      <c r="B254" s="25" t="n">
        <f aca="false">B223/60000</f>
        <v>1845.049875</v>
      </c>
      <c r="C254" s="25" t="n">
        <f aca="false">C223/60000</f>
        <v>230.631235</v>
      </c>
      <c r="D254" s="25" t="n">
        <f aca="false">D223/60000</f>
        <v>20987.4423333333</v>
      </c>
      <c r="E254" s="26" t="n">
        <f aca="false">SUM(B254:D254)</f>
        <v>23063.1234433333</v>
      </c>
    </row>
    <row r="255" customFormat="false" ht="15" hidden="false" customHeight="false" outlineLevel="0" collapsed="false">
      <c r="A255" s="4" t="n">
        <v>2043</v>
      </c>
      <c r="B255" s="25" t="n">
        <f aca="false">B224/60000</f>
        <v>1979.45335833333</v>
      </c>
      <c r="C255" s="25" t="n">
        <f aca="false">C224/60000</f>
        <v>239.93374</v>
      </c>
      <c r="D255" s="25" t="n">
        <f aca="false">D224/60000</f>
        <v>21773.98694</v>
      </c>
      <c r="E255" s="26" t="n">
        <f aca="false">SUM(B255:D255)</f>
        <v>23993.3740383333</v>
      </c>
    </row>
    <row r="256" customFormat="false" ht="15" hidden="false" customHeight="false" outlineLevel="0" collapsed="false">
      <c r="A256" s="4" t="n">
        <v>2044</v>
      </c>
      <c r="B256" s="25" t="n">
        <f aca="false">B225/60000</f>
        <v>2121.75835833333</v>
      </c>
      <c r="C256" s="25" t="n">
        <f aca="false">C225/60000</f>
        <v>249.61863</v>
      </c>
      <c r="D256" s="25" t="n">
        <f aca="false">D225/60000</f>
        <v>22590.4860483333</v>
      </c>
      <c r="E256" s="26" t="n">
        <f aca="false">SUM(B256:D256)</f>
        <v>24961.8630366667</v>
      </c>
    </row>
    <row r="257" customFormat="false" ht="15" hidden="false" customHeight="false" outlineLevel="0" collapsed="false">
      <c r="A257" s="4" t="n">
        <v>2045</v>
      </c>
      <c r="B257" s="25" t="n">
        <f aca="false">B226/60000</f>
        <v>2272.38027</v>
      </c>
      <c r="C257" s="25" t="n">
        <f aca="false">C226/60000</f>
        <v>259.700601666667</v>
      </c>
      <c r="D257" s="25" t="n">
        <f aca="false">D226/60000</f>
        <v>23437.9793566667</v>
      </c>
      <c r="E257" s="26" t="n">
        <f aca="false">SUM(B257:D257)</f>
        <v>25970.0602283333</v>
      </c>
    </row>
    <row r="258" customFormat="false" ht="15" hidden="false" customHeight="false" outlineLevel="0" collapsed="false">
      <c r="A258" s="4" t="n">
        <v>2046</v>
      </c>
      <c r="B258" s="25" t="n">
        <f aca="false">B227/60000</f>
        <v>2431.753105</v>
      </c>
      <c r="C258" s="25" t="n">
        <f aca="false">C227/60000</f>
        <v>270.19479</v>
      </c>
      <c r="D258" s="25" t="n">
        <f aca="false">D227/60000</f>
        <v>24317.531055</v>
      </c>
      <c r="E258" s="26" t="n">
        <f aca="false">SUM(B258:D258)</f>
        <v>27019.47895</v>
      </c>
    </row>
    <row r="259" customFormat="false" ht="15" hidden="false" customHeight="false" outlineLevel="0" collapsed="false">
      <c r="A259" s="4" t="n">
        <v>2047</v>
      </c>
      <c r="B259" s="25" t="n">
        <f aca="false">B228/60000</f>
        <v>2600.33592166667</v>
      </c>
      <c r="C259" s="25" t="n">
        <f aca="false">C228/60000</f>
        <v>281.117396666667</v>
      </c>
      <c r="D259" s="25" t="n">
        <f aca="false">D228/60000</f>
        <v>25230.2863766667</v>
      </c>
      <c r="E259" s="26" t="n">
        <f aca="false">SUM(B259:D259)</f>
        <v>28111.739695</v>
      </c>
    </row>
    <row r="260" customFormat="false" ht="15" hidden="false" customHeight="false" outlineLevel="0" collapsed="false">
      <c r="A260" s="4" t="n">
        <v>2048</v>
      </c>
      <c r="B260" s="25" t="n">
        <f aca="false">B229/60000</f>
        <v>2778.60607333333</v>
      </c>
      <c r="C260" s="25" t="n">
        <f aca="false">C229/60000</f>
        <v>292.48485</v>
      </c>
      <c r="D260" s="25" t="n">
        <f aca="false">D229/60000</f>
        <v>26177.3940666667</v>
      </c>
      <c r="E260" s="26" t="n">
        <f aca="false">SUM(B260:D260)</f>
        <v>29248.48499</v>
      </c>
    </row>
    <row r="261" customFormat="false" ht="15" hidden="false" customHeight="false" outlineLevel="0" collapsed="false">
      <c r="A261" s="4" t="n">
        <v>2049</v>
      </c>
      <c r="B261" s="25" t="n">
        <f aca="false">B230/60000</f>
        <v>2967.062755</v>
      </c>
      <c r="C261" s="25" t="n">
        <f aca="false">C230/60000</f>
        <v>304.314128333333</v>
      </c>
      <c r="D261" s="25" t="n">
        <f aca="false">D230/60000</f>
        <v>27160.0359833333</v>
      </c>
      <c r="E261" s="26" t="n">
        <f aca="false">SUM(B261:D261)</f>
        <v>30431.4128666667</v>
      </c>
    </row>
    <row r="262" customFormat="false" ht="15" hidden="false" customHeight="false" outlineLevel="0" collapsed="false">
      <c r="A262" s="4" t="n">
        <v>2050</v>
      </c>
      <c r="B262" s="25" t="n">
        <f aca="false">B231/60000</f>
        <v>3166.22959333333</v>
      </c>
      <c r="C262" s="25" t="n">
        <f aca="false">C231/60000</f>
        <v>316.62296</v>
      </c>
      <c r="D262" s="25" t="n">
        <f aca="false">D231/60000</f>
        <v>28179.4433816667</v>
      </c>
      <c r="E262" s="26" t="n">
        <f aca="false">SUM(B262:D262)</f>
        <v>31662.295935</v>
      </c>
    </row>
    <row r="265" customFormat="false" ht="15" hidden="false" customHeight="false" outlineLevel="0" collapsed="false">
      <c r="A265" s="10" t="s">
        <v>232</v>
      </c>
      <c r="B265" s="12"/>
      <c r="C265" s="12"/>
      <c r="D265" s="12"/>
    </row>
    <row r="266" customFormat="false" ht="15" hidden="false" customHeight="false" outlineLevel="0" collapsed="false">
      <c r="A266" s="3" t="s">
        <v>113</v>
      </c>
      <c r="B266" s="3" t="s">
        <v>227</v>
      </c>
      <c r="C266" s="3" t="s">
        <v>228</v>
      </c>
      <c r="D266" s="3" t="s">
        <v>229</v>
      </c>
    </row>
    <row r="267" customFormat="false" ht="15" hidden="false" customHeight="false" outlineLevel="0" collapsed="false">
      <c r="A267" s="4" t="n">
        <v>2023</v>
      </c>
      <c r="B267" s="24" t="n">
        <v>20282864.9</v>
      </c>
      <c r="C267" s="24" t="n">
        <v>6240881.5</v>
      </c>
      <c r="D267" s="24" t="n">
        <v>597564405.7</v>
      </c>
    </row>
    <row r="268" customFormat="false" ht="15" hidden="false" customHeight="false" outlineLevel="0" collapsed="false">
      <c r="A268" s="4" t="n">
        <v>2024</v>
      </c>
      <c r="B268" s="24" t="n">
        <v>22745717.8</v>
      </c>
      <c r="C268" s="24" t="n">
        <v>6498776.5</v>
      </c>
      <c r="D268" s="24" t="n">
        <v>620633156.4</v>
      </c>
    </row>
    <row r="269" customFormat="false" ht="15" hidden="false" customHeight="false" outlineLevel="0" collapsed="false">
      <c r="A269" s="4" t="n">
        <v>2025</v>
      </c>
      <c r="B269" s="24" t="n">
        <v>25432269.4</v>
      </c>
      <c r="C269" s="24" t="n">
        <v>6781938.5</v>
      </c>
      <c r="D269" s="24" t="n">
        <v>645979643.7</v>
      </c>
    </row>
    <row r="270" customFormat="false" ht="15" hidden="false" customHeight="false" outlineLevel="0" collapsed="false">
      <c r="A270" s="4" t="n">
        <v>2026</v>
      </c>
      <c r="B270" s="24" t="n">
        <v>28341374.3</v>
      </c>
      <c r="C270" s="24" t="n">
        <v>7085343.6</v>
      </c>
      <c r="D270" s="24" t="n">
        <v>673107639.9</v>
      </c>
    </row>
    <row r="271" customFormat="false" ht="15" hidden="false" customHeight="false" outlineLevel="0" collapsed="false">
      <c r="A271" s="4" t="n">
        <v>2027</v>
      </c>
      <c r="B271" s="24" t="n">
        <v>31467000.9</v>
      </c>
      <c r="C271" s="24" t="n">
        <v>7404000.2</v>
      </c>
      <c r="D271" s="24" t="n">
        <v>701529020</v>
      </c>
    </row>
    <row r="272" customFormat="false" ht="15" hidden="false" customHeight="false" outlineLevel="0" collapsed="false">
      <c r="A272" s="4" t="n">
        <v>2028</v>
      </c>
      <c r="B272" s="24" t="n">
        <v>34810940.2</v>
      </c>
      <c r="C272" s="24" t="n">
        <v>7735764.5</v>
      </c>
      <c r="D272" s="24" t="n">
        <v>731029745.1</v>
      </c>
    </row>
    <row r="273" customFormat="false" ht="15" hidden="false" customHeight="false" outlineLevel="0" collapsed="false">
      <c r="A273" s="4" t="n">
        <v>2029</v>
      </c>
      <c r="B273" s="24" t="n">
        <v>38409082.5</v>
      </c>
      <c r="C273" s="24" t="n">
        <v>8086122.6</v>
      </c>
      <c r="D273" s="24" t="n">
        <v>762117058.6</v>
      </c>
    </row>
    <row r="274" customFormat="false" ht="15" hidden="false" customHeight="false" outlineLevel="0" collapsed="false">
      <c r="A274" s="4" t="n">
        <v>2030</v>
      </c>
      <c r="B274" s="24" t="n">
        <v>42243293.9</v>
      </c>
      <c r="C274" s="24" t="n">
        <v>8448658.8</v>
      </c>
      <c r="D274" s="24" t="n">
        <v>794173925.5</v>
      </c>
    </row>
    <row r="275" customFormat="false" ht="15" hidden="false" customHeight="false" outlineLevel="0" collapsed="false">
      <c r="A275" s="4" t="n">
        <v>2031</v>
      </c>
      <c r="B275" s="24" t="n">
        <v>46323932</v>
      </c>
      <c r="C275" s="24" t="n">
        <v>8823606.1</v>
      </c>
      <c r="D275" s="24" t="n">
        <v>827213070.9</v>
      </c>
    </row>
    <row r="276" customFormat="false" ht="15" hidden="false" customHeight="false" outlineLevel="0" collapsed="false">
      <c r="A276" s="4" t="n">
        <v>2032</v>
      </c>
      <c r="B276" s="24" t="n">
        <v>50661510.8</v>
      </c>
      <c r="C276" s="24" t="n">
        <v>9211183.8</v>
      </c>
      <c r="D276" s="24" t="n">
        <v>861245684.1</v>
      </c>
    </row>
    <row r="277" customFormat="false" ht="15" hidden="false" customHeight="false" outlineLevel="0" collapsed="false">
      <c r="A277" s="4" t="n">
        <v>2033</v>
      </c>
      <c r="B277" s="24" t="n">
        <v>55266662.5</v>
      </c>
      <c r="C277" s="24" t="n">
        <v>9611593.5</v>
      </c>
      <c r="D277" s="24" t="n">
        <v>896281091.3</v>
      </c>
    </row>
    <row r="278" customFormat="false" ht="15" hidden="false" customHeight="false" outlineLevel="0" collapsed="false">
      <c r="A278" s="4" t="n">
        <v>2034</v>
      </c>
      <c r="B278" s="24" t="n">
        <v>60150112.1</v>
      </c>
      <c r="C278" s="24" t="n">
        <v>10025018.7</v>
      </c>
      <c r="D278" s="24" t="n">
        <v>932326737.8</v>
      </c>
    </row>
    <row r="279" customFormat="false" ht="15" hidden="false" customHeight="false" outlineLevel="0" collapsed="false">
      <c r="A279" s="4" t="n">
        <v>2035</v>
      </c>
      <c r="B279" s="24" t="n">
        <v>65322679.3</v>
      </c>
      <c r="C279" s="24" t="n">
        <v>10451628.7</v>
      </c>
      <c r="D279" s="24" t="n">
        <v>969388560.6</v>
      </c>
    </row>
    <row r="280" customFormat="false" ht="15" hidden="false" customHeight="false" outlineLevel="0" collapsed="false">
      <c r="A280" s="4" t="n">
        <v>2036</v>
      </c>
      <c r="B280" s="24" t="n">
        <v>70795219</v>
      </c>
      <c r="C280" s="24" t="n">
        <v>10891572.2</v>
      </c>
      <c r="D280" s="24" t="n">
        <v>1007470424.4</v>
      </c>
    </row>
    <row r="281" customFormat="false" ht="15" hidden="false" customHeight="false" outlineLevel="0" collapsed="false">
      <c r="A281" s="4" t="n">
        <v>2037</v>
      </c>
      <c r="B281" s="24" t="n">
        <v>76578602.6</v>
      </c>
      <c r="C281" s="24" t="n">
        <v>11344978.2</v>
      </c>
      <c r="D281" s="24" t="n">
        <v>1046574235.9</v>
      </c>
    </row>
    <row r="282" customFormat="false" ht="15" hidden="false" customHeight="false" outlineLevel="0" collapsed="false">
      <c r="A282" s="4" t="n">
        <v>2038</v>
      </c>
      <c r="B282" s="24" t="n">
        <v>82683722.1</v>
      </c>
      <c r="C282" s="24" t="n">
        <v>11811960.3</v>
      </c>
      <c r="D282" s="24" t="n">
        <v>1086700347.3</v>
      </c>
    </row>
    <row r="283" customFormat="false" ht="15" hidden="false" customHeight="false" outlineLevel="0" collapsed="false">
      <c r="A283" s="4" t="n">
        <v>2039</v>
      </c>
      <c r="B283" s="24" t="n">
        <v>89121412.1</v>
      </c>
      <c r="C283" s="24" t="n">
        <v>12292608.6</v>
      </c>
      <c r="D283" s="24" t="n">
        <v>1127846836.1</v>
      </c>
    </row>
    <row r="284" customFormat="false" ht="15" hidden="false" customHeight="false" outlineLevel="0" collapsed="false">
      <c r="A284" s="4" t="n">
        <v>2040</v>
      </c>
      <c r="B284" s="24" t="n">
        <v>95902439.1</v>
      </c>
      <c r="C284" s="24" t="n">
        <v>12786991.9</v>
      </c>
      <c r="D284" s="24" t="n">
        <v>1170009757.4</v>
      </c>
    </row>
    <row r="285" customFormat="false" ht="15" hidden="false" customHeight="false" outlineLevel="0" collapsed="false">
      <c r="A285" s="4" t="n">
        <v>2041</v>
      </c>
      <c r="B285" s="24" t="n">
        <v>103089027</v>
      </c>
      <c r="C285" s="24" t="n">
        <v>13301809.9</v>
      </c>
      <c r="D285" s="24" t="n">
        <v>1213790156.5</v>
      </c>
    </row>
    <row r="286" customFormat="false" ht="15" hidden="false" customHeight="false" outlineLevel="0" collapsed="false">
      <c r="A286" s="4" t="n">
        <v>2042</v>
      </c>
      <c r="B286" s="24" t="n">
        <v>110702992.5</v>
      </c>
      <c r="C286" s="24" t="n">
        <v>13837874.1</v>
      </c>
      <c r="D286" s="24" t="n">
        <v>1259246540</v>
      </c>
    </row>
    <row r="287" customFormat="false" ht="15" hidden="false" customHeight="false" outlineLevel="0" collapsed="false">
      <c r="A287" s="4" t="n">
        <v>2043</v>
      </c>
      <c r="B287" s="24" t="n">
        <v>118767201.5</v>
      </c>
      <c r="C287" s="24" t="n">
        <v>14396024.4</v>
      </c>
      <c r="D287" s="24" t="n">
        <v>1306439216.4</v>
      </c>
    </row>
    <row r="288" customFormat="false" ht="15" hidden="false" customHeight="false" outlineLevel="0" collapsed="false">
      <c r="A288" s="4" t="n">
        <v>2044</v>
      </c>
      <c r="B288" s="24" t="n">
        <v>127305501.5</v>
      </c>
      <c r="C288" s="24" t="n">
        <v>14977117.8</v>
      </c>
      <c r="D288" s="24" t="n">
        <v>1355429162.9</v>
      </c>
    </row>
    <row r="289" customFormat="false" ht="15" hidden="false" customHeight="false" outlineLevel="0" collapsed="false">
      <c r="A289" s="4" t="n">
        <v>2045</v>
      </c>
      <c r="B289" s="24" t="n">
        <v>136342816.2</v>
      </c>
      <c r="C289" s="24" t="n">
        <v>15582036.1</v>
      </c>
      <c r="D289" s="24" t="n">
        <v>1406278761.4</v>
      </c>
    </row>
    <row r="290" customFormat="false" ht="15" hidden="false" customHeight="false" outlineLevel="0" collapsed="false">
      <c r="A290" s="4" t="n">
        <v>2046</v>
      </c>
      <c r="B290" s="24" t="n">
        <v>145905186.3</v>
      </c>
      <c r="C290" s="24" t="n">
        <v>16211687.4</v>
      </c>
      <c r="D290" s="24" t="n">
        <v>1459051863.3</v>
      </c>
    </row>
    <row r="291" customFormat="false" ht="15" hidden="false" customHeight="false" outlineLevel="0" collapsed="false">
      <c r="A291" s="4" t="n">
        <v>2047</v>
      </c>
      <c r="B291" s="24" t="n">
        <v>156020155.3</v>
      </c>
      <c r="C291" s="24" t="n">
        <v>16867043.8</v>
      </c>
      <c r="D291" s="24" t="n">
        <v>1513817182.6</v>
      </c>
    </row>
    <row r="292" customFormat="false" ht="15" hidden="false" customHeight="false" outlineLevel="0" collapsed="false">
      <c r="A292" s="4" t="n">
        <v>2048</v>
      </c>
      <c r="B292" s="24" t="n">
        <v>166716364.4</v>
      </c>
      <c r="C292" s="24" t="n">
        <v>17549091</v>
      </c>
      <c r="D292" s="24" t="n">
        <v>1570643644</v>
      </c>
    </row>
    <row r="293" customFormat="false" ht="15" hidden="false" customHeight="false" outlineLevel="0" collapsed="false">
      <c r="A293" s="4" t="n">
        <v>2049</v>
      </c>
      <c r="B293" s="24" t="n">
        <v>178023765.3</v>
      </c>
      <c r="C293" s="24" t="n">
        <v>18258847.7</v>
      </c>
      <c r="D293" s="24" t="n">
        <v>1629602159</v>
      </c>
    </row>
    <row r="294" customFormat="false" ht="15" hidden="false" customHeight="false" outlineLevel="0" collapsed="false">
      <c r="A294" s="4" t="n">
        <v>2050</v>
      </c>
      <c r="B294" s="24" t="n">
        <v>189973775.6</v>
      </c>
      <c r="C294" s="24" t="n">
        <v>18997377.6</v>
      </c>
      <c r="D294" s="24" t="n">
        <v>1690766602.9</v>
      </c>
    </row>
    <row r="296" customFormat="false" ht="15" hidden="false" customHeight="false" outlineLevel="0" collapsed="false">
      <c r="A296" s="10" t="s">
        <v>238</v>
      </c>
      <c r="B296" s="12"/>
      <c r="C296" s="12"/>
      <c r="D296" s="12"/>
    </row>
    <row r="297" customFormat="false" ht="15" hidden="false" customHeight="false" outlineLevel="0" collapsed="false">
      <c r="A297" s="3" t="s">
        <v>113</v>
      </c>
      <c r="B297" s="3" t="s">
        <v>227</v>
      </c>
      <c r="C297" s="3" t="s">
        <v>228</v>
      </c>
      <c r="D297" s="3" t="s">
        <v>229</v>
      </c>
      <c r="E297" s="3" t="s">
        <v>58</v>
      </c>
    </row>
    <row r="298" customFormat="false" ht="15" hidden="false" customHeight="false" outlineLevel="0" collapsed="false">
      <c r="A298" s="4" t="n">
        <v>2023</v>
      </c>
      <c r="B298" s="25" t="n">
        <f aca="false">B267/60000</f>
        <v>338.047748333333</v>
      </c>
      <c r="C298" s="25" t="n">
        <f aca="false">C267/60000</f>
        <v>104.014691666667</v>
      </c>
      <c r="D298" s="25" t="n">
        <f aca="false">D267/60000</f>
        <v>9959.40676166667</v>
      </c>
      <c r="E298" s="26" t="n">
        <f aca="false">SUM(B298:D298)</f>
        <v>10401.4692016667</v>
      </c>
    </row>
    <row r="299" customFormat="false" ht="15" hidden="false" customHeight="false" outlineLevel="0" collapsed="false">
      <c r="A299" s="4" t="n">
        <v>2024</v>
      </c>
      <c r="B299" s="25" t="n">
        <f aca="false">B268/60000</f>
        <v>379.095296666667</v>
      </c>
      <c r="C299" s="25" t="n">
        <f aca="false">C268/60000</f>
        <v>108.312941666667</v>
      </c>
      <c r="D299" s="25" t="n">
        <f aca="false">D268/60000</f>
        <v>10343.88594</v>
      </c>
      <c r="E299" s="26" t="n">
        <f aca="false">SUM(B299:D299)</f>
        <v>10831.2941783333</v>
      </c>
    </row>
    <row r="300" customFormat="false" ht="15" hidden="false" customHeight="false" outlineLevel="0" collapsed="false">
      <c r="A300" s="4" t="n">
        <v>2025</v>
      </c>
      <c r="B300" s="25" t="n">
        <f aca="false">B269/60000</f>
        <v>423.871156666667</v>
      </c>
      <c r="C300" s="25" t="n">
        <f aca="false">C269/60000</f>
        <v>113.032308333333</v>
      </c>
      <c r="D300" s="25" t="n">
        <f aca="false">D269/60000</f>
        <v>10766.327395</v>
      </c>
      <c r="E300" s="26" t="n">
        <f aca="false">SUM(B300:D300)</f>
        <v>11303.23086</v>
      </c>
    </row>
    <row r="301" customFormat="false" ht="15" hidden="false" customHeight="false" outlineLevel="0" collapsed="false">
      <c r="A301" s="4" t="n">
        <v>2026</v>
      </c>
      <c r="B301" s="25" t="n">
        <f aca="false">B270/60000</f>
        <v>472.356238333333</v>
      </c>
      <c r="C301" s="25" t="n">
        <f aca="false">C270/60000</f>
        <v>118.08906</v>
      </c>
      <c r="D301" s="25" t="n">
        <f aca="false">D270/60000</f>
        <v>11218.460665</v>
      </c>
      <c r="E301" s="26" t="n">
        <f aca="false">SUM(B301:D301)</f>
        <v>11808.9059633333</v>
      </c>
    </row>
    <row r="302" customFormat="false" ht="15" hidden="false" customHeight="false" outlineLevel="0" collapsed="false">
      <c r="A302" s="4" t="n">
        <v>2027</v>
      </c>
      <c r="B302" s="25" t="n">
        <f aca="false">B271/60000</f>
        <v>524.450015</v>
      </c>
      <c r="C302" s="25" t="n">
        <f aca="false">C271/60000</f>
        <v>123.400003333333</v>
      </c>
      <c r="D302" s="25" t="n">
        <f aca="false">D271/60000</f>
        <v>11692.1503333333</v>
      </c>
      <c r="E302" s="26" t="n">
        <f aca="false">SUM(B302:D302)</f>
        <v>12340.0003516667</v>
      </c>
    </row>
    <row r="303" customFormat="false" ht="15" hidden="false" customHeight="false" outlineLevel="0" collapsed="false">
      <c r="A303" s="4" t="n">
        <v>2028</v>
      </c>
      <c r="B303" s="25" t="n">
        <f aca="false">B272/60000</f>
        <v>580.182336666667</v>
      </c>
      <c r="C303" s="25" t="n">
        <f aca="false">C272/60000</f>
        <v>128.929408333333</v>
      </c>
      <c r="D303" s="25" t="n">
        <f aca="false">D272/60000</f>
        <v>12183.829085</v>
      </c>
      <c r="E303" s="26" t="n">
        <f aca="false">SUM(B303:D303)</f>
        <v>12892.94083</v>
      </c>
    </row>
    <row r="304" customFormat="false" ht="15" hidden="false" customHeight="false" outlineLevel="0" collapsed="false">
      <c r="A304" s="4" t="n">
        <v>2029</v>
      </c>
      <c r="B304" s="25" t="n">
        <f aca="false">B273/60000</f>
        <v>640.151375</v>
      </c>
      <c r="C304" s="25" t="n">
        <f aca="false">C273/60000</f>
        <v>134.76871</v>
      </c>
      <c r="D304" s="25" t="n">
        <f aca="false">D273/60000</f>
        <v>12701.9509766667</v>
      </c>
      <c r="E304" s="26" t="n">
        <f aca="false">SUM(B304:D304)</f>
        <v>13476.8710616667</v>
      </c>
    </row>
    <row r="305" customFormat="false" ht="15" hidden="false" customHeight="false" outlineLevel="0" collapsed="false">
      <c r="A305" s="4" t="n">
        <v>2030</v>
      </c>
      <c r="B305" s="25" t="n">
        <f aca="false">B274/60000</f>
        <v>704.054898333333</v>
      </c>
      <c r="C305" s="25" t="n">
        <f aca="false">C274/60000</f>
        <v>140.81098</v>
      </c>
      <c r="D305" s="25" t="n">
        <f aca="false">D274/60000</f>
        <v>13236.2320916667</v>
      </c>
      <c r="E305" s="26" t="n">
        <f aca="false">SUM(B305:D305)</f>
        <v>14081.09797</v>
      </c>
    </row>
    <row r="306" customFormat="false" ht="15" hidden="false" customHeight="false" outlineLevel="0" collapsed="false">
      <c r="A306" s="4" t="n">
        <v>2031</v>
      </c>
      <c r="B306" s="25" t="n">
        <f aca="false">B275/60000</f>
        <v>772.065533333333</v>
      </c>
      <c r="C306" s="25" t="n">
        <f aca="false">C275/60000</f>
        <v>147.060101666667</v>
      </c>
      <c r="D306" s="25" t="n">
        <f aca="false">D275/60000</f>
        <v>13786.884515</v>
      </c>
      <c r="E306" s="26" t="n">
        <f aca="false">SUM(B306:D306)</f>
        <v>14706.01015</v>
      </c>
    </row>
    <row r="307" customFormat="false" ht="15" hidden="false" customHeight="false" outlineLevel="0" collapsed="false">
      <c r="A307" s="4" t="n">
        <v>2032</v>
      </c>
      <c r="B307" s="25" t="n">
        <f aca="false">B276/60000</f>
        <v>844.358513333333</v>
      </c>
      <c r="C307" s="25" t="n">
        <f aca="false">C276/60000</f>
        <v>153.51973</v>
      </c>
      <c r="D307" s="25" t="n">
        <f aca="false">D276/60000</f>
        <v>14354.094735</v>
      </c>
      <c r="E307" s="26" t="n">
        <f aca="false">SUM(B307:D307)</f>
        <v>15351.9729783333</v>
      </c>
    </row>
    <row r="308" customFormat="false" ht="15" hidden="false" customHeight="false" outlineLevel="0" collapsed="false">
      <c r="A308" s="4" t="n">
        <v>2033</v>
      </c>
      <c r="B308" s="25" t="n">
        <f aca="false">B277/60000</f>
        <v>921.111041666667</v>
      </c>
      <c r="C308" s="25" t="n">
        <f aca="false">C277/60000</f>
        <v>160.193225</v>
      </c>
      <c r="D308" s="25" t="n">
        <f aca="false">D277/60000</f>
        <v>14938.0181883333</v>
      </c>
      <c r="E308" s="26" t="n">
        <f aca="false">SUM(B308:D308)</f>
        <v>16019.322455</v>
      </c>
    </row>
    <row r="309" customFormat="false" ht="15" hidden="false" customHeight="false" outlineLevel="0" collapsed="false">
      <c r="A309" s="4" t="n">
        <v>2034</v>
      </c>
      <c r="B309" s="25" t="n">
        <f aca="false">B278/60000</f>
        <v>1002.50186833333</v>
      </c>
      <c r="C309" s="25" t="n">
        <f aca="false">C278/60000</f>
        <v>167.083645</v>
      </c>
      <c r="D309" s="25" t="n">
        <f aca="false">D278/60000</f>
        <v>15538.7789633333</v>
      </c>
      <c r="E309" s="26" t="n">
        <f aca="false">SUM(B309:D309)</f>
        <v>16708.3644766667</v>
      </c>
    </row>
    <row r="310" customFormat="false" ht="15" hidden="false" customHeight="false" outlineLevel="0" collapsed="false">
      <c r="A310" s="4" t="n">
        <v>2035</v>
      </c>
      <c r="B310" s="25" t="n">
        <f aca="false">B279/60000</f>
        <v>1088.71132166667</v>
      </c>
      <c r="C310" s="25" t="n">
        <f aca="false">C279/60000</f>
        <v>174.193811666667</v>
      </c>
      <c r="D310" s="25" t="n">
        <f aca="false">D279/60000</f>
        <v>16156.47601</v>
      </c>
      <c r="E310" s="26" t="n">
        <f aca="false">SUM(B310:D310)</f>
        <v>17419.3811433333</v>
      </c>
    </row>
    <row r="311" customFormat="false" ht="15" hidden="false" customHeight="false" outlineLevel="0" collapsed="false">
      <c r="A311" s="4" t="n">
        <v>2036</v>
      </c>
      <c r="B311" s="25" t="n">
        <f aca="false">B280/60000</f>
        <v>1179.92031666667</v>
      </c>
      <c r="C311" s="25" t="n">
        <f aca="false">C280/60000</f>
        <v>181.526203333333</v>
      </c>
      <c r="D311" s="25" t="n">
        <f aca="false">D280/60000</f>
        <v>16791.17374</v>
      </c>
      <c r="E311" s="26" t="n">
        <f aca="false">SUM(B311:D311)</f>
        <v>18152.62026</v>
      </c>
    </row>
    <row r="312" customFormat="false" ht="15" hidden="false" customHeight="false" outlineLevel="0" collapsed="false">
      <c r="A312" s="4" t="n">
        <v>2037</v>
      </c>
      <c r="B312" s="25" t="n">
        <f aca="false">B281/60000</f>
        <v>1276.31004333333</v>
      </c>
      <c r="C312" s="25" t="n">
        <f aca="false">C281/60000</f>
        <v>189.08297</v>
      </c>
      <c r="D312" s="25" t="n">
        <f aca="false">D281/60000</f>
        <v>17442.9039316667</v>
      </c>
      <c r="E312" s="26" t="n">
        <f aca="false">SUM(B312:D312)</f>
        <v>18908.296945</v>
      </c>
    </row>
    <row r="313" customFormat="false" ht="15" hidden="false" customHeight="false" outlineLevel="0" collapsed="false">
      <c r="A313" s="4" t="n">
        <v>2038</v>
      </c>
      <c r="B313" s="25" t="n">
        <f aca="false">B282/60000</f>
        <v>1378.062035</v>
      </c>
      <c r="C313" s="25" t="n">
        <f aca="false">C282/60000</f>
        <v>196.866005</v>
      </c>
      <c r="D313" s="25" t="n">
        <f aca="false">D282/60000</f>
        <v>18111.672455</v>
      </c>
      <c r="E313" s="26" t="n">
        <f aca="false">SUM(B313:D313)</f>
        <v>19686.600495</v>
      </c>
    </row>
    <row r="314" customFormat="false" ht="15" hidden="false" customHeight="false" outlineLevel="0" collapsed="false">
      <c r="A314" s="4" t="n">
        <v>2039</v>
      </c>
      <c r="B314" s="25" t="n">
        <f aca="false">B283/60000</f>
        <v>1485.35686833333</v>
      </c>
      <c r="C314" s="25" t="n">
        <f aca="false">C283/60000</f>
        <v>204.87681</v>
      </c>
      <c r="D314" s="25" t="n">
        <f aca="false">D283/60000</f>
        <v>18797.4472683333</v>
      </c>
      <c r="E314" s="26" t="n">
        <f aca="false">SUM(B314:D314)</f>
        <v>20487.6809466667</v>
      </c>
    </row>
    <row r="315" customFormat="false" ht="15" hidden="false" customHeight="false" outlineLevel="0" collapsed="false">
      <c r="A315" s="4" t="n">
        <v>2040</v>
      </c>
      <c r="B315" s="25" t="n">
        <f aca="false">B284/60000</f>
        <v>1598.373985</v>
      </c>
      <c r="C315" s="25" t="n">
        <f aca="false">C284/60000</f>
        <v>213.116531666667</v>
      </c>
      <c r="D315" s="25" t="n">
        <f aca="false">D284/60000</f>
        <v>19500.1626233333</v>
      </c>
      <c r="E315" s="26" t="n">
        <f aca="false">SUM(B315:D315)</f>
        <v>21311.65314</v>
      </c>
    </row>
    <row r="316" customFormat="false" ht="15" hidden="false" customHeight="false" outlineLevel="0" collapsed="false">
      <c r="A316" s="4" t="n">
        <v>2041</v>
      </c>
      <c r="B316" s="25" t="n">
        <f aca="false">B285/60000</f>
        <v>1718.15045</v>
      </c>
      <c r="C316" s="25" t="n">
        <f aca="false">C285/60000</f>
        <v>221.696831666667</v>
      </c>
      <c r="D316" s="25" t="n">
        <f aca="false">D285/60000</f>
        <v>20229.8359416667</v>
      </c>
      <c r="E316" s="26" t="n">
        <f aca="false">SUM(B316:D316)</f>
        <v>22169.6832233333</v>
      </c>
    </row>
    <row r="317" customFormat="false" ht="15" hidden="false" customHeight="false" outlineLevel="0" collapsed="false">
      <c r="A317" s="4" t="n">
        <v>2042</v>
      </c>
      <c r="B317" s="25" t="n">
        <f aca="false">B286/60000</f>
        <v>1845.049875</v>
      </c>
      <c r="C317" s="25" t="n">
        <f aca="false">C286/60000</f>
        <v>230.631235</v>
      </c>
      <c r="D317" s="25" t="n">
        <f aca="false">D286/60000</f>
        <v>20987.4423333333</v>
      </c>
      <c r="E317" s="26" t="n">
        <f aca="false">SUM(B317:D317)</f>
        <v>23063.1234433333</v>
      </c>
    </row>
    <row r="318" customFormat="false" ht="15" hidden="false" customHeight="false" outlineLevel="0" collapsed="false">
      <c r="A318" s="4" t="n">
        <v>2043</v>
      </c>
      <c r="B318" s="25" t="n">
        <f aca="false">B287/60000</f>
        <v>1979.45335833333</v>
      </c>
      <c r="C318" s="25" t="n">
        <f aca="false">C287/60000</f>
        <v>239.93374</v>
      </c>
      <c r="D318" s="25" t="n">
        <f aca="false">D287/60000</f>
        <v>21773.98694</v>
      </c>
      <c r="E318" s="26" t="n">
        <f aca="false">SUM(B318:D318)</f>
        <v>23993.3740383333</v>
      </c>
    </row>
    <row r="319" customFormat="false" ht="15" hidden="false" customHeight="false" outlineLevel="0" collapsed="false">
      <c r="A319" s="4" t="n">
        <v>2044</v>
      </c>
      <c r="B319" s="25" t="n">
        <f aca="false">B288/60000</f>
        <v>2121.75835833333</v>
      </c>
      <c r="C319" s="25" t="n">
        <f aca="false">C288/60000</f>
        <v>249.61863</v>
      </c>
      <c r="D319" s="25" t="n">
        <f aca="false">D288/60000</f>
        <v>22590.4860483333</v>
      </c>
      <c r="E319" s="26" t="n">
        <f aca="false">SUM(B319:D319)</f>
        <v>24961.8630366667</v>
      </c>
    </row>
    <row r="320" customFormat="false" ht="15" hidden="false" customHeight="false" outlineLevel="0" collapsed="false">
      <c r="A320" s="4" t="n">
        <v>2045</v>
      </c>
      <c r="B320" s="25" t="n">
        <f aca="false">B289/60000</f>
        <v>2272.38027</v>
      </c>
      <c r="C320" s="25" t="n">
        <f aca="false">C289/60000</f>
        <v>259.700601666667</v>
      </c>
      <c r="D320" s="25" t="n">
        <f aca="false">D289/60000</f>
        <v>23437.9793566667</v>
      </c>
      <c r="E320" s="26" t="n">
        <f aca="false">SUM(B320:D320)</f>
        <v>25970.0602283333</v>
      </c>
    </row>
    <row r="321" customFormat="false" ht="15" hidden="false" customHeight="false" outlineLevel="0" collapsed="false">
      <c r="A321" s="4" t="n">
        <v>2046</v>
      </c>
      <c r="B321" s="25" t="n">
        <f aca="false">B290/60000</f>
        <v>2431.753105</v>
      </c>
      <c r="C321" s="25" t="n">
        <f aca="false">C290/60000</f>
        <v>270.19479</v>
      </c>
      <c r="D321" s="25" t="n">
        <f aca="false">D290/60000</f>
        <v>24317.531055</v>
      </c>
      <c r="E321" s="26" t="n">
        <f aca="false">SUM(B321:D321)</f>
        <v>27019.47895</v>
      </c>
    </row>
    <row r="322" customFormat="false" ht="15" hidden="false" customHeight="false" outlineLevel="0" collapsed="false">
      <c r="A322" s="4" t="n">
        <v>2047</v>
      </c>
      <c r="B322" s="25" t="n">
        <f aca="false">B291/60000</f>
        <v>2600.33592166667</v>
      </c>
      <c r="C322" s="25" t="n">
        <f aca="false">C291/60000</f>
        <v>281.117396666667</v>
      </c>
      <c r="D322" s="25" t="n">
        <f aca="false">D291/60000</f>
        <v>25230.2863766667</v>
      </c>
      <c r="E322" s="26" t="n">
        <f aca="false">SUM(B322:D322)</f>
        <v>28111.739695</v>
      </c>
    </row>
    <row r="323" customFormat="false" ht="15" hidden="false" customHeight="false" outlineLevel="0" collapsed="false">
      <c r="A323" s="4" t="n">
        <v>2048</v>
      </c>
      <c r="B323" s="25" t="n">
        <f aca="false">B292/60000</f>
        <v>2778.60607333333</v>
      </c>
      <c r="C323" s="25" t="n">
        <f aca="false">C292/60000</f>
        <v>292.48485</v>
      </c>
      <c r="D323" s="25" t="n">
        <f aca="false">D292/60000</f>
        <v>26177.3940666667</v>
      </c>
      <c r="E323" s="26" t="n">
        <f aca="false">SUM(B323:D323)</f>
        <v>29248.48499</v>
      </c>
    </row>
    <row r="324" customFormat="false" ht="15" hidden="false" customHeight="false" outlineLevel="0" collapsed="false">
      <c r="A324" s="4" t="n">
        <v>2049</v>
      </c>
      <c r="B324" s="25" t="n">
        <f aca="false">B293/60000</f>
        <v>2967.062755</v>
      </c>
      <c r="C324" s="25" t="n">
        <f aca="false">C293/60000</f>
        <v>304.314128333333</v>
      </c>
      <c r="D324" s="25" t="n">
        <f aca="false">D293/60000</f>
        <v>27160.0359833333</v>
      </c>
      <c r="E324" s="26" t="n">
        <f aca="false">SUM(B324:D324)</f>
        <v>30431.4128666667</v>
      </c>
    </row>
    <row r="325" customFormat="false" ht="15" hidden="false" customHeight="false" outlineLevel="0" collapsed="false">
      <c r="A325" s="4" t="n">
        <v>2050</v>
      </c>
      <c r="B325" s="25" t="n">
        <f aca="false">B294/60000</f>
        <v>3166.22959333333</v>
      </c>
      <c r="C325" s="25" t="n">
        <f aca="false">C294/60000</f>
        <v>316.62296</v>
      </c>
      <c r="D325" s="25" t="n">
        <f aca="false">D294/60000</f>
        <v>28179.4433816667</v>
      </c>
      <c r="E325" s="26" t="n">
        <f aca="false">SUM(B325:D325)</f>
        <v>31662.295935</v>
      </c>
    </row>
    <row r="328" customFormat="false" ht="15" hidden="false" customHeight="false" outlineLevel="0" collapsed="false">
      <c r="A328" s="10" t="s">
        <v>234</v>
      </c>
      <c r="B328" s="12"/>
      <c r="C328" s="12"/>
      <c r="D328" s="12"/>
    </row>
    <row r="329" customFormat="false" ht="15" hidden="false" customHeight="false" outlineLevel="0" collapsed="false">
      <c r="A329" s="3" t="s">
        <v>113</v>
      </c>
      <c r="B329" s="3" t="s">
        <v>227</v>
      </c>
      <c r="C329" s="3" t="s">
        <v>228</v>
      </c>
      <c r="D329" s="3" t="s">
        <v>229</v>
      </c>
    </row>
    <row r="330" customFormat="false" ht="15" hidden="false" customHeight="false" outlineLevel="0" collapsed="false">
      <c r="A330" s="4" t="n">
        <v>2023</v>
      </c>
      <c r="B330" s="24" t="n">
        <v>20282864.9</v>
      </c>
      <c r="C330" s="24" t="n">
        <v>6240881.5</v>
      </c>
      <c r="D330" s="24" t="n">
        <v>597564405.7</v>
      </c>
    </row>
    <row r="331" customFormat="false" ht="15" hidden="false" customHeight="false" outlineLevel="0" collapsed="false">
      <c r="A331" s="4" t="n">
        <v>2024</v>
      </c>
      <c r="B331" s="24" t="n">
        <v>22745717.8</v>
      </c>
      <c r="C331" s="24" t="n">
        <v>6498776.5</v>
      </c>
      <c r="D331" s="24" t="n">
        <v>620633156.4</v>
      </c>
    </row>
    <row r="332" customFormat="false" ht="15" hidden="false" customHeight="false" outlineLevel="0" collapsed="false">
      <c r="A332" s="4" t="n">
        <v>2025</v>
      </c>
      <c r="B332" s="24" t="n">
        <v>25432269.4</v>
      </c>
      <c r="C332" s="24" t="n">
        <v>6781938.5</v>
      </c>
      <c r="D332" s="24" t="n">
        <v>645979643.7</v>
      </c>
    </row>
    <row r="333" customFormat="false" ht="15" hidden="false" customHeight="false" outlineLevel="0" collapsed="false">
      <c r="A333" s="4" t="n">
        <v>2026</v>
      </c>
      <c r="B333" s="24" t="n">
        <v>27916253.7</v>
      </c>
      <c r="C333" s="24" t="n">
        <v>6979063.4</v>
      </c>
      <c r="D333" s="24" t="n">
        <v>663011025.3</v>
      </c>
    </row>
    <row r="334" customFormat="false" ht="15" hidden="false" customHeight="false" outlineLevel="0" collapsed="false">
      <c r="A334" s="4" t="n">
        <v>2027</v>
      </c>
      <c r="B334" s="24" t="n">
        <v>30522990.9</v>
      </c>
      <c r="C334" s="24" t="n">
        <v>7181880.2</v>
      </c>
      <c r="D334" s="24" t="n">
        <v>680483149.4</v>
      </c>
    </row>
    <row r="335" customFormat="false" ht="15" hidden="false" customHeight="false" outlineLevel="0" collapsed="false">
      <c r="A335" s="4" t="n">
        <v>2028</v>
      </c>
      <c r="B335" s="24" t="n">
        <v>33244447.9</v>
      </c>
      <c r="C335" s="24" t="n">
        <v>7387655.1</v>
      </c>
      <c r="D335" s="24" t="n">
        <v>698133406.6</v>
      </c>
    </row>
    <row r="336" customFormat="false" ht="15" hidden="false" customHeight="false" outlineLevel="0" collapsed="false">
      <c r="A336" s="4" t="n">
        <v>2029</v>
      </c>
      <c r="B336" s="24" t="n">
        <v>36104537.6</v>
      </c>
      <c r="C336" s="24" t="n">
        <v>7600955.3</v>
      </c>
      <c r="D336" s="24" t="n">
        <v>716390035.1</v>
      </c>
    </row>
    <row r="337" customFormat="false" ht="15" hidden="false" customHeight="false" outlineLevel="0" collapsed="false">
      <c r="A337" s="4" t="n">
        <v>2030</v>
      </c>
      <c r="B337" s="24" t="n">
        <v>39075046.9</v>
      </c>
      <c r="C337" s="24" t="n">
        <v>7815009.4</v>
      </c>
      <c r="D337" s="24" t="n">
        <v>734610881.1</v>
      </c>
    </row>
    <row r="338" customFormat="false" ht="15" hidden="false" customHeight="false" outlineLevel="0" collapsed="false">
      <c r="A338" s="4" t="n">
        <v>2031</v>
      </c>
      <c r="B338" s="24" t="n">
        <v>42154778.1</v>
      </c>
      <c r="C338" s="24" t="n">
        <v>8029481.5</v>
      </c>
      <c r="D338" s="24" t="n">
        <v>752763894.5</v>
      </c>
    </row>
    <row r="339" customFormat="false" ht="15" hidden="false" customHeight="false" outlineLevel="0" collapsed="false">
      <c r="A339" s="4" t="n">
        <v>2032</v>
      </c>
      <c r="B339" s="24" t="n">
        <v>45342052.2</v>
      </c>
      <c r="C339" s="24" t="n">
        <v>8244009.5</v>
      </c>
      <c r="D339" s="24" t="n">
        <v>770814887.3</v>
      </c>
    </row>
    <row r="340" customFormat="false" ht="15" hidden="false" customHeight="false" outlineLevel="0" collapsed="false">
      <c r="A340" s="4" t="n">
        <v>2033</v>
      </c>
      <c r="B340" s="24" t="n">
        <v>75827308.6</v>
      </c>
      <c r="C340" s="24" t="n">
        <v>8169686.1</v>
      </c>
      <c r="D340" s="24" t="n">
        <v>761823230.8</v>
      </c>
    </row>
    <row r="341" customFormat="false" ht="15" hidden="false" customHeight="false" outlineLevel="0" collapsed="false">
      <c r="A341" s="4" t="n">
        <v>2034</v>
      </c>
      <c r="B341" s="24" t="n">
        <v>107436262.2</v>
      </c>
      <c r="C341" s="24" t="n">
        <v>8082211.2</v>
      </c>
      <c r="D341" s="24" t="n">
        <v>751645642.9</v>
      </c>
    </row>
    <row r="342" customFormat="false" ht="15" hidden="false" customHeight="false" outlineLevel="0" collapsed="false">
      <c r="A342" s="4" t="n">
        <v>2035</v>
      </c>
      <c r="B342" s="24" t="n">
        <v>140155691.5</v>
      </c>
      <c r="C342" s="24" t="n">
        <v>7981149.3</v>
      </c>
      <c r="D342" s="24" t="n">
        <v>740251597.4</v>
      </c>
    </row>
    <row r="343" customFormat="false" ht="15" hidden="false" customHeight="false" outlineLevel="0" collapsed="false">
      <c r="A343" s="4" t="n">
        <v>2036</v>
      </c>
      <c r="B343" s="24" t="n">
        <v>173967947.9</v>
      </c>
      <c r="C343" s="24" t="n">
        <v>7866078.4</v>
      </c>
      <c r="D343" s="24" t="n">
        <v>727612248.8</v>
      </c>
    </row>
    <row r="344" customFormat="false" ht="15" hidden="false" customHeight="false" outlineLevel="0" collapsed="false">
      <c r="A344" s="4" t="n">
        <v>2037</v>
      </c>
      <c r="B344" s="24" t="n">
        <v>208850663.5</v>
      </c>
      <c r="C344" s="24" t="n">
        <v>7736595.7</v>
      </c>
      <c r="D344" s="24" t="n">
        <v>713700950.6</v>
      </c>
    </row>
    <row r="345" customFormat="false" ht="15" hidden="false" customHeight="false" outlineLevel="0" collapsed="false">
      <c r="A345" s="4" t="n">
        <v>2038</v>
      </c>
      <c r="B345" s="24" t="n">
        <v>244776563.4</v>
      </c>
      <c r="C345" s="24" t="n">
        <v>7592325.2</v>
      </c>
      <c r="D345" s="24" t="n">
        <v>698493915.4</v>
      </c>
    </row>
    <row r="346" customFormat="false" ht="15" hidden="false" customHeight="false" outlineLevel="0" collapsed="false">
      <c r="A346" s="4" t="n">
        <v>2039</v>
      </c>
      <c r="B346" s="24" t="n">
        <v>281713073.8</v>
      </c>
      <c r="C346" s="24" t="n">
        <v>7432916.5</v>
      </c>
      <c r="D346" s="24" t="n">
        <v>681970086.5</v>
      </c>
    </row>
    <row r="347" customFormat="false" ht="15" hidden="false" customHeight="false" outlineLevel="0" collapsed="false">
      <c r="A347" s="4" t="n">
        <v>2040</v>
      </c>
      <c r="B347" s="24" t="n">
        <v>319622103.4</v>
      </c>
      <c r="C347" s="24" t="n">
        <v>7258051.5</v>
      </c>
      <c r="D347" s="24" t="n">
        <v>664111716</v>
      </c>
    </row>
    <row r="348" customFormat="false" ht="15" hidden="false" customHeight="false" outlineLevel="0" collapsed="false">
      <c r="A348" s="4" t="n">
        <v>2041</v>
      </c>
      <c r="B348" s="24" t="n">
        <v>358639157.3</v>
      </c>
      <c r="C348" s="24" t="n">
        <v>7070985.3</v>
      </c>
      <c r="D348" s="24" t="n">
        <v>645227412.3</v>
      </c>
    </row>
    <row r="349" customFormat="false" ht="15" hidden="false" customHeight="false" outlineLevel="0" collapsed="false">
      <c r="A349" s="4" t="n">
        <v>2042</v>
      </c>
      <c r="B349" s="24" t="n">
        <v>398774076.4</v>
      </c>
      <c r="C349" s="24" t="n">
        <v>6871168.9</v>
      </c>
      <c r="D349" s="24" t="n">
        <v>625276372.6</v>
      </c>
    </row>
    <row r="350" customFormat="false" ht="15" hidden="false" customHeight="false" outlineLevel="0" collapsed="false">
      <c r="A350" s="4" t="n">
        <v>2043</v>
      </c>
      <c r="B350" s="24" t="n">
        <v>440033270.4</v>
      </c>
      <c r="C350" s="24" t="n">
        <v>6658054.6</v>
      </c>
      <c r="D350" s="24" t="n">
        <v>604218457.9</v>
      </c>
    </row>
    <row r="351" customFormat="false" ht="15" hidden="false" customHeight="false" outlineLevel="0" collapsed="false">
      <c r="A351" s="4" t="n">
        <v>2044</v>
      </c>
      <c r="B351" s="24" t="n">
        <v>482418896.6</v>
      </c>
      <c r="C351" s="24" t="n">
        <v>6431093.2</v>
      </c>
      <c r="D351" s="24" t="n">
        <v>582013934.5</v>
      </c>
    </row>
    <row r="352" customFormat="false" ht="15" hidden="false" customHeight="false" outlineLevel="0" collapsed="false">
      <c r="A352" s="4" t="n">
        <v>2045</v>
      </c>
      <c r="B352" s="24" t="n">
        <v>525928572.8</v>
      </c>
      <c r="C352" s="24" t="n">
        <v>6189742</v>
      </c>
      <c r="D352" s="24" t="n">
        <v>558624214.8</v>
      </c>
    </row>
    <row r="353" customFormat="false" ht="15" hidden="false" customHeight="false" outlineLevel="0" collapsed="false">
      <c r="A353" s="4" t="n">
        <v>2046</v>
      </c>
      <c r="B353" s="24" t="n">
        <v>570554876</v>
      </c>
      <c r="C353" s="24" t="n">
        <v>5933469.3</v>
      </c>
      <c r="D353" s="24" t="n">
        <v>534012239.5</v>
      </c>
    </row>
    <row r="354" customFormat="false" ht="15" hidden="false" customHeight="false" outlineLevel="0" collapsed="false">
      <c r="A354" s="4" t="n">
        <v>2047</v>
      </c>
      <c r="B354" s="24" t="n">
        <v>616286161.2</v>
      </c>
      <c r="C354" s="24" t="n">
        <v>5661771.6</v>
      </c>
      <c r="D354" s="24" t="n">
        <v>508144002.9</v>
      </c>
    </row>
    <row r="355" customFormat="false" ht="15" hidden="false" customHeight="false" outlineLevel="0" collapsed="false">
      <c r="A355" s="4" t="n">
        <v>2048</v>
      </c>
      <c r="B355" s="24" t="n">
        <v>663104245</v>
      </c>
      <c r="C355" s="24" t="n">
        <v>5374157.1</v>
      </c>
      <c r="D355" s="24" t="n">
        <v>480987058.1</v>
      </c>
    </row>
    <row r="356" customFormat="false" ht="15" hidden="false" customHeight="false" outlineLevel="0" collapsed="false">
      <c r="A356" s="4" t="n">
        <v>2049</v>
      </c>
      <c r="B356" s="24" t="n">
        <v>710984400.9</v>
      </c>
      <c r="C356" s="24" t="n">
        <v>5070159</v>
      </c>
      <c r="D356" s="24" t="n">
        <v>452511694.1</v>
      </c>
    </row>
    <row r="357" customFormat="false" ht="15" hidden="false" customHeight="false" outlineLevel="0" collapsed="false">
      <c r="A357" s="4" t="n">
        <v>2050</v>
      </c>
      <c r="B357" s="24" t="n">
        <v>759895102.4</v>
      </c>
      <c r="C357" s="24" t="n">
        <v>4749344.4</v>
      </c>
      <c r="D357" s="24" t="n">
        <v>422691650.7</v>
      </c>
    </row>
    <row r="359" customFormat="false" ht="15" hidden="false" customHeight="false" outlineLevel="0" collapsed="false">
      <c r="A359" s="10" t="s">
        <v>239</v>
      </c>
      <c r="B359" s="12"/>
      <c r="C359" s="12"/>
      <c r="D359" s="12"/>
    </row>
    <row r="360" customFormat="false" ht="15" hidden="false" customHeight="false" outlineLevel="0" collapsed="false">
      <c r="A360" s="3" t="s">
        <v>113</v>
      </c>
      <c r="B360" s="3" t="s">
        <v>227</v>
      </c>
      <c r="C360" s="3" t="s">
        <v>228</v>
      </c>
      <c r="D360" s="3" t="s">
        <v>229</v>
      </c>
      <c r="E360" s="3" t="s">
        <v>58</v>
      </c>
    </row>
    <row r="361" customFormat="false" ht="15" hidden="false" customHeight="false" outlineLevel="0" collapsed="false">
      <c r="A361" s="4" t="n">
        <v>2023</v>
      </c>
      <c r="B361" s="25" t="n">
        <f aca="false">B330/60000</f>
        <v>338.047748333333</v>
      </c>
      <c r="C361" s="25" t="n">
        <f aca="false">C330/60000</f>
        <v>104.014691666667</v>
      </c>
      <c r="D361" s="25" t="n">
        <f aca="false">D330/60000</f>
        <v>9959.40676166667</v>
      </c>
      <c r="E361" s="26" t="n">
        <f aca="false">SUM(B361:D361)</f>
        <v>10401.4692016667</v>
      </c>
    </row>
    <row r="362" customFormat="false" ht="15" hidden="false" customHeight="false" outlineLevel="0" collapsed="false">
      <c r="A362" s="4" t="n">
        <v>2024</v>
      </c>
      <c r="B362" s="25" t="n">
        <f aca="false">B331/60000</f>
        <v>379.095296666667</v>
      </c>
      <c r="C362" s="25" t="n">
        <f aca="false">C331/60000</f>
        <v>108.312941666667</v>
      </c>
      <c r="D362" s="25" t="n">
        <f aca="false">D331/60000</f>
        <v>10343.88594</v>
      </c>
      <c r="E362" s="26" t="n">
        <f aca="false">SUM(B362:D362)</f>
        <v>10831.2941783333</v>
      </c>
    </row>
    <row r="363" customFormat="false" ht="15" hidden="false" customHeight="false" outlineLevel="0" collapsed="false">
      <c r="A363" s="4" t="n">
        <v>2025</v>
      </c>
      <c r="B363" s="25" t="n">
        <f aca="false">B332/60000</f>
        <v>423.871156666667</v>
      </c>
      <c r="C363" s="25" t="n">
        <f aca="false">C332/60000</f>
        <v>113.032308333333</v>
      </c>
      <c r="D363" s="25" t="n">
        <f aca="false">D332/60000</f>
        <v>10766.327395</v>
      </c>
      <c r="E363" s="26" t="n">
        <f aca="false">SUM(B363:D363)</f>
        <v>11303.23086</v>
      </c>
    </row>
    <row r="364" customFormat="false" ht="15" hidden="false" customHeight="false" outlineLevel="0" collapsed="false">
      <c r="A364" s="4" t="n">
        <v>2026</v>
      </c>
      <c r="B364" s="25" t="n">
        <f aca="false">B333/60000</f>
        <v>465.270895</v>
      </c>
      <c r="C364" s="25" t="n">
        <f aca="false">C333/60000</f>
        <v>116.317723333333</v>
      </c>
      <c r="D364" s="25" t="n">
        <f aca="false">D333/60000</f>
        <v>11050.183755</v>
      </c>
      <c r="E364" s="26" t="n">
        <f aca="false">SUM(B364:D364)</f>
        <v>11631.7723733333</v>
      </c>
    </row>
    <row r="365" customFormat="false" ht="15" hidden="false" customHeight="false" outlineLevel="0" collapsed="false">
      <c r="A365" s="4" t="n">
        <v>2027</v>
      </c>
      <c r="B365" s="25" t="n">
        <f aca="false">B334/60000</f>
        <v>508.716515</v>
      </c>
      <c r="C365" s="25" t="n">
        <f aca="false">C334/60000</f>
        <v>119.698003333333</v>
      </c>
      <c r="D365" s="25" t="n">
        <f aca="false">D334/60000</f>
        <v>11341.3858233333</v>
      </c>
      <c r="E365" s="26" t="n">
        <f aca="false">SUM(B365:D365)</f>
        <v>11969.8003416667</v>
      </c>
    </row>
    <row r="366" customFormat="false" ht="15" hidden="false" customHeight="false" outlineLevel="0" collapsed="false">
      <c r="A366" s="4" t="n">
        <v>2028</v>
      </c>
      <c r="B366" s="25" t="n">
        <f aca="false">B335/60000</f>
        <v>554.074131666667</v>
      </c>
      <c r="C366" s="25" t="n">
        <f aca="false">C335/60000</f>
        <v>123.127585</v>
      </c>
      <c r="D366" s="25" t="n">
        <f aca="false">D335/60000</f>
        <v>11635.5567766667</v>
      </c>
      <c r="E366" s="26" t="n">
        <f aca="false">SUM(B366:D366)</f>
        <v>12312.7584933333</v>
      </c>
    </row>
    <row r="367" customFormat="false" ht="15" hidden="false" customHeight="false" outlineLevel="0" collapsed="false">
      <c r="A367" s="4" t="n">
        <v>2029</v>
      </c>
      <c r="B367" s="25" t="n">
        <f aca="false">B336/60000</f>
        <v>601.742293333333</v>
      </c>
      <c r="C367" s="25" t="n">
        <f aca="false">C336/60000</f>
        <v>126.682588333333</v>
      </c>
      <c r="D367" s="25" t="n">
        <f aca="false">D336/60000</f>
        <v>11939.8339183333</v>
      </c>
      <c r="E367" s="26" t="n">
        <f aca="false">SUM(B367:D367)</f>
        <v>12668.2588</v>
      </c>
    </row>
    <row r="368" customFormat="false" ht="15" hidden="false" customHeight="false" outlineLevel="0" collapsed="false">
      <c r="A368" s="4" t="n">
        <v>2030</v>
      </c>
      <c r="B368" s="25" t="n">
        <f aca="false">B337/60000</f>
        <v>651.250781666667</v>
      </c>
      <c r="C368" s="25" t="n">
        <f aca="false">C337/60000</f>
        <v>130.250156666667</v>
      </c>
      <c r="D368" s="25" t="n">
        <f aca="false">D337/60000</f>
        <v>12243.514685</v>
      </c>
      <c r="E368" s="26" t="n">
        <f aca="false">SUM(B368:D368)</f>
        <v>13025.0156233333</v>
      </c>
    </row>
    <row r="369" customFormat="false" ht="15" hidden="false" customHeight="false" outlineLevel="0" collapsed="false">
      <c r="A369" s="4" t="n">
        <v>2031</v>
      </c>
      <c r="B369" s="25" t="n">
        <f aca="false">B338/60000</f>
        <v>702.579635</v>
      </c>
      <c r="C369" s="25" t="n">
        <f aca="false">C338/60000</f>
        <v>133.824691666667</v>
      </c>
      <c r="D369" s="25" t="n">
        <f aca="false">D338/60000</f>
        <v>12546.0649083333</v>
      </c>
      <c r="E369" s="26" t="n">
        <f aca="false">SUM(B369:D369)</f>
        <v>13382.469235</v>
      </c>
    </row>
    <row r="370" customFormat="false" ht="15" hidden="false" customHeight="false" outlineLevel="0" collapsed="false">
      <c r="A370" s="4" t="n">
        <v>2032</v>
      </c>
      <c r="B370" s="25" t="n">
        <f aca="false">B339/60000</f>
        <v>755.70087</v>
      </c>
      <c r="C370" s="25" t="n">
        <f aca="false">C339/60000</f>
        <v>137.400158333333</v>
      </c>
      <c r="D370" s="25" t="n">
        <f aca="false">D339/60000</f>
        <v>12846.9147883333</v>
      </c>
      <c r="E370" s="26" t="n">
        <f aca="false">SUM(B370:D370)</f>
        <v>13740.0158166667</v>
      </c>
    </row>
    <row r="371" customFormat="false" ht="15" hidden="false" customHeight="false" outlineLevel="0" collapsed="false">
      <c r="A371" s="4" t="n">
        <v>2033</v>
      </c>
      <c r="B371" s="25" t="n">
        <f aca="false">B340/60000</f>
        <v>1263.78847666667</v>
      </c>
      <c r="C371" s="25" t="n">
        <f aca="false">C340/60000</f>
        <v>136.161435</v>
      </c>
      <c r="D371" s="25" t="n">
        <f aca="false">D340/60000</f>
        <v>12697.0538466667</v>
      </c>
      <c r="E371" s="26" t="n">
        <f aca="false">SUM(B371:D371)</f>
        <v>14097.0037583333</v>
      </c>
    </row>
    <row r="372" customFormat="false" ht="15" hidden="false" customHeight="false" outlineLevel="0" collapsed="false">
      <c r="A372" s="4" t="n">
        <v>2034</v>
      </c>
      <c r="B372" s="25" t="n">
        <f aca="false">B341/60000</f>
        <v>1790.60437</v>
      </c>
      <c r="C372" s="25" t="n">
        <f aca="false">C341/60000</f>
        <v>134.70352</v>
      </c>
      <c r="D372" s="25" t="n">
        <f aca="false">D341/60000</f>
        <v>12527.4273816667</v>
      </c>
      <c r="E372" s="26" t="n">
        <f aca="false">SUM(B372:D372)</f>
        <v>14452.7352716667</v>
      </c>
    </row>
    <row r="373" customFormat="false" ht="15" hidden="false" customHeight="false" outlineLevel="0" collapsed="false">
      <c r="A373" s="4" t="n">
        <v>2035</v>
      </c>
      <c r="B373" s="25" t="n">
        <f aca="false">B342/60000</f>
        <v>2335.92819166667</v>
      </c>
      <c r="C373" s="25" t="n">
        <f aca="false">C342/60000</f>
        <v>133.019155</v>
      </c>
      <c r="D373" s="25" t="n">
        <f aca="false">D342/60000</f>
        <v>12337.5266233333</v>
      </c>
      <c r="E373" s="26" t="n">
        <f aca="false">SUM(B373:D373)</f>
        <v>14806.47397</v>
      </c>
    </row>
    <row r="374" customFormat="false" ht="15" hidden="false" customHeight="false" outlineLevel="0" collapsed="false">
      <c r="A374" s="4" t="n">
        <v>2036</v>
      </c>
      <c r="B374" s="25" t="n">
        <f aca="false">B343/60000</f>
        <v>2899.46579833333</v>
      </c>
      <c r="C374" s="25" t="n">
        <f aca="false">C343/60000</f>
        <v>131.101306666667</v>
      </c>
      <c r="D374" s="25" t="n">
        <f aca="false">D343/60000</f>
        <v>12126.8708133333</v>
      </c>
      <c r="E374" s="26" t="n">
        <f aca="false">SUM(B374:D374)</f>
        <v>15157.4379183333</v>
      </c>
    </row>
    <row r="375" customFormat="false" ht="15" hidden="false" customHeight="false" outlineLevel="0" collapsed="false">
      <c r="A375" s="4" t="n">
        <v>2037</v>
      </c>
      <c r="B375" s="25" t="n">
        <f aca="false">B344/60000</f>
        <v>3480.84439166667</v>
      </c>
      <c r="C375" s="25" t="n">
        <f aca="false">C344/60000</f>
        <v>128.943261666667</v>
      </c>
      <c r="D375" s="25" t="n">
        <f aca="false">D344/60000</f>
        <v>11895.0158433333</v>
      </c>
      <c r="E375" s="26" t="n">
        <f aca="false">SUM(B375:D375)</f>
        <v>15504.8034966667</v>
      </c>
    </row>
    <row r="376" customFormat="false" ht="15" hidden="false" customHeight="false" outlineLevel="0" collapsed="false">
      <c r="A376" s="4" t="n">
        <v>2038</v>
      </c>
      <c r="B376" s="25" t="n">
        <f aca="false">B345/60000</f>
        <v>4079.60939</v>
      </c>
      <c r="C376" s="25" t="n">
        <f aca="false">C345/60000</f>
        <v>126.538753333333</v>
      </c>
      <c r="D376" s="25" t="n">
        <f aca="false">D345/60000</f>
        <v>11641.5652566667</v>
      </c>
      <c r="E376" s="26" t="n">
        <f aca="false">SUM(B376:D376)</f>
        <v>15847.7134</v>
      </c>
    </row>
    <row r="377" customFormat="false" ht="15" hidden="false" customHeight="false" outlineLevel="0" collapsed="false">
      <c r="A377" s="4" t="n">
        <v>2039</v>
      </c>
      <c r="B377" s="25" t="n">
        <f aca="false">B346/60000</f>
        <v>4695.21789666667</v>
      </c>
      <c r="C377" s="25" t="n">
        <f aca="false">C346/60000</f>
        <v>123.881941666667</v>
      </c>
      <c r="D377" s="25" t="n">
        <f aca="false">D346/60000</f>
        <v>11366.1681083333</v>
      </c>
      <c r="E377" s="26" t="n">
        <f aca="false">SUM(B377:D377)</f>
        <v>16185.2679466667</v>
      </c>
    </row>
    <row r="378" customFormat="false" ht="15" hidden="false" customHeight="false" outlineLevel="0" collapsed="false">
      <c r="A378" s="4" t="n">
        <v>2040</v>
      </c>
      <c r="B378" s="25" t="n">
        <f aca="false">B347/60000</f>
        <v>5327.03505666667</v>
      </c>
      <c r="C378" s="25" t="n">
        <f aca="false">C347/60000</f>
        <v>120.967525</v>
      </c>
      <c r="D378" s="25" t="n">
        <f aca="false">D347/60000</f>
        <v>11068.5286</v>
      </c>
      <c r="E378" s="26" t="n">
        <f aca="false">SUM(B378:D378)</f>
        <v>16516.5311816667</v>
      </c>
    </row>
    <row r="379" customFormat="false" ht="15" hidden="false" customHeight="false" outlineLevel="0" collapsed="false">
      <c r="A379" s="4" t="n">
        <v>2041</v>
      </c>
      <c r="B379" s="25" t="n">
        <f aca="false">B348/60000</f>
        <v>5977.31928833333</v>
      </c>
      <c r="C379" s="25" t="n">
        <f aca="false">C348/60000</f>
        <v>117.849755</v>
      </c>
      <c r="D379" s="25" t="n">
        <f aca="false">D348/60000</f>
        <v>10753.790205</v>
      </c>
      <c r="E379" s="26" t="n">
        <f aca="false">SUM(B379:D379)</f>
        <v>16848.9592483333</v>
      </c>
    </row>
    <row r="380" customFormat="false" ht="15" hidden="false" customHeight="false" outlineLevel="0" collapsed="false">
      <c r="A380" s="4" t="n">
        <v>2042</v>
      </c>
      <c r="B380" s="25" t="n">
        <f aca="false">B349/60000</f>
        <v>6646.23460666667</v>
      </c>
      <c r="C380" s="25" t="n">
        <f aca="false">C349/60000</f>
        <v>114.519481666667</v>
      </c>
      <c r="D380" s="25" t="n">
        <f aca="false">D349/60000</f>
        <v>10421.2728766667</v>
      </c>
      <c r="E380" s="26" t="n">
        <f aca="false">SUM(B380:D380)</f>
        <v>17182.026965</v>
      </c>
    </row>
    <row r="381" customFormat="false" ht="15" hidden="false" customHeight="false" outlineLevel="0" collapsed="false">
      <c r="A381" s="4" t="n">
        <v>2043</v>
      </c>
      <c r="B381" s="25" t="n">
        <f aca="false">B350/60000</f>
        <v>7333.88784</v>
      </c>
      <c r="C381" s="25" t="n">
        <f aca="false">C350/60000</f>
        <v>110.967576666667</v>
      </c>
      <c r="D381" s="25" t="n">
        <f aca="false">D350/60000</f>
        <v>10070.3076316667</v>
      </c>
      <c r="E381" s="26" t="n">
        <f aca="false">SUM(B381:D381)</f>
        <v>17515.1630483333</v>
      </c>
    </row>
    <row r="382" customFormat="false" ht="15" hidden="false" customHeight="false" outlineLevel="0" collapsed="false">
      <c r="A382" s="4" t="n">
        <v>2044</v>
      </c>
      <c r="B382" s="25" t="n">
        <f aca="false">B351/60000</f>
        <v>8040.31494333333</v>
      </c>
      <c r="C382" s="25" t="n">
        <f aca="false">C351/60000</f>
        <v>107.184886666667</v>
      </c>
      <c r="D382" s="25" t="n">
        <f aca="false">D351/60000</f>
        <v>9700.23224166667</v>
      </c>
      <c r="E382" s="26" t="n">
        <f aca="false">SUM(B382:D382)</f>
        <v>17847.7320716667</v>
      </c>
    </row>
    <row r="383" customFormat="false" ht="15" hidden="false" customHeight="false" outlineLevel="0" collapsed="false">
      <c r="A383" s="4" t="n">
        <v>2045</v>
      </c>
      <c r="B383" s="25" t="n">
        <f aca="false">B352/60000</f>
        <v>8765.47621333333</v>
      </c>
      <c r="C383" s="25" t="n">
        <f aca="false">C352/60000</f>
        <v>103.162366666667</v>
      </c>
      <c r="D383" s="25" t="n">
        <f aca="false">D352/60000</f>
        <v>9310.40358</v>
      </c>
      <c r="E383" s="26" t="n">
        <f aca="false">SUM(B383:D383)</f>
        <v>18179.04216</v>
      </c>
    </row>
    <row r="384" customFormat="false" ht="15" hidden="false" customHeight="false" outlineLevel="0" collapsed="false">
      <c r="A384" s="4" t="n">
        <v>2046</v>
      </c>
      <c r="B384" s="25" t="n">
        <f aca="false">B353/60000</f>
        <v>9509.24793333333</v>
      </c>
      <c r="C384" s="25" t="n">
        <f aca="false">C353/60000</f>
        <v>98.891155</v>
      </c>
      <c r="D384" s="25" t="n">
        <f aca="false">D353/60000</f>
        <v>8900.20399166667</v>
      </c>
      <c r="E384" s="26" t="n">
        <f aca="false">SUM(B384:D384)</f>
        <v>18508.34308</v>
      </c>
    </row>
    <row r="385" customFormat="false" ht="15" hidden="false" customHeight="false" outlineLevel="0" collapsed="false">
      <c r="A385" s="4" t="n">
        <v>2047</v>
      </c>
      <c r="B385" s="25" t="n">
        <f aca="false">B354/60000</f>
        <v>10271.43602</v>
      </c>
      <c r="C385" s="25" t="n">
        <f aca="false">C354/60000</f>
        <v>94.36286</v>
      </c>
      <c r="D385" s="25" t="n">
        <f aca="false">D354/60000</f>
        <v>8469.066715</v>
      </c>
      <c r="E385" s="26" t="n">
        <f aca="false">SUM(B385:D385)</f>
        <v>18834.865595</v>
      </c>
    </row>
    <row r="386" customFormat="false" ht="15" hidden="false" customHeight="false" outlineLevel="0" collapsed="false">
      <c r="A386" s="4" t="n">
        <v>2048</v>
      </c>
      <c r="B386" s="25" t="n">
        <f aca="false">B355/60000</f>
        <v>11051.7374166667</v>
      </c>
      <c r="C386" s="25" t="n">
        <f aca="false">C355/60000</f>
        <v>89.569285</v>
      </c>
      <c r="D386" s="25" t="n">
        <f aca="false">D355/60000</f>
        <v>8016.45096833333</v>
      </c>
      <c r="E386" s="26" t="n">
        <f aca="false">SUM(B386:D386)</f>
        <v>19157.75767</v>
      </c>
    </row>
    <row r="387" customFormat="false" ht="15" hidden="false" customHeight="false" outlineLevel="0" collapsed="false">
      <c r="A387" s="4" t="n">
        <v>2049</v>
      </c>
      <c r="B387" s="25" t="n">
        <f aca="false">B356/60000</f>
        <v>11849.740015</v>
      </c>
      <c r="C387" s="25" t="n">
        <f aca="false">C356/60000</f>
        <v>84.50265</v>
      </c>
      <c r="D387" s="25" t="n">
        <f aca="false">D356/60000</f>
        <v>7541.86156833333</v>
      </c>
      <c r="E387" s="26" t="n">
        <f aca="false">SUM(B387:D387)</f>
        <v>19476.1042333333</v>
      </c>
    </row>
    <row r="388" customFormat="false" ht="15" hidden="false" customHeight="false" outlineLevel="0" collapsed="false">
      <c r="A388" s="4" t="n">
        <v>2050</v>
      </c>
      <c r="B388" s="25" t="n">
        <f aca="false">B357/60000</f>
        <v>12664.9183733333</v>
      </c>
      <c r="C388" s="25" t="n">
        <f aca="false">C357/60000</f>
        <v>79.15574</v>
      </c>
      <c r="D388" s="25" t="n">
        <f aca="false">D357/60000</f>
        <v>7044.860845</v>
      </c>
      <c r="E388" s="26" t="n">
        <f aca="false">SUM(B388:D388)</f>
        <v>19788.9349583333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3" t="s">
        <v>240</v>
      </c>
    </row>
    <row r="2" customFormat="false" ht="15" hidden="false" customHeight="false" outlineLevel="0" collapsed="false">
      <c r="A2" s="22" t="s">
        <v>241</v>
      </c>
    </row>
    <row r="3" customFormat="false" ht="26.85" hidden="false" customHeight="false" outlineLevel="0" collapsed="false">
      <c r="A3" s="3" t="s">
        <v>113</v>
      </c>
      <c r="B3" s="3" t="s">
        <v>137</v>
      </c>
      <c r="C3" s="3" t="s">
        <v>242</v>
      </c>
      <c r="D3" s="3" t="s">
        <v>136</v>
      </c>
      <c r="E3" s="3" t="s">
        <v>138</v>
      </c>
      <c r="F3" s="3" t="s">
        <v>141</v>
      </c>
      <c r="G3" s="3" t="s">
        <v>140</v>
      </c>
      <c r="H3" s="3" t="s">
        <v>139</v>
      </c>
      <c r="I3" s="3" t="s">
        <v>135</v>
      </c>
      <c r="J3" s="3" t="s">
        <v>142</v>
      </c>
      <c r="K3" s="3" t="s">
        <v>134</v>
      </c>
    </row>
    <row r="4" customFormat="false" ht="15" hidden="false" customHeight="false" outlineLevel="0" collapsed="false">
      <c r="A4" s="4" t="n">
        <v>2018</v>
      </c>
      <c r="B4" s="27" t="n">
        <v>0.002</v>
      </c>
      <c r="C4" s="27" t="n">
        <v>0.416</v>
      </c>
      <c r="D4" s="27" t="n">
        <v>88.131</v>
      </c>
      <c r="E4" s="27" t="n">
        <v>14.215</v>
      </c>
      <c r="F4" s="27" t="n">
        <v>2.843</v>
      </c>
      <c r="G4" s="27" t="n">
        <v>1.421</v>
      </c>
      <c r="H4" s="27" t="n">
        <v>7.107</v>
      </c>
      <c r="I4" s="27" t="n">
        <v>6.325</v>
      </c>
      <c r="J4" s="27" t="n">
        <v>0.013</v>
      </c>
      <c r="K4" s="27" t="n">
        <v>21.688</v>
      </c>
    </row>
    <row r="5" customFormat="false" ht="15" hidden="false" customHeight="false" outlineLevel="0" collapsed="false">
      <c r="A5" s="4" t="n">
        <v>2019</v>
      </c>
      <c r="B5" s="27" t="n">
        <v>0.004</v>
      </c>
      <c r="C5" s="27" t="n">
        <v>0.715</v>
      </c>
      <c r="D5" s="27" t="n">
        <v>101.254</v>
      </c>
      <c r="E5" s="27" t="n">
        <v>16.331</v>
      </c>
      <c r="F5" s="27" t="n">
        <v>3.266</v>
      </c>
      <c r="G5" s="27" t="n">
        <v>1.633</v>
      </c>
      <c r="H5" s="27" t="n">
        <v>8.166</v>
      </c>
      <c r="I5" s="27" t="n">
        <v>6.533</v>
      </c>
      <c r="J5" s="27" t="n">
        <v>0.02</v>
      </c>
      <c r="K5" s="27" t="n">
        <v>25.415</v>
      </c>
    </row>
    <row r="6" customFormat="false" ht="15" hidden="false" customHeight="false" outlineLevel="0" collapsed="false">
      <c r="A6" s="4" t="n">
        <v>2020</v>
      </c>
      <c r="B6" s="27" t="n">
        <v>0.005</v>
      </c>
      <c r="C6" s="27" t="n">
        <v>0.123</v>
      </c>
      <c r="D6" s="27" t="n">
        <v>97.353</v>
      </c>
      <c r="E6" s="27" t="n">
        <v>15.702</v>
      </c>
      <c r="F6" s="27" t="n">
        <v>3.14</v>
      </c>
      <c r="G6" s="27" t="n">
        <v>1.57</v>
      </c>
      <c r="H6" s="27" t="n">
        <v>7.851</v>
      </c>
      <c r="I6" s="27" t="n">
        <v>7.142</v>
      </c>
      <c r="J6" s="27" t="n">
        <v>0.026</v>
      </c>
      <c r="K6" s="27" t="n">
        <v>24.139</v>
      </c>
    </row>
    <row r="7" customFormat="false" ht="15" hidden="false" customHeight="false" outlineLevel="0" collapsed="false">
      <c r="A7" s="4" t="n">
        <v>2021</v>
      </c>
      <c r="B7" s="27" t="n">
        <v>0.008</v>
      </c>
      <c r="C7" s="27" t="n">
        <v>1.006</v>
      </c>
      <c r="D7" s="27" t="n">
        <v>103.496</v>
      </c>
      <c r="E7" s="27" t="n">
        <v>16.693</v>
      </c>
      <c r="F7" s="27" t="n">
        <v>3.339</v>
      </c>
      <c r="G7" s="27" t="n">
        <v>1.669</v>
      </c>
      <c r="H7" s="27" t="n">
        <v>8.346</v>
      </c>
      <c r="I7" s="27" t="n">
        <v>7.341</v>
      </c>
      <c r="J7" s="27" t="n">
        <v>0.034</v>
      </c>
      <c r="K7" s="27" t="n">
        <v>25.039</v>
      </c>
    </row>
    <row r="8" customFormat="false" ht="15" hidden="false" customHeight="false" outlineLevel="0" collapsed="false">
      <c r="A8" s="4" t="n">
        <v>2022</v>
      </c>
      <c r="B8" s="27" t="n">
        <v>0.01</v>
      </c>
      <c r="C8" s="27" t="n">
        <v>1.157</v>
      </c>
      <c r="D8" s="27" t="n">
        <v>105.117</v>
      </c>
      <c r="E8" s="27" t="n">
        <v>16.954</v>
      </c>
      <c r="F8" s="27" t="n">
        <v>3.391</v>
      </c>
      <c r="G8" s="27" t="n">
        <v>1.695</v>
      </c>
      <c r="H8" s="27" t="n">
        <v>8.477</v>
      </c>
      <c r="I8" s="27" t="n">
        <v>7.321</v>
      </c>
      <c r="J8" s="27" t="n">
        <v>0.034</v>
      </c>
      <c r="K8" s="27" t="n">
        <v>25.431</v>
      </c>
    </row>
    <row r="9" customFormat="false" ht="15" hidden="false" customHeight="false" outlineLevel="0" collapsed="false">
      <c r="A9" s="4" t="n">
        <v>2023</v>
      </c>
      <c r="B9" s="27" t="n">
        <v>0.012</v>
      </c>
      <c r="C9" s="27" t="n">
        <v>1.744</v>
      </c>
      <c r="D9" s="27" t="n">
        <v>111.274</v>
      </c>
      <c r="E9" s="27" t="n">
        <v>17.947</v>
      </c>
      <c r="F9" s="27" t="n">
        <v>3.589</v>
      </c>
      <c r="G9" s="27" t="n">
        <v>1.795</v>
      </c>
      <c r="H9" s="27" t="n">
        <v>8.974</v>
      </c>
      <c r="I9" s="27" t="n">
        <v>7.23</v>
      </c>
      <c r="J9" s="27" t="n">
        <v>0.034</v>
      </c>
      <c r="K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0.016</v>
      </c>
      <c r="C10" s="27" t="n">
        <v>1.762</v>
      </c>
      <c r="D10" s="27" t="n">
        <v>113.453</v>
      </c>
      <c r="E10" s="27" t="n">
        <v>18.299</v>
      </c>
      <c r="F10" s="27" t="n">
        <v>3.66</v>
      </c>
      <c r="G10" s="27" t="n">
        <v>1.94</v>
      </c>
      <c r="H10" s="27" t="n">
        <v>9.149</v>
      </c>
      <c r="I10" s="27" t="n">
        <v>9.68</v>
      </c>
      <c r="J10" s="27" t="n">
        <v>0.034</v>
      </c>
      <c r="K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0.02</v>
      </c>
      <c r="C11" s="27" t="n">
        <v>1.601</v>
      </c>
      <c r="D11" s="27" t="n">
        <v>113.763</v>
      </c>
      <c r="E11" s="27" t="n">
        <v>18.349</v>
      </c>
      <c r="F11" s="27" t="n">
        <v>3.67</v>
      </c>
      <c r="G11" s="27" t="n">
        <v>1.938</v>
      </c>
      <c r="H11" s="27" t="n">
        <v>9.174</v>
      </c>
      <c r="I11" s="27" t="n">
        <v>12.385</v>
      </c>
      <c r="J11" s="27" t="n">
        <v>0.034</v>
      </c>
      <c r="K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0.108</v>
      </c>
      <c r="C12" s="27" t="n">
        <v>1.963</v>
      </c>
      <c r="D12" s="27" t="n">
        <v>111.073</v>
      </c>
      <c r="E12" s="27" t="n">
        <v>17.915</v>
      </c>
      <c r="F12" s="27" t="n">
        <v>3.583</v>
      </c>
      <c r="G12" s="27" t="n">
        <v>1.963</v>
      </c>
      <c r="H12" s="27" t="n">
        <v>8.957</v>
      </c>
      <c r="I12" s="27" t="n">
        <v>15.569</v>
      </c>
      <c r="J12" s="27" t="n">
        <v>0.034</v>
      </c>
      <c r="K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0.209</v>
      </c>
      <c r="C13" s="27" t="n">
        <v>0.884</v>
      </c>
      <c r="D13" s="27" t="n">
        <v>104.94</v>
      </c>
      <c r="E13" s="27" t="n">
        <v>16.926</v>
      </c>
      <c r="F13" s="27" t="n">
        <v>3.385</v>
      </c>
      <c r="G13" s="27" t="n">
        <v>1.98</v>
      </c>
      <c r="H13" s="27" t="n">
        <v>8.463</v>
      </c>
      <c r="I13" s="27" t="n">
        <v>20.867</v>
      </c>
      <c r="J13" s="27" t="n">
        <v>0.034</v>
      </c>
      <c r="K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0.323</v>
      </c>
      <c r="C14" s="27" t="n">
        <v>0.541</v>
      </c>
      <c r="D14" s="27" t="n">
        <v>90.413</v>
      </c>
      <c r="E14" s="27" t="n">
        <v>14.583</v>
      </c>
      <c r="F14" s="27" t="n">
        <v>4.376</v>
      </c>
      <c r="G14" s="27" t="n">
        <v>2</v>
      </c>
      <c r="H14" s="27" t="n">
        <v>7.291</v>
      </c>
      <c r="I14" s="27" t="n">
        <v>32.381</v>
      </c>
      <c r="J14" s="27" t="n">
        <v>0.034</v>
      </c>
      <c r="K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0.452</v>
      </c>
      <c r="C15" s="27" t="n">
        <v>0</v>
      </c>
      <c r="D15" s="27" t="n">
        <v>62.627</v>
      </c>
      <c r="E15" s="27" t="n">
        <v>10.101</v>
      </c>
      <c r="F15" s="27" t="n">
        <v>4.042</v>
      </c>
      <c r="G15" s="27" t="n">
        <v>2.02</v>
      </c>
      <c r="H15" s="27" t="n">
        <v>5.051</v>
      </c>
      <c r="I15" s="27" t="n">
        <v>53.536</v>
      </c>
      <c r="J15" s="27" t="n">
        <v>0.034</v>
      </c>
      <c r="K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0.597</v>
      </c>
      <c r="C16" s="27" t="n">
        <v>0</v>
      </c>
      <c r="D16" s="27" t="n">
        <v>34.62</v>
      </c>
      <c r="E16" s="27" t="n">
        <v>5.584</v>
      </c>
      <c r="F16" s="27" t="n">
        <v>3.186</v>
      </c>
      <c r="G16" s="27" t="n">
        <v>2.061</v>
      </c>
      <c r="H16" s="27" t="n">
        <v>2.792</v>
      </c>
      <c r="I16" s="27" t="n">
        <v>75.878</v>
      </c>
      <c r="J16" s="27" t="n">
        <v>0.034</v>
      </c>
      <c r="K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0.758</v>
      </c>
      <c r="C17" s="27" t="n">
        <v>0</v>
      </c>
      <c r="D17" s="27" t="n">
        <v>19.424</v>
      </c>
      <c r="E17" s="27" t="n">
        <v>3.133</v>
      </c>
      <c r="F17" s="27" t="n">
        <v>2.823</v>
      </c>
      <c r="G17" s="27" t="n">
        <v>2.157</v>
      </c>
      <c r="H17" s="27" t="n">
        <v>1.566</v>
      </c>
      <c r="I17" s="27" t="n">
        <v>91.574</v>
      </c>
      <c r="J17" s="27" t="n">
        <v>0.035</v>
      </c>
      <c r="K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0.938</v>
      </c>
      <c r="C18" s="27" t="n">
        <v>0</v>
      </c>
      <c r="D18" s="27" t="n">
        <v>12.019</v>
      </c>
      <c r="E18" s="27" t="n">
        <v>1.938</v>
      </c>
      <c r="F18" s="27" t="n">
        <v>2.675</v>
      </c>
      <c r="G18" s="27" t="n">
        <v>2.219</v>
      </c>
      <c r="H18" s="27" t="n">
        <v>0.969</v>
      </c>
      <c r="I18" s="27" t="n">
        <v>100.001</v>
      </c>
      <c r="J18" s="27" t="n">
        <v>0.035</v>
      </c>
      <c r="K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1.137</v>
      </c>
      <c r="C19" s="27" t="n">
        <v>0</v>
      </c>
      <c r="D19" s="27" t="n">
        <v>7.755</v>
      </c>
      <c r="E19" s="27" t="n">
        <v>1.251</v>
      </c>
      <c r="F19" s="27" t="n">
        <v>2.73</v>
      </c>
      <c r="G19" s="27" t="n">
        <v>2.354</v>
      </c>
      <c r="H19" s="27" t="n">
        <v>0.625</v>
      </c>
      <c r="I19" s="27" t="n">
        <v>109.724</v>
      </c>
      <c r="J19" s="27" t="n">
        <v>0.036</v>
      </c>
      <c r="K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1.356</v>
      </c>
      <c r="C20" s="27" t="n">
        <v>0</v>
      </c>
      <c r="D20" s="27" t="n">
        <v>3.984</v>
      </c>
      <c r="E20" s="27" t="n">
        <v>0.643</v>
      </c>
      <c r="F20" s="27" t="n">
        <v>2.582</v>
      </c>
      <c r="G20" s="27" t="n">
        <v>2.76</v>
      </c>
      <c r="H20" s="27" t="n">
        <v>0.321</v>
      </c>
      <c r="I20" s="27" t="n">
        <v>119.833</v>
      </c>
      <c r="J20" s="27" t="n">
        <v>0.036</v>
      </c>
      <c r="K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1.598</v>
      </c>
      <c r="C21" s="27" t="n">
        <v>0</v>
      </c>
      <c r="D21" s="27" t="n">
        <v>0</v>
      </c>
      <c r="E21" s="27" t="n">
        <v>0</v>
      </c>
      <c r="F21" s="27" t="n">
        <v>1.067</v>
      </c>
      <c r="G21" s="27" t="n">
        <v>4.61</v>
      </c>
      <c r="H21" s="27" t="n">
        <v>0</v>
      </c>
      <c r="I21" s="27" t="n">
        <v>131.452</v>
      </c>
      <c r="J21" s="27" t="n">
        <v>0.037</v>
      </c>
      <c r="K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1.639</v>
      </c>
      <c r="C22" s="27" t="n">
        <v>0</v>
      </c>
      <c r="D22" s="27" t="n">
        <v>0</v>
      </c>
      <c r="E22" s="27" t="n">
        <v>0</v>
      </c>
      <c r="F22" s="27" t="n">
        <v>1.156</v>
      </c>
      <c r="G22" s="27" t="n">
        <v>4.808</v>
      </c>
      <c r="H22" s="27" t="n">
        <v>0</v>
      </c>
      <c r="I22" s="27" t="n">
        <v>137.844</v>
      </c>
      <c r="J22" s="27" t="n">
        <v>0.038</v>
      </c>
      <c r="K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1.681</v>
      </c>
      <c r="C23" s="27" t="n">
        <v>0.077</v>
      </c>
      <c r="D23" s="27" t="n">
        <v>0</v>
      </c>
      <c r="E23" s="27" t="n">
        <v>0</v>
      </c>
      <c r="F23" s="27" t="n">
        <v>1.179</v>
      </c>
      <c r="G23" s="27" t="n">
        <v>5.015</v>
      </c>
      <c r="H23" s="27" t="n">
        <v>0</v>
      </c>
      <c r="I23" s="27" t="n">
        <v>144.783</v>
      </c>
      <c r="J23" s="27" t="n">
        <v>0.038</v>
      </c>
      <c r="K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1.724</v>
      </c>
      <c r="C24" s="27" t="n">
        <v>0.134</v>
      </c>
      <c r="D24" s="27" t="n">
        <v>0</v>
      </c>
      <c r="E24" s="27" t="n">
        <v>0</v>
      </c>
      <c r="F24" s="27" t="n">
        <v>1.216</v>
      </c>
      <c r="G24" s="27" t="n">
        <v>5.217</v>
      </c>
      <c r="H24" s="27" t="n">
        <v>0</v>
      </c>
      <c r="I24" s="27" t="n">
        <v>151.45</v>
      </c>
      <c r="J24" s="27" t="n">
        <v>0.039</v>
      </c>
      <c r="K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1.767</v>
      </c>
      <c r="C25" s="27" t="n">
        <v>0.257</v>
      </c>
      <c r="D25" s="27" t="n">
        <v>0</v>
      </c>
      <c r="E25" s="27" t="n">
        <v>0</v>
      </c>
      <c r="F25" s="27" t="n">
        <v>1.173</v>
      </c>
      <c r="G25" s="27" t="n">
        <v>5.409</v>
      </c>
      <c r="H25" s="27" t="n">
        <v>0</v>
      </c>
      <c r="I25" s="27" t="n">
        <v>157.503</v>
      </c>
      <c r="J25" s="27" t="n">
        <v>0.04</v>
      </c>
      <c r="K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1.81</v>
      </c>
      <c r="C26" s="27" t="n">
        <v>0.283</v>
      </c>
      <c r="D26" s="27" t="n">
        <v>0</v>
      </c>
      <c r="E26" s="27" t="n">
        <v>0</v>
      </c>
      <c r="F26" s="27" t="n">
        <v>1.204</v>
      </c>
      <c r="G26" s="27" t="n">
        <v>5.572</v>
      </c>
      <c r="H26" s="27" t="n">
        <v>0</v>
      </c>
      <c r="I26" s="27" t="n">
        <v>162.415</v>
      </c>
      <c r="J26" s="27" t="n">
        <v>0.041</v>
      </c>
      <c r="K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1.855</v>
      </c>
      <c r="C27" s="27" t="n">
        <v>0.283</v>
      </c>
      <c r="D27" s="27" t="n">
        <v>0</v>
      </c>
      <c r="E27" s="27" t="n">
        <v>0</v>
      </c>
      <c r="F27" s="27" t="n">
        <v>1.287</v>
      </c>
      <c r="G27" s="27" t="n">
        <v>5.787</v>
      </c>
      <c r="H27" s="27" t="n">
        <v>0</v>
      </c>
      <c r="I27" s="27" t="n">
        <v>168.638</v>
      </c>
      <c r="J27" s="27" t="n">
        <v>0.041</v>
      </c>
      <c r="K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1.9</v>
      </c>
      <c r="C28" s="27" t="n">
        <v>0.283</v>
      </c>
      <c r="D28" s="27" t="n">
        <v>0</v>
      </c>
      <c r="E28" s="27" t="n">
        <v>0</v>
      </c>
      <c r="F28" s="27" t="n">
        <v>1.335</v>
      </c>
      <c r="G28" s="27" t="n">
        <v>5.95</v>
      </c>
      <c r="H28" s="27" t="n">
        <v>0</v>
      </c>
      <c r="I28" s="27" t="n">
        <v>173.245</v>
      </c>
      <c r="J28" s="27" t="n">
        <v>0.042</v>
      </c>
      <c r="K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1.946</v>
      </c>
      <c r="C29" s="27" t="n">
        <v>0.283</v>
      </c>
      <c r="D29" s="27" t="n">
        <v>0</v>
      </c>
      <c r="E29" s="27" t="n">
        <v>0</v>
      </c>
      <c r="F29" s="27" t="n">
        <v>1.344</v>
      </c>
      <c r="G29" s="27" t="n">
        <v>6.049</v>
      </c>
      <c r="H29" s="27" t="n">
        <v>0</v>
      </c>
      <c r="I29" s="27" t="n">
        <v>175.977</v>
      </c>
      <c r="J29" s="27" t="n">
        <v>0.043</v>
      </c>
      <c r="K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1.993</v>
      </c>
      <c r="C30" s="27" t="n">
        <v>0.223</v>
      </c>
      <c r="D30" s="27" t="n">
        <v>0</v>
      </c>
      <c r="E30" s="27" t="n">
        <v>0</v>
      </c>
      <c r="F30" s="27" t="n">
        <v>1.449</v>
      </c>
      <c r="G30" s="27" t="n">
        <v>6.211</v>
      </c>
      <c r="H30" s="27" t="n">
        <v>0</v>
      </c>
      <c r="I30" s="27" t="n">
        <v>180.521</v>
      </c>
      <c r="J30" s="27" t="n">
        <v>0.044</v>
      </c>
      <c r="K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2.041</v>
      </c>
      <c r="C31" s="27" t="n">
        <v>0.049</v>
      </c>
      <c r="D31" s="27" t="n">
        <v>0</v>
      </c>
      <c r="E31" s="27" t="n">
        <v>0</v>
      </c>
      <c r="F31" s="27" t="n">
        <v>1.665</v>
      </c>
      <c r="G31" s="27" t="n">
        <v>6.372</v>
      </c>
      <c r="H31" s="27" t="n">
        <v>0</v>
      </c>
      <c r="I31" s="27" t="n">
        <v>184.939</v>
      </c>
      <c r="J31" s="27" t="n">
        <v>0.045</v>
      </c>
      <c r="K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2.091</v>
      </c>
      <c r="C32" s="27" t="n">
        <v>0.049</v>
      </c>
      <c r="D32" s="27" t="n">
        <v>0</v>
      </c>
      <c r="E32" s="27" t="n">
        <v>0</v>
      </c>
      <c r="F32" s="27" t="n">
        <v>1.709</v>
      </c>
      <c r="G32" s="27" t="n">
        <v>6.536</v>
      </c>
      <c r="H32" s="27" t="n">
        <v>0</v>
      </c>
      <c r="I32" s="27" t="n">
        <v>189.54</v>
      </c>
      <c r="J32" s="27" t="n">
        <v>0.046</v>
      </c>
      <c r="K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2.141</v>
      </c>
      <c r="C33" s="27" t="n">
        <v>0.049</v>
      </c>
      <c r="D33" s="27" t="n">
        <v>0</v>
      </c>
      <c r="E33" s="27" t="n">
        <v>0</v>
      </c>
      <c r="F33" s="27" t="n">
        <v>1.75</v>
      </c>
      <c r="G33" s="27" t="n">
        <v>6.698</v>
      </c>
      <c r="H33" s="27" t="n">
        <v>0</v>
      </c>
      <c r="I33" s="27" t="n">
        <v>194.035</v>
      </c>
      <c r="J33" s="27" t="n">
        <v>0.047</v>
      </c>
      <c r="K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2.193</v>
      </c>
      <c r="C34" s="27" t="n">
        <v>0.049</v>
      </c>
      <c r="D34" s="27" t="n">
        <v>0</v>
      </c>
      <c r="E34" s="27" t="n">
        <v>0</v>
      </c>
      <c r="F34" s="27" t="n">
        <v>1.788</v>
      </c>
      <c r="G34" s="27" t="n">
        <v>6.858</v>
      </c>
      <c r="H34" s="27" t="n">
        <v>0</v>
      </c>
      <c r="I34" s="27" t="n">
        <v>198.457</v>
      </c>
      <c r="J34" s="27" t="n">
        <v>0.048</v>
      </c>
      <c r="K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2.246</v>
      </c>
      <c r="C35" s="27" t="n">
        <v>0.049</v>
      </c>
      <c r="D35" s="27" t="n">
        <v>0</v>
      </c>
      <c r="E35" s="27" t="n">
        <v>0</v>
      </c>
      <c r="F35" s="27" t="n">
        <v>1.822</v>
      </c>
      <c r="G35" s="27" t="n">
        <v>7.015</v>
      </c>
      <c r="H35" s="27" t="n">
        <v>0</v>
      </c>
      <c r="I35" s="27" t="n">
        <v>202.761</v>
      </c>
      <c r="J35" s="27" t="n">
        <v>0.05</v>
      </c>
      <c r="K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2.3</v>
      </c>
      <c r="C36" s="27" t="n">
        <v>0.049</v>
      </c>
      <c r="D36" s="27" t="n">
        <v>0</v>
      </c>
      <c r="E36" s="27" t="n">
        <v>0</v>
      </c>
      <c r="F36" s="27" t="n">
        <v>1.855</v>
      </c>
      <c r="G36" s="27" t="n">
        <v>7.172</v>
      </c>
      <c r="H36" s="27" t="n">
        <v>0</v>
      </c>
      <c r="I36" s="27" t="n">
        <v>207.032</v>
      </c>
      <c r="J36" s="27" t="n">
        <v>0.051</v>
      </c>
      <c r="K36" s="27" t="n">
        <v>207.032</v>
      </c>
    </row>
    <row r="38" customFormat="false" ht="15" hidden="false" customHeight="false" outlineLevel="0" collapsed="false">
      <c r="A38" s="13" t="s">
        <v>243</v>
      </c>
    </row>
    <row r="39" customFormat="false" ht="26.85" hidden="false" customHeight="false" outlineLevel="0" collapsed="false">
      <c r="A39" s="3" t="s">
        <v>113</v>
      </c>
      <c r="B39" s="3" t="s">
        <v>244</v>
      </c>
      <c r="C39" s="3" t="s">
        <v>245</v>
      </c>
      <c r="D39" s="3" t="s">
        <v>246</v>
      </c>
      <c r="E39" s="3" t="s">
        <v>247</v>
      </c>
    </row>
    <row r="40" customFormat="false" ht="15" hidden="false" customHeight="false" outlineLevel="0" collapsed="false">
      <c r="A40" s="4" t="n">
        <v>2018</v>
      </c>
      <c r="B40" s="27" t="n">
        <v>0</v>
      </c>
      <c r="C40" s="27" t="n">
        <v>0</v>
      </c>
      <c r="D40" s="27" t="n">
        <v>0</v>
      </c>
      <c r="E40" s="27" t="n">
        <v>0</v>
      </c>
    </row>
    <row r="41" customFormat="false" ht="15" hidden="false" customHeight="false" outlineLevel="0" collapsed="false">
      <c r="A41" s="4" t="n">
        <v>2019</v>
      </c>
      <c r="B41" s="27" t="n">
        <v>0</v>
      </c>
      <c r="C41" s="27" t="n">
        <v>0</v>
      </c>
      <c r="D41" s="27" t="n">
        <v>0</v>
      </c>
      <c r="E41" s="27" t="n">
        <v>0</v>
      </c>
    </row>
    <row r="42" customFormat="false" ht="15" hidden="false" customHeight="false" outlineLevel="0" collapsed="false">
      <c r="A42" s="4" t="n">
        <v>2020</v>
      </c>
      <c r="B42" s="27" t="n">
        <v>0</v>
      </c>
      <c r="C42" s="27" t="n">
        <v>0</v>
      </c>
      <c r="D42" s="27" t="n">
        <v>0</v>
      </c>
      <c r="E42" s="27" t="n">
        <v>0</v>
      </c>
    </row>
    <row r="43" customFormat="false" ht="15" hidden="false" customHeight="false" outlineLevel="0" collapsed="false">
      <c r="A43" s="4" t="n">
        <v>2021</v>
      </c>
      <c r="B43" s="27" t="n">
        <v>0</v>
      </c>
      <c r="C43" s="27" t="n">
        <v>0</v>
      </c>
      <c r="D43" s="27" t="n">
        <v>0</v>
      </c>
      <c r="E43" s="27" t="n">
        <v>0</v>
      </c>
    </row>
    <row r="44" customFormat="false" ht="15" hidden="false" customHeight="false" outlineLevel="0" collapsed="false">
      <c r="A44" s="4" t="n">
        <v>2022</v>
      </c>
      <c r="B44" s="27" t="n">
        <v>0</v>
      </c>
      <c r="C44" s="27" t="n">
        <v>0</v>
      </c>
      <c r="D44" s="27" t="n">
        <v>0</v>
      </c>
      <c r="E44" s="27" t="n">
        <v>0</v>
      </c>
    </row>
    <row r="45" customFormat="false" ht="15" hidden="false" customHeight="false" outlineLevel="0" collapsed="false">
      <c r="A45" s="4" t="n">
        <v>2023</v>
      </c>
      <c r="B45" s="27" t="n">
        <v>0</v>
      </c>
      <c r="C45" s="27" t="n">
        <v>0</v>
      </c>
      <c r="D45" s="27" t="n">
        <v>0</v>
      </c>
      <c r="E45" s="27" t="n">
        <v>0</v>
      </c>
    </row>
    <row r="46" customFormat="false" ht="15" hidden="false" customHeight="false" outlineLevel="0" collapsed="false">
      <c r="A46" s="4" t="n">
        <v>2024</v>
      </c>
      <c r="B46" s="27" t="n">
        <v>0</v>
      </c>
      <c r="C46" s="27" t="n">
        <v>0</v>
      </c>
      <c r="D46" s="27" t="n">
        <v>0</v>
      </c>
      <c r="E46" s="27" t="n">
        <v>0</v>
      </c>
    </row>
    <row r="47" customFormat="false" ht="15" hidden="false" customHeight="false" outlineLevel="0" collapsed="false">
      <c r="A47" s="4" t="n">
        <v>2025</v>
      </c>
      <c r="B47" s="27" t="n">
        <v>0.002</v>
      </c>
      <c r="C47" s="27" t="n">
        <v>0</v>
      </c>
      <c r="D47" s="27" t="n">
        <v>0</v>
      </c>
      <c r="E47" s="27" t="n">
        <v>0</v>
      </c>
    </row>
    <row r="48" customFormat="false" ht="15" hidden="false" customHeight="false" outlineLevel="0" collapsed="false">
      <c r="A48" s="4" t="n">
        <v>2026</v>
      </c>
      <c r="B48" s="27" t="n">
        <v>0.14</v>
      </c>
      <c r="C48" s="27" t="n">
        <v>0</v>
      </c>
      <c r="D48" s="27" t="n">
        <v>0</v>
      </c>
      <c r="E48" s="27" t="n">
        <v>0</v>
      </c>
    </row>
    <row r="49" customFormat="false" ht="15" hidden="false" customHeight="false" outlineLevel="0" collapsed="false">
      <c r="A49" s="4" t="n">
        <v>2027</v>
      </c>
      <c r="B49" s="27" t="n">
        <v>0</v>
      </c>
      <c r="C49" s="27" t="n">
        <v>0</v>
      </c>
      <c r="D49" s="27" t="n">
        <v>0</v>
      </c>
      <c r="E49" s="27" t="n">
        <v>0</v>
      </c>
    </row>
    <row r="50" customFormat="false" ht="15" hidden="false" customHeight="false" outlineLevel="0" collapsed="false">
      <c r="A50" s="4" t="n">
        <v>2028</v>
      </c>
      <c r="B50" s="27" t="n">
        <v>0</v>
      </c>
      <c r="C50" s="27" t="n">
        <v>0</v>
      </c>
      <c r="D50" s="27" t="n">
        <v>0</v>
      </c>
      <c r="E50" s="27" t="n">
        <v>0</v>
      </c>
    </row>
    <row r="51" customFormat="false" ht="15" hidden="false" customHeight="false" outlineLevel="0" collapsed="false">
      <c r="A51" s="4" t="n">
        <v>2029</v>
      </c>
      <c r="B51" s="27" t="n">
        <v>0</v>
      </c>
      <c r="C51" s="27" t="n">
        <v>0</v>
      </c>
      <c r="D51" s="27" t="n">
        <v>0</v>
      </c>
      <c r="E51" s="27" t="n">
        <v>0</v>
      </c>
    </row>
    <row r="52" customFormat="false" ht="15" hidden="false" customHeight="false" outlineLevel="0" collapsed="false">
      <c r="A52" s="4" t="n">
        <v>2030</v>
      </c>
      <c r="B52" s="27" t="n">
        <v>0</v>
      </c>
      <c r="C52" s="27" t="n">
        <v>0</v>
      </c>
      <c r="D52" s="27" t="n">
        <v>0</v>
      </c>
      <c r="E52" s="27" t="n">
        <v>0</v>
      </c>
    </row>
    <row r="53" customFormat="false" ht="15" hidden="false" customHeight="false" outlineLevel="0" collapsed="false">
      <c r="A53" s="4" t="n">
        <v>2031</v>
      </c>
      <c r="B53" s="27" t="n">
        <v>0</v>
      </c>
      <c r="C53" s="27" t="n">
        <v>0</v>
      </c>
      <c r="D53" s="27" t="n">
        <v>0</v>
      </c>
      <c r="E53" s="27" t="n">
        <v>0</v>
      </c>
    </row>
    <row r="54" customFormat="false" ht="15" hidden="false" customHeight="false" outlineLevel="0" collapsed="false">
      <c r="A54" s="4" t="n">
        <v>2032</v>
      </c>
      <c r="B54" s="27" t="n">
        <v>5.044</v>
      </c>
      <c r="C54" s="27" t="n">
        <v>0</v>
      </c>
      <c r="D54" s="27" t="n">
        <v>0</v>
      </c>
      <c r="E54" s="27" t="n">
        <v>0</v>
      </c>
    </row>
    <row r="55" customFormat="false" ht="15" hidden="false" customHeight="false" outlineLevel="0" collapsed="false">
      <c r="A55" s="4" t="n">
        <v>2033</v>
      </c>
      <c r="B55" s="27" t="n">
        <v>15.847</v>
      </c>
      <c r="C55" s="27" t="n">
        <v>0</v>
      </c>
      <c r="D55" s="27" t="n">
        <v>0</v>
      </c>
      <c r="E55" s="27" t="n">
        <v>0</v>
      </c>
    </row>
    <row r="56" customFormat="false" ht="15" hidden="false" customHeight="false" outlineLevel="0" collapsed="false">
      <c r="A56" s="4" t="n">
        <v>2034</v>
      </c>
      <c r="B56" s="27" t="n">
        <v>24.987</v>
      </c>
      <c r="C56" s="27" t="n">
        <v>3.399</v>
      </c>
      <c r="D56" s="27" t="n">
        <v>0</v>
      </c>
      <c r="E56" s="27" t="n">
        <v>0</v>
      </c>
    </row>
    <row r="57" customFormat="false" ht="15" hidden="false" customHeight="false" outlineLevel="0" collapsed="false">
      <c r="A57" s="4" t="n">
        <v>2035</v>
      </c>
      <c r="B57" s="27" t="n">
        <v>25.292</v>
      </c>
      <c r="C57" s="27" t="n">
        <v>16.172</v>
      </c>
      <c r="D57" s="27" t="n">
        <v>0</v>
      </c>
      <c r="E57" s="27" t="n">
        <v>1.365</v>
      </c>
    </row>
    <row r="58" customFormat="false" ht="15" hidden="false" customHeight="false" outlineLevel="0" collapsed="false">
      <c r="A58" s="4" t="n">
        <v>2036</v>
      </c>
      <c r="B58" s="27" t="n">
        <v>25.58</v>
      </c>
      <c r="C58" s="27" t="n">
        <v>17.025</v>
      </c>
      <c r="D58" s="27" t="n">
        <v>0</v>
      </c>
      <c r="E58" s="27" t="n">
        <v>2.561</v>
      </c>
    </row>
    <row r="59" customFormat="false" ht="15" hidden="false" customHeight="false" outlineLevel="0" collapsed="false">
      <c r="A59" s="4" t="n">
        <v>2037</v>
      </c>
      <c r="B59" s="27" t="n">
        <v>25.992</v>
      </c>
      <c r="C59" s="27" t="n">
        <v>17.522</v>
      </c>
      <c r="D59" s="27" t="n">
        <v>0</v>
      </c>
      <c r="E59" s="27" t="n">
        <v>4.1</v>
      </c>
    </row>
    <row r="60" customFormat="false" ht="15" hidden="false" customHeight="false" outlineLevel="0" collapsed="false">
      <c r="A60" s="4" t="n">
        <v>2038</v>
      </c>
      <c r="B60" s="27" t="n">
        <v>26.484</v>
      </c>
      <c r="C60" s="27" t="n">
        <v>17.791</v>
      </c>
      <c r="D60" s="27" t="n">
        <v>0</v>
      </c>
      <c r="E60" s="27" t="n">
        <v>5.663</v>
      </c>
    </row>
    <row r="61" customFormat="false" ht="15" hidden="false" customHeight="false" outlineLevel="0" collapsed="false">
      <c r="A61" s="4" t="n">
        <v>2039</v>
      </c>
      <c r="B61" s="27" t="n">
        <v>26.384</v>
      </c>
      <c r="C61" s="27" t="n">
        <v>19.847</v>
      </c>
      <c r="D61" s="27" t="n">
        <v>0</v>
      </c>
      <c r="E61" s="27" t="n">
        <v>6.398</v>
      </c>
    </row>
    <row r="62" customFormat="false" ht="15" hidden="false" customHeight="false" outlineLevel="0" collapsed="false">
      <c r="A62" s="4" t="n">
        <v>2040</v>
      </c>
      <c r="B62" s="27" t="n">
        <v>26.317</v>
      </c>
      <c r="C62" s="27" t="n">
        <v>20.608</v>
      </c>
      <c r="D62" s="27" t="n">
        <v>0</v>
      </c>
      <c r="E62" s="27" t="n">
        <v>6.468</v>
      </c>
    </row>
    <row r="63" customFormat="false" ht="15" hidden="false" customHeight="false" outlineLevel="0" collapsed="false">
      <c r="A63" s="4" t="n">
        <v>2041</v>
      </c>
      <c r="B63" s="27" t="n">
        <v>26.229</v>
      </c>
      <c r="C63" s="27" t="n">
        <v>21.033</v>
      </c>
      <c r="D63" s="27" t="n">
        <v>0</v>
      </c>
      <c r="E63" s="27" t="n">
        <v>6.989</v>
      </c>
    </row>
    <row r="64" customFormat="false" ht="15" hidden="false" customHeight="false" outlineLevel="0" collapsed="false">
      <c r="A64" s="4" t="n">
        <v>2042</v>
      </c>
      <c r="B64" s="27" t="n">
        <v>26.159</v>
      </c>
      <c r="C64" s="27" t="n">
        <v>21.666</v>
      </c>
      <c r="D64" s="27" t="n">
        <v>0</v>
      </c>
      <c r="E64" s="27" t="n">
        <v>7.934</v>
      </c>
    </row>
    <row r="65" customFormat="false" ht="15" hidden="false" customHeight="false" outlineLevel="0" collapsed="false">
      <c r="A65" s="4" t="n">
        <v>2043</v>
      </c>
      <c r="B65" s="27" t="n">
        <v>26.191</v>
      </c>
      <c r="C65" s="27" t="n">
        <v>22.042</v>
      </c>
      <c r="D65" s="27" t="n">
        <v>0</v>
      </c>
      <c r="E65" s="27" t="n">
        <v>8.53</v>
      </c>
    </row>
    <row r="66" customFormat="false" ht="15" hidden="false" customHeight="false" outlineLevel="0" collapsed="false">
      <c r="A66" s="4" t="n">
        <v>2044</v>
      </c>
      <c r="B66" s="27" t="n">
        <v>26.361</v>
      </c>
      <c r="C66" s="27" t="n">
        <v>22.653</v>
      </c>
      <c r="D66" s="27" t="n">
        <v>0</v>
      </c>
      <c r="E66" s="27" t="n">
        <v>9.476</v>
      </c>
    </row>
    <row r="67" customFormat="false" ht="15" hidden="false" customHeight="false" outlineLevel="0" collapsed="false">
      <c r="A67" s="4" t="n">
        <v>2045</v>
      </c>
      <c r="B67" s="27" t="n">
        <v>26.529</v>
      </c>
      <c r="C67" s="27" t="n">
        <v>23.184</v>
      </c>
      <c r="D67" s="27" t="n">
        <v>0</v>
      </c>
      <c r="E67" s="27" t="n">
        <v>10.471</v>
      </c>
    </row>
    <row r="68" customFormat="false" ht="15" hidden="false" customHeight="false" outlineLevel="0" collapsed="false">
      <c r="A68" s="4" t="n">
        <v>2046</v>
      </c>
      <c r="B68" s="27" t="n">
        <v>26.735</v>
      </c>
      <c r="C68" s="27" t="n">
        <v>23.568</v>
      </c>
      <c r="D68" s="27" t="n">
        <v>0</v>
      </c>
      <c r="E68" s="27" t="n">
        <v>11.548</v>
      </c>
    </row>
    <row r="69" customFormat="false" ht="15" hidden="false" customHeight="false" outlineLevel="0" collapsed="false">
      <c r="A69" s="4" t="n">
        <v>2047</v>
      </c>
      <c r="B69" s="27" t="n">
        <v>26.832</v>
      </c>
      <c r="C69" s="27" t="n">
        <v>23.946</v>
      </c>
      <c r="D69" s="27" t="n">
        <v>0</v>
      </c>
      <c r="E69" s="27" t="n">
        <v>12.361</v>
      </c>
    </row>
    <row r="70" customFormat="false" ht="15" hidden="false" customHeight="false" outlineLevel="0" collapsed="false">
      <c r="A70" s="4" t="n">
        <v>2048</v>
      </c>
      <c r="B70" s="27" t="n">
        <v>26.865</v>
      </c>
      <c r="C70" s="27" t="n">
        <v>24.232</v>
      </c>
      <c r="D70" s="27" t="n">
        <v>0</v>
      </c>
      <c r="E70" s="27" t="n">
        <v>13.101</v>
      </c>
    </row>
    <row r="71" customFormat="false" ht="15" hidden="false" customHeight="false" outlineLevel="0" collapsed="false">
      <c r="A71" s="4" t="n">
        <v>2049</v>
      </c>
      <c r="B71" s="27" t="n">
        <v>26.955</v>
      </c>
      <c r="C71" s="27" t="n">
        <v>24.68</v>
      </c>
      <c r="D71" s="27" t="n">
        <v>0</v>
      </c>
      <c r="E71" s="27" t="n">
        <v>13.091</v>
      </c>
    </row>
    <row r="72" customFormat="false" ht="15" hidden="false" customHeight="false" outlineLevel="0" collapsed="false">
      <c r="A72" s="4" t="n">
        <v>2050</v>
      </c>
      <c r="B72" s="27" t="n">
        <v>27.097</v>
      </c>
      <c r="C72" s="27" t="n">
        <v>24.75</v>
      </c>
      <c r="D72" s="27" t="n">
        <v>0</v>
      </c>
      <c r="E72" s="27" t="n">
        <v>13.424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248</v>
      </c>
    </row>
    <row r="2" customFormat="false" ht="15" hidden="false" customHeight="false" outlineLevel="0" collapsed="false">
      <c r="A2" s="22" t="s">
        <v>249</v>
      </c>
    </row>
    <row r="3" customFormat="false" ht="39.55" hidden="false" customHeight="false" outlineLevel="0" collapsed="false">
      <c r="A3" s="3" t="s">
        <v>113</v>
      </c>
      <c r="B3" s="3" t="s">
        <v>250</v>
      </c>
      <c r="C3" s="3" t="s">
        <v>251</v>
      </c>
      <c r="D3" s="3" t="s">
        <v>252</v>
      </c>
      <c r="E3" s="3" t="s">
        <v>253</v>
      </c>
      <c r="F3" s="3" t="s">
        <v>254</v>
      </c>
      <c r="G3" s="3" t="s">
        <v>255</v>
      </c>
      <c r="H3" s="3" t="s">
        <v>256</v>
      </c>
      <c r="I3" s="3" t="s">
        <v>257</v>
      </c>
      <c r="J3" s="3" t="s">
        <v>258</v>
      </c>
      <c r="K3" s="3" t="s">
        <v>259</v>
      </c>
      <c r="L3" s="3" t="s">
        <v>260</v>
      </c>
      <c r="M3" s="3" t="s">
        <v>261</v>
      </c>
      <c r="N3" s="3" t="s">
        <v>262</v>
      </c>
      <c r="O3" s="3" t="s">
        <v>263</v>
      </c>
      <c r="P3" s="3" t="s">
        <v>264</v>
      </c>
      <c r="Q3" s="3" t="s">
        <v>265</v>
      </c>
      <c r="R3" s="3" t="s">
        <v>266</v>
      </c>
      <c r="S3" s="3" t="s">
        <v>267</v>
      </c>
      <c r="T3" s="3" t="s">
        <v>268</v>
      </c>
      <c r="U3" s="3" t="s">
        <v>269</v>
      </c>
      <c r="V3" s="3" t="s">
        <v>270</v>
      </c>
      <c r="W3" s="3" t="s">
        <v>271</v>
      </c>
      <c r="X3" s="3" t="s">
        <v>272</v>
      </c>
      <c r="Y3" s="3" t="s">
        <v>273</v>
      </c>
      <c r="Z3" s="3" t="s">
        <v>274</v>
      </c>
    </row>
    <row r="4" customFormat="false" ht="15" hidden="false" customHeight="false" outlineLevel="0" collapsed="false">
      <c r="A4" s="4" t="n">
        <v>2018</v>
      </c>
      <c r="B4" s="27" t="n">
        <v>0</v>
      </c>
      <c r="C4" s="27" t="n">
        <v>0</v>
      </c>
      <c r="D4" s="27" t="n">
        <v>0.007</v>
      </c>
      <c r="E4" s="27" t="n">
        <v>81.009</v>
      </c>
      <c r="F4" s="27" t="n">
        <v>401.216</v>
      </c>
      <c r="G4" s="27" t="n">
        <v>24.016</v>
      </c>
      <c r="H4" s="27" t="n">
        <v>0</v>
      </c>
      <c r="I4" s="27" t="n">
        <v>171.17</v>
      </c>
      <c r="J4" s="27" t="n">
        <v>118.686</v>
      </c>
      <c r="K4" s="27" t="n">
        <v>0</v>
      </c>
      <c r="L4" s="27" t="n">
        <v>77.367</v>
      </c>
      <c r="M4" s="27" t="n">
        <v>0</v>
      </c>
      <c r="N4" s="27" t="n">
        <v>156.208</v>
      </c>
      <c r="O4" s="27" t="n">
        <v>0</v>
      </c>
      <c r="P4" s="27" t="n">
        <v>42.804</v>
      </c>
      <c r="Q4" s="27" t="n">
        <v>33.868</v>
      </c>
      <c r="R4" s="27" t="n">
        <v>0</v>
      </c>
      <c r="S4" s="27" t="n">
        <v>526.469</v>
      </c>
      <c r="T4" s="27" t="n">
        <v>0</v>
      </c>
      <c r="U4" s="27" t="n">
        <v>49.126</v>
      </c>
      <c r="V4" s="27" t="n">
        <v>0</v>
      </c>
      <c r="W4" s="27" t="n">
        <v>6.325</v>
      </c>
      <c r="X4" s="27" t="n">
        <v>0.033</v>
      </c>
      <c r="Y4" s="27" t="n">
        <v>2.843</v>
      </c>
      <c r="Z4" s="27" t="n">
        <v>21.688</v>
      </c>
    </row>
    <row r="5" customFormat="false" ht="15" hidden="false" customHeight="false" outlineLevel="0" collapsed="false">
      <c r="A5" s="4" t="n">
        <v>2019</v>
      </c>
      <c r="B5" s="27" t="n">
        <v>0</v>
      </c>
      <c r="C5" s="27" t="n">
        <v>0</v>
      </c>
      <c r="D5" s="27" t="n">
        <v>0.011</v>
      </c>
      <c r="E5" s="27" t="n">
        <v>100.036</v>
      </c>
      <c r="F5" s="27" t="n">
        <v>460.873</v>
      </c>
      <c r="G5" s="27" t="n">
        <v>24.229</v>
      </c>
      <c r="H5" s="27" t="n">
        <v>0</v>
      </c>
      <c r="I5" s="27" t="n">
        <v>175.819</v>
      </c>
      <c r="J5" s="27" t="n">
        <v>136.364</v>
      </c>
      <c r="K5" s="27" t="n">
        <v>0</v>
      </c>
      <c r="L5" s="27" t="n">
        <v>79.152</v>
      </c>
      <c r="M5" s="27" t="n">
        <v>0</v>
      </c>
      <c r="N5" s="27" t="n">
        <v>191.231</v>
      </c>
      <c r="O5" s="27" t="n">
        <v>0</v>
      </c>
      <c r="P5" s="27" t="n">
        <v>44.783</v>
      </c>
      <c r="Q5" s="27" t="n">
        <v>38.592</v>
      </c>
      <c r="R5" s="27" t="n">
        <v>0</v>
      </c>
      <c r="S5" s="27" t="n">
        <v>604.864</v>
      </c>
      <c r="T5" s="27" t="n">
        <v>0</v>
      </c>
      <c r="U5" s="27" t="n">
        <v>52.405</v>
      </c>
      <c r="V5" s="27" t="n">
        <v>0</v>
      </c>
      <c r="W5" s="27" t="n">
        <v>6.533</v>
      </c>
      <c r="X5" s="27" t="n">
        <v>0.051</v>
      </c>
      <c r="Y5" s="27" t="n">
        <v>3.266</v>
      </c>
      <c r="Z5" s="27" t="n">
        <v>25.415</v>
      </c>
    </row>
    <row r="6" customFormat="false" ht="15" hidden="false" customHeight="false" outlineLevel="0" collapsed="false">
      <c r="A6" s="4" t="n">
        <v>2020</v>
      </c>
      <c r="B6" s="27" t="n">
        <v>0</v>
      </c>
      <c r="C6" s="27" t="n">
        <v>0</v>
      </c>
      <c r="D6" s="27" t="n">
        <v>0.014</v>
      </c>
      <c r="E6" s="27" t="n">
        <v>92.374</v>
      </c>
      <c r="F6" s="27" t="n">
        <v>443.125</v>
      </c>
      <c r="G6" s="27" t="n">
        <v>23.611</v>
      </c>
      <c r="H6" s="27" t="n">
        <v>0</v>
      </c>
      <c r="I6" s="27" t="n">
        <v>170.575</v>
      </c>
      <c r="J6" s="27" t="n">
        <v>131.117</v>
      </c>
      <c r="K6" s="27" t="n">
        <v>0</v>
      </c>
      <c r="L6" s="27" t="n">
        <v>78.768</v>
      </c>
      <c r="M6" s="27" t="n">
        <v>0</v>
      </c>
      <c r="N6" s="27" t="n">
        <v>190.542</v>
      </c>
      <c r="O6" s="27" t="n">
        <v>0</v>
      </c>
      <c r="P6" s="27" t="n">
        <v>23.348</v>
      </c>
      <c r="Q6" s="27" t="n">
        <v>37.135</v>
      </c>
      <c r="R6" s="27" t="n">
        <v>0</v>
      </c>
      <c r="S6" s="27" t="n">
        <v>581.56</v>
      </c>
      <c r="T6" s="27" t="n">
        <v>0</v>
      </c>
      <c r="U6" s="27" t="n">
        <v>50.765</v>
      </c>
      <c r="V6" s="27" t="n">
        <v>0</v>
      </c>
      <c r="W6" s="27" t="n">
        <v>7.142</v>
      </c>
      <c r="X6" s="27" t="n">
        <v>0.065</v>
      </c>
      <c r="Y6" s="27" t="n">
        <v>3.14</v>
      </c>
      <c r="Z6" s="27" t="n">
        <v>24.139</v>
      </c>
    </row>
    <row r="7" customFormat="false" ht="15" hidden="false" customHeight="false" outlineLevel="0" collapsed="false">
      <c r="A7" s="4" t="n">
        <v>2021</v>
      </c>
      <c r="B7" s="27" t="n">
        <v>0</v>
      </c>
      <c r="C7" s="27" t="n">
        <v>0</v>
      </c>
      <c r="D7" s="27" t="n">
        <v>0.023</v>
      </c>
      <c r="E7" s="27" t="n">
        <v>102.802</v>
      </c>
      <c r="F7" s="27" t="n">
        <v>471.064</v>
      </c>
      <c r="G7" s="27" t="n">
        <v>24.343</v>
      </c>
      <c r="H7" s="27" t="n">
        <v>0</v>
      </c>
      <c r="I7" s="27" t="n">
        <v>175.385</v>
      </c>
      <c r="J7" s="27" t="n">
        <v>139.397</v>
      </c>
      <c r="K7" s="27" t="n">
        <v>0</v>
      </c>
      <c r="L7" s="27" t="n">
        <v>80.774</v>
      </c>
      <c r="M7" s="27" t="n">
        <v>0</v>
      </c>
      <c r="N7" s="27" t="n">
        <v>201.678</v>
      </c>
      <c r="O7" s="27" t="n">
        <v>0</v>
      </c>
      <c r="P7" s="27" t="n">
        <v>38.951</v>
      </c>
      <c r="Q7" s="27" t="n">
        <v>39.406</v>
      </c>
      <c r="R7" s="27" t="n">
        <v>0</v>
      </c>
      <c r="S7" s="27" t="n">
        <v>618.254</v>
      </c>
      <c r="T7" s="27" t="n">
        <v>0</v>
      </c>
      <c r="U7" s="27" t="n">
        <v>53.059</v>
      </c>
      <c r="V7" s="27" t="n">
        <v>0</v>
      </c>
      <c r="W7" s="27" t="n">
        <v>7.341</v>
      </c>
      <c r="X7" s="27" t="n">
        <v>0.085</v>
      </c>
      <c r="Y7" s="27" t="n">
        <v>3.339</v>
      </c>
      <c r="Z7" s="27" t="n">
        <v>25.039</v>
      </c>
    </row>
    <row r="8" customFormat="false" ht="15" hidden="false" customHeight="false" outlineLevel="0" collapsed="false">
      <c r="A8" s="4" t="n">
        <v>2022</v>
      </c>
      <c r="B8" s="27" t="n">
        <v>0</v>
      </c>
      <c r="C8" s="27" t="n">
        <v>0</v>
      </c>
      <c r="D8" s="27" t="n">
        <v>0.03</v>
      </c>
      <c r="E8" s="27" t="n">
        <v>101.79</v>
      </c>
      <c r="F8" s="27" t="n">
        <v>478.433</v>
      </c>
      <c r="G8" s="27" t="n">
        <v>24.359</v>
      </c>
      <c r="H8" s="27" t="n">
        <v>0</v>
      </c>
      <c r="I8" s="27" t="n">
        <v>175.937</v>
      </c>
      <c r="J8" s="27" t="n">
        <v>141.581</v>
      </c>
      <c r="K8" s="27" t="n">
        <v>0</v>
      </c>
      <c r="L8" s="27" t="n">
        <v>81.088</v>
      </c>
      <c r="M8" s="27" t="n">
        <v>0.145</v>
      </c>
      <c r="N8" s="27" t="n">
        <v>198.616</v>
      </c>
      <c r="O8" s="27" t="n">
        <v>0.145</v>
      </c>
      <c r="P8" s="27" t="n">
        <v>39.099</v>
      </c>
      <c r="Q8" s="27" t="n">
        <v>54.366</v>
      </c>
      <c r="R8" s="27" t="n">
        <v>0</v>
      </c>
      <c r="S8" s="27" t="n">
        <v>627.937</v>
      </c>
      <c r="T8" s="27" t="n">
        <v>0</v>
      </c>
      <c r="U8" s="27" t="n">
        <v>53.451</v>
      </c>
      <c r="V8" s="27" t="n">
        <v>0</v>
      </c>
      <c r="W8" s="27" t="n">
        <v>7.321</v>
      </c>
      <c r="X8" s="27" t="n">
        <v>0.085</v>
      </c>
      <c r="Y8" s="27" t="n">
        <v>3.391</v>
      </c>
      <c r="Z8" s="27" t="n">
        <v>25.431</v>
      </c>
    </row>
    <row r="9" customFormat="false" ht="15" hidden="false" customHeight="false" outlineLevel="0" collapsed="false">
      <c r="A9" s="4" t="n">
        <v>2023</v>
      </c>
      <c r="B9" s="27" t="n">
        <v>0</v>
      </c>
      <c r="C9" s="27" t="n">
        <v>0</v>
      </c>
      <c r="D9" s="27" t="n">
        <v>0.037</v>
      </c>
      <c r="E9" s="27" t="n">
        <v>107.162</v>
      </c>
      <c r="F9" s="27" t="n">
        <v>506.427</v>
      </c>
      <c r="G9" s="27" t="n">
        <v>24.528</v>
      </c>
      <c r="H9" s="27" t="n">
        <v>0</v>
      </c>
      <c r="I9" s="27" t="n">
        <v>177.955</v>
      </c>
      <c r="J9" s="27" t="n">
        <v>149.875</v>
      </c>
      <c r="K9" s="27" t="n">
        <v>0</v>
      </c>
      <c r="L9" s="27" t="n">
        <v>81.968</v>
      </c>
      <c r="M9" s="27" t="n">
        <v>0.348</v>
      </c>
      <c r="N9" s="27" t="n">
        <v>201.806</v>
      </c>
      <c r="O9" s="27" t="n">
        <v>0.358</v>
      </c>
      <c r="P9" s="27" t="n">
        <v>39.351</v>
      </c>
      <c r="Q9" s="27" t="n">
        <v>76.835</v>
      </c>
      <c r="R9" s="27" t="n">
        <v>0</v>
      </c>
      <c r="S9" s="27" t="n">
        <v>664.722</v>
      </c>
      <c r="T9" s="27" t="n">
        <v>0</v>
      </c>
      <c r="U9" s="27" t="n">
        <v>55.073</v>
      </c>
      <c r="V9" s="27" t="n">
        <v>0</v>
      </c>
      <c r="W9" s="27" t="n">
        <v>7.23</v>
      </c>
      <c r="X9" s="27" t="n">
        <v>0.084</v>
      </c>
      <c r="Y9" s="27" t="n">
        <v>3.589</v>
      </c>
      <c r="Z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</v>
      </c>
      <c r="C10" s="27" t="n">
        <v>0</v>
      </c>
      <c r="D10" s="27" t="n">
        <v>0.047</v>
      </c>
      <c r="E10" s="27" t="n">
        <v>109.158</v>
      </c>
      <c r="F10" s="27" t="n">
        <v>516.343</v>
      </c>
      <c r="G10" s="27" t="n">
        <v>25.064</v>
      </c>
      <c r="H10" s="27" t="n">
        <v>0</v>
      </c>
      <c r="I10" s="27" t="n">
        <v>183.4</v>
      </c>
      <c r="J10" s="27" t="n">
        <v>156.832</v>
      </c>
      <c r="K10" s="27" t="n">
        <v>0</v>
      </c>
      <c r="L10" s="27" t="n">
        <v>84.656</v>
      </c>
      <c r="M10" s="27" t="n">
        <v>0.538</v>
      </c>
      <c r="N10" s="27" t="n">
        <v>202.821</v>
      </c>
      <c r="O10" s="27" t="n">
        <v>0.556</v>
      </c>
      <c r="P10" s="27" t="n">
        <v>40.444</v>
      </c>
      <c r="Q10" s="27" t="n">
        <v>96.466</v>
      </c>
      <c r="R10" s="27" t="n">
        <v>0</v>
      </c>
      <c r="S10" s="27" t="n">
        <v>718.378</v>
      </c>
      <c r="T10" s="27" t="n">
        <v>0</v>
      </c>
      <c r="U10" s="27" t="n">
        <v>56.218</v>
      </c>
      <c r="V10" s="27" t="n">
        <v>0</v>
      </c>
      <c r="W10" s="27" t="n">
        <v>9.68</v>
      </c>
      <c r="X10" s="27" t="n">
        <v>0.084</v>
      </c>
      <c r="Y10" s="27" t="n">
        <v>3.66</v>
      </c>
      <c r="Z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</v>
      </c>
      <c r="C11" s="27" t="n">
        <v>0</v>
      </c>
      <c r="D11" s="27" t="n">
        <v>0.059</v>
      </c>
      <c r="E11" s="27" t="n">
        <v>110.864</v>
      </c>
      <c r="F11" s="27" t="n">
        <v>517.76</v>
      </c>
      <c r="G11" s="27" t="n">
        <v>25.388</v>
      </c>
      <c r="H11" s="27" t="n">
        <v>0</v>
      </c>
      <c r="I11" s="27" t="n">
        <v>189.261</v>
      </c>
      <c r="J11" s="27" t="n">
        <v>161.829</v>
      </c>
      <c r="K11" s="27" t="n">
        <v>0</v>
      </c>
      <c r="L11" s="27" t="n">
        <v>87.604</v>
      </c>
      <c r="M11" s="27" t="n">
        <v>0.659</v>
      </c>
      <c r="N11" s="27" t="n">
        <v>204.006</v>
      </c>
      <c r="O11" s="27" t="n">
        <v>0.688</v>
      </c>
      <c r="P11" s="27" t="n">
        <v>41.641</v>
      </c>
      <c r="Q11" s="27" t="n">
        <v>108.714</v>
      </c>
      <c r="R11" s="27" t="n">
        <v>0</v>
      </c>
      <c r="S11" s="27" t="n">
        <v>717.72</v>
      </c>
      <c r="T11" s="27" t="n">
        <v>0</v>
      </c>
      <c r="U11" s="27" t="n">
        <v>56.678</v>
      </c>
      <c r="V11" s="27" t="n">
        <v>0</v>
      </c>
      <c r="W11" s="27" t="n">
        <v>12.385</v>
      </c>
      <c r="X11" s="27" t="n">
        <v>0.085</v>
      </c>
      <c r="Y11" s="27" t="n">
        <v>3.67</v>
      </c>
      <c r="Z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</v>
      </c>
      <c r="C12" s="27" t="n">
        <v>0</v>
      </c>
      <c r="D12" s="27" t="n">
        <v>0.321</v>
      </c>
      <c r="E12" s="27" t="n">
        <v>113.447</v>
      </c>
      <c r="F12" s="27" t="n">
        <v>507.001</v>
      </c>
      <c r="G12" s="27" t="n">
        <v>24.748</v>
      </c>
      <c r="H12" s="27" t="n">
        <v>0</v>
      </c>
      <c r="I12" s="27" t="n">
        <v>192.325</v>
      </c>
      <c r="J12" s="27" t="n">
        <v>164.533</v>
      </c>
      <c r="K12" s="27" t="n">
        <v>0</v>
      </c>
      <c r="L12" s="27" t="n">
        <v>89.367</v>
      </c>
      <c r="M12" s="27" t="n">
        <v>0.731</v>
      </c>
      <c r="N12" s="27" t="n">
        <v>202.67</v>
      </c>
      <c r="O12" s="27" t="n">
        <v>0.77</v>
      </c>
      <c r="P12" s="27" t="n">
        <v>42.247</v>
      </c>
      <c r="Q12" s="27" t="n">
        <v>113.765</v>
      </c>
      <c r="R12" s="27" t="n">
        <v>0</v>
      </c>
      <c r="S12" s="27" t="n">
        <v>727.032</v>
      </c>
      <c r="T12" s="27" t="n">
        <v>0</v>
      </c>
      <c r="U12" s="27" t="n">
        <v>55.407</v>
      </c>
      <c r="V12" s="27" t="n">
        <v>0</v>
      </c>
      <c r="W12" s="27" t="n">
        <v>15.569</v>
      </c>
      <c r="X12" s="27" t="n">
        <v>0.084</v>
      </c>
      <c r="Y12" s="27" t="n">
        <v>3.583</v>
      </c>
      <c r="Z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</v>
      </c>
      <c r="C13" s="27" t="n">
        <v>0</v>
      </c>
      <c r="D13" s="27" t="n">
        <v>0.622</v>
      </c>
      <c r="E13" s="27" t="n">
        <v>112.579</v>
      </c>
      <c r="F13" s="27" t="n">
        <v>479.194</v>
      </c>
      <c r="G13" s="27" t="n">
        <v>24.138</v>
      </c>
      <c r="H13" s="27" t="n">
        <v>0</v>
      </c>
      <c r="I13" s="27" t="n">
        <v>195.459</v>
      </c>
      <c r="J13" s="27" t="n">
        <v>166.719</v>
      </c>
      <c r="K13" s="27" t="n">
        <v>0</v>
      </c>
      <c r="L13" s="27" t="n">
        <v>91.167</v>
      </c>
      <c r="M13" s="27" t="n">
        <v>0.779</v>
      </c>
      <c r="N13" s="27" t="n">
        <v>201.541</v>
      </c>
      <c r="O13" s="27" t="n">
        <v>0.829</v>
      </c>
      <c r="P13" s="27" t="n">
        <v>42.863</v>
      </c>
      <c r="Q13" s="27" t="n">
        <v>116.231</v>
      </c>
      <c r="R13" s="27" t="n">
        <v>0</v>
      </c>
      <c r="S13" s="27" t="n">
        <v>733.433</v>
      </c>
      <c r="T13" s="27" t="n">
        <v>0</v>
      </c>
      <c r="U13" s="27" t="n">
        <v>53.37</v>
      </c>
      <c r="V13" s="27" t="n">
        <v>0</v>
      </c>
      <c r="W13" s="27" t="n">
        <v>20.867</v>
      </c>
      <c r="X13" s="27" t="n">
        <v>0.084</v>
      </c>
      <c r="Y13" s="27" t="n">
        <v>3.385</v>
      </c>
      <c r="Z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</v>
      </c>
      <c r="C14" s="27" t="n">
        <v>0</v>
      </c>
      <c r="D14" s="27" t="n">
        <v>0.964</v>
      </c>
      <c r="E14" s="27" t="n">
        <v>113.537</v>
      </c>
      <c r="F14" s="27" t="n">
        <v>413.854</v>
      </c>
      <c r="G14" s="27" t="n">
        <v>22.735</v>
      </c>
      <c r="H14" s="27" t="n">
        <v>0</v>
      </c>
      <c r="I14" s="27" t="n">
        <v>198.167</v>
      </c>
      <c r="J14" s="27" t="n">
        <v>169.083</v>
      </c>
      <c r="K14" s="27" t="n">
        <v>0</v>
      </c>
      <c r="L14" s="27" t="n">
        <v>92.923</v>
      </c>
      <c r="M14" s="27" t="n">
        <v>0.818</v>
      </c>
      <c r="N14" s="27" t="n">
        <v>200.568</v>
      </c>
      <c r="O14" s="27" t="n">
        <v>2.42</v>
      </c>
      <c r="P14" s="27" t="n">
        <v>43.425</v>
      </c>
      <c r="Q14" s="27" t="n">
        <v>116.231</v>
      </c>
      <c r="R14" s="27" t="n">
        <v>0</v>
      </c>
      <c r="S14" s="27" t="n">
        <v>740.766</v>
      </c>
      <c r="T14" s="27" t="n">
        <v>0</v>
      </c>
      <c r="U14" s="27" t="n">
        <v>48.426</v>
      </c>
      <c r="V14" s="27" t="n">
        <v>0</v>
      </c>
      <c r="W14" s="27" t="n">
        <v>32.381</v>
      </c>
      <c r="X14" s="27" t="n">
        <v>0.084</v>
      </c>
      <c r="Y14" s="27" t="n">
        <v>4.376</v>
      </c>
      <c r="Z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</v>
      </c>
      <c r="C15" s="27" t="n">
        <v>0</v>
      </c>
      <c r="D15" s="27" t="n">
        <v>1.35</v>
      </c>
      <c r="E15" s="27" t="n">
        <v>114.172</v>
      </c>
      <c r="F15" s="27" t="n">
        <v>285.22</v>
      </c>
      <c r="G15" s="27" t="n">
        <v>21.391</v>
      </c>
      <c r="H15" s="27" t="n">
        <v>0</v>
      </c>
      <c r="I15" s="27" t="n">
        <v>200.998</v>
      </c>
      <c r="J15" s="27" t="n">
        <v>171.501</v>
      </c>
      <c r="K15" s="27" t="n">
        <v>0</v>
      </c>
      <c r="L15" s="27" t="n">
        <v>94.739</v>
      </c>
      <c r="M15" s="27" t="n">
        <v>0.855</v>
      </c>
      <c r="N15" s="27" t="n">
        <v>199.817</v>
      </c>
      <c r="O15" s="27" t="n">
        <v>3.936</v>
      </c>
      <c r="P15" s="27" t="n">
        <v>44.008</v>
      </c>
      <c r="Q15" s="27" t="n">
        <v>113.041</v>
      </c>
      <c r="R15" s="27" t="n">
        <v>0</v>
      </c>
      <c r="S15" s="27" t="n">
        <v>748.229</v>
      </c>
      <c r="T15" s="27" t="n">
        <v>0</v>
      </c>
      <c r="U15" s="27" t="n">
        <v>40.485</v>
      </c>
      <c r="V15" s="27" t="n">
        <v>0</v>
      </c>
      <c r="W15" s="27" t="n">
        <v>53.536</v>
      </c>
      <c r="X15" s="27" t="n">
        <v>0.085</v>
      </c>
      <c r="Y15" s="27" t="n">
        <v>4.042</v>
      </c>
      <c r="Z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</v>
      </c>
      <c r="C16" s="27" t="n">
        <v>0</v>
      </c>
      <c r="D16" s="27" t="n">
        <v>1.781</v>
      </c>
      <c r="E16" s="27" t="n">
        <v>115.054</v>
      </c>
      <c r="F16" s="27" t="n">
        <v>157.885</v>
      </c>
      <c r="G16" s="27" t="n">
        <v>20.096</v>
      </c>
      <c r="H16" s="27" t="n">
        <v>0</v>
      </c>
      <c r="I16" s="27" t="n">
        <v>203.781</v>
      </c>
      <c r="J16" s="27" t="n">
        <v>175.734</v>
      </c>
      <c r="K16" s="27" t="n">
        <v>0</v>
      </c>
      <c r="L16" s="27" t="n">
        <v>96.53</v>
      </c>
      <c r="M16" s="27" t="n">
        <v>0.89</v>
      </c>
      <c r="N16" s="27" t="n">
        <v>197.65</v>
      </c>
      <c r="O16" s="27" t="n">
        <v>5.378</v>
      </c>
      <c r="P16" s="27" t="n">
        <v>44.572</v>
      </c>
      <c r="Q16" s="27" t="n">
        <v>106.358</v>
      </c>
      <c r="R16" s="27" t="n">
        <v>0</v>
      </c>
      <c r="S16" s="27" t="n">
        <v>763.457</v>
      </c>
      <c r="T16" s="27" t="n">
        <v>0</v>
      </c>
      <c r="U16" s="27" t="n">
        <v>32.539</v>
      </c>
      <c r="V16" s="27" t="n">
        <v>0</v>
      </c>
      <c r="W16" s="27" t="n">
        <v>75.878</v>
      </c>
      <c r="X16" s="27" t="n">
        <v>0.086</v>
      </c>
      <c r="Y16" s="27" t="n">
        <v>3.186</v>
      </c>
      <c r="Z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</v>
      </c>
      <c r="C17" s="27" t="n">
        <v>0</v>
      </c>
      <c r="D17" s="27" t="n">
        <v>2.263</v>
      </c>
      <c r="E17" s="27" t="n">
        <v>115.686</v>
      </c>
      <c r="F17" s="27" t="n">
        <v>88.78</v>
      </c>
      <c r="G17" s="27" t="n">
        <v>18.847</v>
      </c>
      <c r="H17" s="27" t="n">
        <v>0</v>
      </c>
      <c r="I17" s="27" t="n">
        <v>206.509</v>
      </c>
      <c r="J17" s="27" t="n">
        <v>184.644</v>
      </c>
      <c r="K17" s="27" t="n">
        <v>0</v>
      </c>
      <c r="L17" s="27" t="n">
        <v>98.293</v>
      </c>
      <c r="M17" s="27" t="n">
        <v>0.925</v>
      </c>
      <c r="N17" s="27" t="n">
        <v>195.251</v>
      </c>
      <c r="O17" s="27" t="n">
        <v>6.747</v>
      </c>
      <c r="P17" s="27" t="n">
        <v>45.116</v>
      </c>
      <c r="Q17" s="27" t="n">
        <v>99.453</v>
      </c>
      <c r="R17" s="27" t="n">
        <v>0</v>
      </c>
      <c r="S17" s="27" t="n">
        <v>798.736</v>
      </c>
      <c r="T17" s="27" t="n">
        <v>0</v>
      </c>
      <c r="U17" s="27" t="n">
        <v>27.587</v>
      </c>
      <c r="V17" s="27" t="n">
        <v>0</v>
      </c>
      <c r="W17" s="27" t="n">
        <v>91.574</v>
      </c>
      <c r="X17" s="27" t="n">
        <v>0.087</v>
      </c>
      <c r="Y17" s="27" t="n">
        <v>2.823</v>
      </c>
      <c r="Z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</v>
      </c>
      <c r="C18" s="27" t="n">
        <v>0</v>
      </c>
      <c r="D18" s="27" t="n">
        <v>2.799</v>
      </c>
      <c r="E18" s="27" t="n">
        <v>115.611</v>
      </c>
      <c r="F18" s="27" t="n">
        <v>55.086</v>
      </c>
      <c r="G18" s="27" t="n">
        <v>17.641</v>
      </c>
      <c r="H18" s="27" t="n">
        <v>0</v>
      </c>
      <c r="I18" s="27" t="n">
        <v>209.173</v>
      </c>
      <c r="J18" s="27" t="n">
        <v>188.814</v>
      </c>
      <c r="K18" s="27" t="n">
        <v>0</v>
      </c>
      <c r="L18" s="27" t="n">
        <v>100.023</v>
      </c>
      <c r="M18" s="27" t="n">
        <v>0.96</v>
      </c>
      <c r="N18" s="27" t="n">
        <v>192.067</v>
      </c>
      <c r="O18" s="27" t="n">
        <v>8.045</v>
      </c>
      <c r="P18" s="27" t="n">
        <v>45.637</v>
      </c>
      <c r="Q18" s="27" t="n">
        <v>100.115</v>
      </c>
      <c r="R18" s="27" t="n">
        <v>0</v>
      </c>
      <c r="S18" s="27" t="n">
        <v>821.797</v>
      </c>
      <c r="T18" s="27" t="n">
        <v>0</v>
      </c>
      <c r="U18" s="27" t="n">
        <v>24.471</v>
      </c>
      <c r="V18" s="27" t="n">
        <v>0</v>
      </c>
      <c r="W18" s="27" t="n">
        <v>100.001</v>
      </c>
      <c r="X18" s="27" t="n">
        <v>0.088</v>
      </c>
      <c r="Y18" s="27" t="n">
        <v>2.675</v>
      </c>
      <c r="Z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0</v>
      </c>
      <c r="C19" s="27" t="n">
        <v>0</v>
      </c>
      <c r="D19" s="27" t="n">
        <v>3.393</v>
      </c>
      <c r="E19" s="27" t="n">
        <v>113.799</v>
      </c>
      <c r="F19" s="27" t="n">
        <v>35.675</v>
      </c>
      <c r="G19" s="27" t="n">
        <v>16.474</v>
      </c>
      <c r="H19" s="27" t="n">
        <v>0</v>
      </c>
      <c r="I19" s="27" t="n">
        <v>201.135</v>
      </c>
      <c r="J19" s="27" t="n">
        <v>197.108</v>
      </c>
      <c r="K19" s="27" t="n">
        <v>0</v>
      </c>
      <c r="L19" s="27" t="n">
        <v>96.124</v>
      </c>
      <c r="M19" s="27" t="n">
        <v>0.96</v>
      </c>
      <c r="N19" s="27" t="n">
        <v>186.634</v>
      </c>
      <c r="O19" s="27" t="n">
        <v>10.397</v>
      </c>
      <c r="P19" s="27" t="n">
        <v>46.136</v>
      </c>
      <c r="Q19" s="27" t="n">
        <v>98.479</v>
      </c>
      <c r="R19" s="27" t="n">
        <v>0</v>
      </c>
      <c r="S19" s="27" t="n">
        <v>871.904</v>
      </c>
      <c r="T19" s="27" t="n">
        <v>0</v>
      </c>
      <c r="U19" s="27" t="n">
        <v>22.116</v>
      </c>
      <c r="V19" s="27" t="n">
        <v>0</v>
      </c>
      <c r="W19" s="27" t="n">
        <v>109.724</v>
      </c>
      <c r="X19" s="27" t="n">
        <v>0.089</v>
      </c>
      <c r="Y19" s="27" t="n">
        <v>2.731</v>
      </c>
      <c r="Z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0</v>
      </c>
      <c r="C20" s="27" t="n">
        <v>0</v>
      </c>
      <c r="D20" s="27" t="n">
        <v>4.048</v>
      </c>
      <c r="E20" s="27" t="n">
        <v>108.209</v>
      </c>
      <c r="F20" s="27" t="n">
        <v>18.505</v>
      </c>
      <c r="G20" s="27" t="n">
        <v>15.343</v>
      </c>
      <c r="H20" s="27" t="n">
        <v>0</v>
      </c>
      <c r="I20" s="27" t="n">
        <v>192.702</v>
      </c>
      <c r="J20" s="27" t="n">
        <v>205.93</v>
      </c>
      <c r="K20" s="27" t="n">
        <v>0</v>
      </c>
      <c r="L20" s="27" t="n">
        <v>91.993</v>
      </c>
      <c r="M20" s="27" t="n">
        <v>0.96</v>
      </c>
      <c r="N20" s="27" t="n">
        <v>176.624</v>
      </c>
      <c r="O20" s="27" t="n">
        <v>12.704</v>
      </c>
      <c r="P20" s="27" t="n">
        <v>46.608</v>
      </c>
      <c r="Q20" s="27" t="n">
        <v>97.022</v>
      </c>
      <c r="R20" s="27" t="n">
        <v>0</v>
      </c>
      <c r="S20" s="27" t="n">
        <v>1022.364</v>
      </c>
      <c r="T20" s="27" t="n">
        <v>0</v>
      </c>
      <c r="U20" s="27" t="n">
        <v>19.909</v>
      </c>
      <c r="V20" s="27" t="n">
        <v>0</v>
      </c>
      <c r="W20" s="27" t="n">
        <v>119.833</v>
      </c>
      <c r="X20" s="27" t="n">
        <v>0.091</v>
      </c>
      <c r="Y20" s="27" t="n">
        <v>2.582</v>
      </c>
      <c r="Z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0</v>
      </c>
      <c r="C21" s="27" t="n">
        <v>0</v>
      </c>
      <c r="D21" s="27" t="n">
        <v>4.77</v>
      </c>
      <c r="E21" s="27" t="n">
        <v>95.889</v>
      </c>
      <c r="F21" s="27" t="n">
        <v>0.368</v>
      </c>
      <c r="G21" s="27" t="n">
        <v>14.249</v>
      </c>
      <c r="H21" s="27" t="n">
        <v>0</v>
      </c>
      <c r="I21" s="27" t="n">
        <v>183.879</v>
      </c>
      <c r="J21" s="27" t="n">
        <v>215.76</v>
      </c>
      <c r="K21" s="27" t="n">
        <v>0</v>
      </c>
      <c r="L21" s="27" t="n">
        <v>87.634</v>
      </c>
      <c r="M21" s="27" t="n">
        <v>0.96</v>
      </c>
      <c r="N21" s="27" t="n">
        <v>158.001</v>
      </c>
      <c r="O21" s="27" t="n">
        <v>14.966</v>
      </c>
      <c r="P21" s="27" t="n">
        <v>47.053</v>
      </c>
      <c r="Q21" s="27" t="n">
        <v>95.491</v>
      </c>
      <c r="R21" s="27" t="n">
        <v>0</v>
      </c>
      <c r="S21" s="27" t="n">
        <v>1707.432</v>
      </c>
      <c r="T21" s="27" t="n">
        <v>0</v>
      </c>
      <c r="U21" s="27" t="n">
        <v>17.688</v>
      </c>
      <c r="V21" s="27" t="n">
        <v>0</v>
      </c>
      <c r="W21" s="27" t="n">
        <v>131.452</v>
      </c>
      <c r="X21" s="27" t="n">
        <v>0.092</v>
      </c>
      <c r="Y21" s="27" t="n">
        <v>1.067</v>
      </c>
      <c r="Z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0</v>
      </c>
      <c r="C22" s="27" t="n">
        <v>0</v>
      </c>
      <c r="D22" s="27" t="n">
        <v>4.893</v>
      </c>
      <c r="E22" s="27" t="n">
        <v>75.585</v>
      </c>
      <c r="F22" s="27" t="n">
        <v>0.341</v>
      </c>
      <c r="G22" s="27" t="n">
        <v>13.192</v>
      </c>
      <c r="H22" s="27" t="n">
        <v>0</v>
      </c>
      <c r="I22" s="27" t="n">
        <v>174.676</v>
      </c>
      <c r="J22" s="27" t="n">
        <v>227.019</v>
      </c>
      <c r="K22" s="27" t="n">
        <v>0</v>
      </c>
      <c r="L22" s="27" t="n">
        <v>83.051</v>
      </c>
      <c r="M22" s="27" t="n">
        <v>0.96</v>
      </c>
      <c r="N22" s="27" t="n">
        <v>127.903</v>
      </c>
      <c r="O22" s="27" t="n">
        <v>17.181</v>
      </c>
      <c r="P22" s="27" t="n">
        <v>47.47</v>
      </c>
      <c r="Q22" s="27" t="n">
        <v>95.391</v>
      </c>
      <c r="R22" s="27" t="n">
        <v>0</v>
      </c>
      <c r="S22" s="27" t="n">
        <v>1780.8</v>
      </c>
      <c r="T22" s="27" t="n">
        <v>0</v>
      </c>
      <c r="U22" s="27" t="n">
        <v>16.422</v>
      </c>
      <c r="V22" s="27" t="n">
        <v>0</v>
      </c>
      <c r="W22" s="27" t="n">
        <v>137.844</v>
      </c>
      <c r="X22" s="27" t="n">
        <v>0.094</v>
      </c>
      <c r="Y22" s="27" t="n">
        <v>1.157</v>
      </c>
      <c r="Z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0</v>
      </c>
      <c r="C23" s="27" t="n">
        <v>0</v>
      </c>
      <c r="D23" s="27" t="n">
        <v>5.018</v>
      </c>
      <c r="E23" s="27" t="n">
        <v>52.222</v>
      </c>
      <c r="F23" s="27" t="n">
        <v>0.315</v>
      </c>
      <c r="G23" s="27" t="n">
        <v>12.174</v>
      </c>
      <c r="H23" s="27" t="n">
        <v>0</v>
      </c>
      <c r="I23" s="27" t="n">
        <v>165.103</v>
      </c>
      <c r="J23" s="27" t="n">
        <v>239.3</v>
      </c>
      <c r="K23" s="27" t="n">
        <v>0</v>
      </c>
      <c r="L23" s="27" t="n">
        <v>78.249</v>
      </c>
      <c r="M23" s="27" t="n">
        <v>0.96</v>
      </c>
      <c r="N23" s="27" t="n">
        <v>91.1</v>
      </c>
      <c r="O23" s="27" t="n">
        <v>19.348</v>
      </c>
      <c r="P23" s="27" t="n">
        <v>47.856</v>
      </c>
      <c r="Q23" s="27" t="n">
        <v>95.294</v>
      </c>
      <c r="R23" s="27" t="n">
        <v>0</v>
      </c>
      <c r="S23" s="27" t="n">
        <v>1857.566</v>
      </c>
      <c r="T23" s="27" t="n">
        <v>0</v>
      </c>
      <c r="U23" s="27" t="n">
        <v>15.197</v>
      </c>
      <c r="V23" s="27" t="n">
        <v>0</v>
      </c>
      <c r="W23" s="27" t="n">
        <v>144.783</v>
      </c>
      <c r="X23" s="27" t="n">
        <v>0.096</v>
      </c>
      <c r="Y23" s="27" t="n">
        <v>1.18</v>
      </c>
      <c r="Z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0</v>
      </c>
      <c r="C24" s="27" t="n">
        <v>0</v>
      </c>
      <c r="D24" s="27" t="n">
        <v>5.145</v>
      </c>
      <c r="E24" s="27" t="n">
        <v>33.377</v>
      </c>
      <c r="F24" s="27" t="n">
        <v>0.29</v>
      </c>
      <c r="G24" s="27" t="n">
        <v>11.197</v>
      </c>
      <c r="H24" s="27" t="n">
        <v>0</v>
      </c>
      <c r="I24" s="27" t="n">
        <v>155.173</v>
      </c>
      <c r="J24" s="27" t="n">
        <v>251.258</v>
      </c>
      <c r="K24" s="27" t="n">
        <v>0</v>
      </c>
      <c r="L24" s="27" t="n">
        <v>73.235</v>
      </c>
      <c r="M24" s="27" t="n">
        <v>0.96</v>
      </c>
      <c r="N24" s="27" t="n">
        <v>59.272</v>
      </c>
      <c r="O24" s="27" t="n">
        <v>21.465</v>
      </c>
      <c r="P24" s="27" t="n">
        <v>48.21</v>
      </c>
      <c r="Q24" s="27" t="n">
        <v>95.201</v>
      </c>
      <c r="R24" s="27" t="n">
        <v>0</v>
      </c>
      <c r="S24" s="27" t="n">
        <v>1932.069</v>
      </c>
      <c r="T24" s="27" t="n">
        <v>0</v>
      </c>
      <c r="U24" s="27" t="n">
        <v>14.015</v>
      </c>
      <c r="V24" s="27" t="n">
        <v>0</v>
      </c>
      <c r="W24" s="27" t="n">
        <v>151.45</v>
      </c>
      <c r="X24" s="27" t="n">
        <v>0.098</v>
      </c>
      <c r="Y24" s="27" t="n">
        <v>1.216</v>
      </c>
      <c r="Z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0</v>
      </c>
      <c r="C25" s="27" t="n">
        <v>0</v>
      </c>
      <c r="D25" s="27" t="n">
        <v>5.274</v>
      </c>
      <c r="E25" s="27" t="n">
        <v>22.134</v>
      </c>
      <c r="F25" s="27" t="n">
        <v>0.265</v>
      </c>
      <c r="G25" s="27" t="n">
        <v>10.261</v>
      </c>
      <c r="H25" s="27" t="n">
        <v>0</v>
      </c>
      <c r="I25" s="27" t="n">
        <v>144.898</v>
      </c>
      <c r="J25" s="27" t="n">
        <v>262.001</v>
      </c>
      <c r="K25" s="27" t="n">
        <v>0</v>
      </c>
      <c r="L25" s="27" t="n">
        <v>68.017</v>
      </c>
      <c r="M25" s="27" t="n">
        <v>0.96</v>
      </c>
      <c r="N25" s="27" t="n">
        <v>38.85</v>
      </c>
      <c r="O25" s="27" t="n">
        <v>23.531</v>
      </c>
      <c r="P25" s="27" t="n">
        <v>48.53</v>
      </c>
      <c r="Q25" s="27" t="n">
        <v>95.11</v>
      </c>
      <c r="R25" s="27" t="n">
        <v>0</v>
      </c>
      <c r="S25" s="27" t="n">
        <v>2003.158</v>
      </c>
      <c r="T25" s="27" t="n">
        <v>0</v>
      </c>
      <c r="U25" s="27" t="n">
        <v>12.876</v>
      </c>
      <c r="V25" s="27" t="n">
        <v>0</v>
      </c>
      <c r="W25" s="27" t="n">
        <v>157.503</v>
      </c>
      <c r="X25" s="27" t="n">
        <v>0.099</v>
      </c>
      <c r="Y25" s="27" t="n">
        <v>1.173</v>
      </c>
      <c r="Z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0</v>
      </c>
      <c r="C26" s="27" t="n">
        <v>0</v>
      </c>
      <c r="D26" s="27" t="n">
        <v>5.404</v>
      </c>
      <c r="E26" s="27" t="n">
        <v>16.16</v>
      </c>
      <c r="F26" s="27" t="n">
        <v>0.242</v>
      </c>
      <c r="G26" s="27" t="n">
        <v>9.364</v>
      </c>
      <c r="H26" s="27" t="n">
        <v>0</v>
      </c>
      <c r="I26" s="27" t="n">
        <v>134.294</v>
      </c>
      <c r="J26" s="27" t="n">
        <v>271.656</v>
      </c>
      <c r="K26" s="27" t="n">
        <v>0</v>
      </c>
      <c r="L26" s="27" t="n">
        <v>62.601</v>
      </c>
      <c r="M26" s="27" t="n">
        <v>0.96</v>
      </c>
      <c r="N26" s="27" t="n">
        <v>27.831</v>
      </c>
      <c r="O26" s="27" t="n">
        <v>25.545</v>
      </c>
      <c r="P26" s="27" t="n">
        <v>48.814</v>
      </c>
      <c r="Q26" s="27" t="n">
        <v>95.023</v>
      </c>
      <c r="R26" s="27" t="n">
        <v>0</v>
      </c>
      <c r="S26" s="27" t="n">
        <v>2063.709</v>
      </c>
      <c r="T26" s="27" t="n">
        <v>0</v>
      </c>
      <c r="U26" s="27" t="n">
        <v>11.78</v>
      </c>
      <c r="V26" s="27" t="n">
        <v>0</v>
      </c>
      <c r="W26" s="27" t="n">
        <v>162.415</v>
      </c>
      <c r="X26" s="27" t="n">
        <v>0.101</v>
      </c>
      <c r="Y26" s="27" t="n">
        <v>1.204</v>
      </c>
      <c r="Z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0</v>
      </c>
      <c r="C27" s="27" t="n">
        <v>0</v>
      </c>
      <c r="D27" s="27" t="n">
        <v>5.537</v>
      </c>
      <c r="E27" s="27" t="n">
        <v>13.096</v>
      </c>
      <c r="F27" s="27" t="n">
        <v>0.22</v>
      </c>
      <c r="G27" s="27" t="n">
        <v>8.505</v>
      </c>
      <c r="H27" s="27" t="n">
        <v>0</v>
      </c>
      <c r="I27" s="27" t="n">
        <v>123.433</v>
      </c>
      <c r="J27" s="27" t="n">
        <v>280.746</v>
      </c>
      <c r="K27" s="27" t="n">
        <v>0</v>
      </c>
      <c r="L27" s="27" t="n">
        <v>57.027</v>
      </c>
      <c r="M27" s="27" t="n">
        <v>0.96</v>
      </c>
      <c r="N27" s="27" t="n">
        <v>22.113</v>
      </c>
      <c r="O27" s="27" t="n">
        <v>27.511</v>
      </c>
      <c r="P27" s="27" t="n">
        <v>49.085</v>
      </c>
      <c r="Q27" s="27" t="n">
        <v>94.939</v>
      </c>
      <c r="R27" s="27" t="n">
        <v>0</v>
      </c>
      <c r="S27" s="27" t="n">
        <v>2143.297</v>
      </c>
      <c r="T27" s="27" t="n">
        <v>0</v>
      </c>
      <c r="U27" s="27" t="n">
        <v>10.727</v>
      </c>
      <c r="V27" s="27" t="n">
        <v>0</v>
      </c>
      <c r="W27" s="27" t="n">
        <v>168.638</v>
      </c>
      <c r="X27" s="27" t="n">
        <v>0.103</v>
      </c>
      <c r="Y27" s="27" t="n">
        <v>1.287</v>
      </c>
      <c r="Z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0</v>
      </c>
      <c r="C28" s="27" t="n">
        <v>0</v>
      </c>
      <c r="D28" s="27" t="n">
        <v>5.673</v>
      </c>
      <c r="E28" s="27" t="n">
        <v>11.416</v>
      </c>
      <c r="F28" s="27" t="n">
        <v>0.199</v>
      </c>
      <c r="G28" s="27" t="n">
        <v>7.684</v>
      </c>
      <c r="H28" s="27" t="n">
        <v>0</v>
      </c>
      <c r="I28" s="27" t="n">
        <v>112.318</v>
      </c>
      <c r="J28" s="27" t="n">
        <v>289.61</v>
      </c>
      <c r="K28" s="27" t="n">
        <v>0</v>
      </c>
      <c r="L28" s="27" t="n">
        <v>51.296</v>
      </c>
      <c r="M28" s="27" t="n">
        <v>0.96</v>
      </c>
      <c r="N28" s="27" t="n">
        <v>18.902</v>
      </c>
      <c r="O28" s="27" t="n">
        <v>29.43</v>
      </c>
      <c r="P28" s="27" t="n">
        <v>49.342</v>
      </c>
      <c r="Q28" s="27" t="n">
        <v>94.859</v>
      </c>
      <c r="R28" s="27" t="n">
        <v>0</v>
      </c>
      <c r="S28" s="27" t="n">
        <v>2203.577</v>
      </c>
      <c r="T28" s="27" t="n">
        <v>0</v>
      </c>
      <c r="U28" s="27" t="n">
        <v>9.713</v>
      </c>
      <c r="V28" s="27" t="n">
        <v>0</v>
      </c>
      <c r="W28" s="27" t="n">
        <v>173.245</v>
      </c>
      <c r="X28" s="27" t="n">
        <v>0.105</v>
      </c>
      <c r="Y28" s="27" t="n">
        <v>1.335</v>
      </c>
      <c r="Z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0</v>
      </c>
      <c r="C29" s="27" t="n">
        <v>0</v>
      </c>
      <c r="D29" s="27" t="n">
        <v>5.81</v>
      </c>
      <c r="E29" s="27" t="n">
        <v>10.335</v>
      </c>
      <c r="F29" s="27" t="n">
        <v>0.178</v>
      </c>
      <c r="G29" s="27" t="n">
        <v>6.897</v>
      </c>
      <c r="H29" s="27" t="n">
        <v>0</v>
      </c>
      <c r="I29" s="27" t="n">
        <v>100.951</v>
      </c>
      <c r="J29" s="27" t="n">
        <v>298.424</v>
      </c>
      <c r="K29" s="27" t="n">
        <v>0</v>
      </c>
      <c r="L29" s="27" t="n">
        <v>45.41</v>
      </c>
      <c r="M29" s="27" t="n">
        <v>0.96</v>
      </c>
      <c r="N29" s="27" t="n">
        <v>16.787</v>
      </c>
      <c r="O29" s="27" t="n">
        <v>31.302</v>
      </c>
      <c r="P29" s="27" t="n">
        <v>49.583</v>
      </c>
      <c r="Q29" s="27" t="n">
        <v>94.781</v>
      </c>
      <c r="R29" s="27" t="n">
        <v>0</v>
      </c>
      <c r="S29" s="27" t="n">
        <v>2240.299</v>
      </c>
      <c r="T29" s="27" t="n">
        <v>0</v>
      </c>
      <c r="U29" s="27" t="n">
        <v>8.739</v>
      </c>
      <c r="V29" s="27" t="n">
        <v>0</v>
      </c>
      <c r="W29" s="27" t="n">
        <v>175.977</v>
      </c>
      <c r="X29" s="27" t="n">
        <v>0.108</v>
      </c>
      <c r="Y29" s="27" t="n">
        <v>1.344</v>
      </c>
      <c r="Z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0</v>
      </c>
      <c r="C30" s="27" t="n">
        <v>0</v>
      </c>
      <c r="D30" s="27" t="n">
        <v>5.95</v>
      </c>
      <c r="E30" s="27" t="n">
        <v>9.352</v>
      </c>
      <c r="F30" s="27" t="n">
        <v>0.159</v>
      </c>
      <c r="G30" s="27" t="n">
        <v>6.144</v>
      </c>
      <c r="H30" s="27" t="n">
        <v>0</v>
      </c>
      <c r="I30" s="27" t="n">
        <v>89.337</v>
      </c>
      <c r="J30" s="27" t="n">
        <v>307.267</v>
      </c>
      <c r="K30" s="27" t="n">
        <v>0</v>
      </c>
      <c r="L30" s="27" t="n">
        <v>39.374</v>
      </c>
      <c r="M30" s="27" t="n">
        <v>0.96</v>
      </c>
      <c r="N30" s="27" t="n">
        <v>15.132</v>
      </c>
      <c r="O30" s="27" t="n">
        <v>33.126</v>
      </c>
      <c r="P30" s="27" t="n">
        <v>49.807</v>
      </c>
      <c r="Q30" s="27" t="n">
        <v>94.706</v>
      </c>
      <c r="R30" s="27" t="n">
        <v>0</v>
      </c>
      <c r="S30" s="27" t="n">
        <v>2300.419</v>
      </c>
      <c r="T30" s="27" t="n">
        <v>0</v>
      </c>
      <c r="U30" s="27" t="n">
        <v>7.802</v>
      </c>
      <c r="V30" s="27" t="n">
        <v>0</v>
      </c>
      <c r="W30" s="27" t="n">
        <v>180.521</v>
      </c>
      <c r="X30" s="27" t="n">
        <v>0.11</v>
      </c>
      <c r="Y30" s="27" t="n">
        <v>1.449</v>
      </c>
      <c r="Z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0</v>
      </c>
      <c r="C31" s="27" t="n">
        <v>0</v>
      </c>
      <c r="D31" s="27" t="n">
        <v>6.093</v>
      </c>
      <c r="E31" s="27" t="n">
        <v>8.975</v>
      </c>
      <c r="F31" s="27" t="n">
        <v>0.14</v>
      </c>
      <c r="G31" s="27" t="n">
        <v>5.423</v>
      </c>
      <c r="H31" s="27" t="n">
        <v>0</v>
      </c>
      <c r="I31" s="27" t="n">
        <v>77.483</v>
      </c>
      <c r="J31" s="27" t="n">
        <v>315.962</v>
      </c>
      <c r="K31" s="27" t="n">
        <v>0</v>
      </c>
      <c r="L31" s="27" t="n">
        <v>33.19</v>
      </c>
      <c r="M31" s="27" t="n">
        <v>0.96</v>
      </c>
      <c r="N31" s="27" t="n">
        <v>15.011</v>
      </c>
      <c r="O31" s="27" t="n">
        <v>34.901</v>
      </c>
      <c r="P31" s="27" t="n">
        <v>50.012</v>
      </c>
      <c r="Q31" s="27" t="n">
        <v>94.634</v>
      </c>
      <c r="R31" s="27" t="n">
        <v>0</v>
      </c>
      <c r="S31" s="27" t="n">
        <v>2359.917</v>
      </c>
      <c r="T31" s="27" t="n">
        <v>0</v>
      </c>
      <c r="U31" s="27" t="n">
        <v>6.903</v>
      </c>
      <c r="V31" s="27" t="n">
        <v>0</v>
      </c>
      <c r="W31" s="27" t="n">
        <v>184.939</v>
      </c>
      <c r="X31" s="27" t="n">
        <v>0.113</v>
      </c>
      <c r="Y31" s="27" t="n">
        <v>1.665</v>
      </c>
      <c r="Z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0</v>
      </c>
      <c r="C32" s="27" t="n">
        <v>0</v>
      </c>
      <c r="D32" s="27" t="n">
        <v>6.24</v>
      </c>
      <c r="E32" s="27" t="n">
        <v>9.059</v>
      </c>
      <c r="F32" s="27" t="n">
        <v>0.122</v>
      </c>
      <c r="G32" s="27" t="n">
        <v>4.735</v>
      </c>
      <c r="H32" s="27" t="n">
        <v>0</v>
      </c>
      <c r="I32" s="27" t="n">
        <v>65.396</v>
      </c>
      <c r="J32" s="27" t="n">
        <v>325.074</v>
      </c>
      <c r="K32" s="27" t="n">
        <v>0</v>
      </c>
      <c r="L32" s="27" t="n">
        <v>26.865</v>
      </c>
      <c r="M32" s="27" t="n">
        <v>0.96</v>
      </c>
      <c r="N32" s="27" t="n">
        <v>14.961</v>
      </c>
      <c r="O32" s="27" t="n">
        <v>36.628</v>
      </c>
      <c r="P32" s="27" t="n">
        <v>50.197</v>
      </c>
      <c r="Q32" s="27" t="n">
        <v>94.565</v>
      </c>
      <c r="R32" s="27" t="n">
        <v>0</v>
      </c>
      <c r="S32" s="27" t="n">
        <v>2420.76</v>
      </c>
      <c r="T32" s="27" t="n">
        <v>0</v>
      </c>
      <c r="U32" s="27" t="n">
        <v>6.039</v>
      </c>
      <c r="V32" s="27" t="n">
        <v>0</v>
      </c>
      <c r="W32" s="27" t="n">
        <v>189.54</v>
      </c>
      <c r="X32" s="27" t="n">
        <v>0.115</v>
      </c>
      <c r="Y32" s="27" t="n">
        <v>1.709</v>
      </c>
      <c r="Z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0</v>
      </c>
      <c r="C33" s="27" t="n">
        <v>0</v>
      </c>
      <c r="D33" s="27" t="n">
        <v>6.391</v>
      </c>
      <c r="E33" s="27" t="n">
        <v>9.154</v>
      </c>
      <c r="F33" s="27" t="n">
        <v>0.105</v>
      </c>
      <c r="G33" s="27" t="n">
        <v>4.077</v>
      </c>
      <c r="H33" s="27" t="n">
        <v>0</v>
      </c>
      <c r="I33" s="27" t="n">
        <v>53.084</v>
      </c>
      <c r="J33" s="27" t="n">
        <v>334.21</v>
      </c>
      <c r="K33" s="27" t="n">
        <v>0</v>
      </c>
      <c r="L33" s="27" t="n">
        <v>20.403</v>
      </c>
      <c r="M33" s="27" t="n">
        <v>0.96</v>
      </c>
      <c r="N33" s="27" t="n">
        <v>14.91</v>
      </c>
      <c r="O33" s="27" t="n">
        <v>38.305</v>
      </c>
      <c r="P33" s="27" t="n">
        <v>50.359</v>
      </c>
      <c r="Q33" s="27" t="n">
        <v>94.499</v>
      </c>
      <c r="R33" s="27" t="n">
        <v>0</v>
      </c>
      <c r="S33" s="27" t="n">
        <v>2480.642</v>
      </c>
      <c r="T33" s="27" t="n">
        <v>0</v>
      </c>
      <c r="U33" s="27" t="n">
        <v>5.211</v>
      </c>
      <c r="V33" s="27" t="n">
        <v>0</v>
      </c>
      <c r="W33" s="27" t="n">
        <v>194.035</v>
      </c>
      <c r="X33" s="27" t="n">
        <v>0.118</v>
      </c>
      <c r="Y33" s="27" t="n">
        <v>1.75</v>
      </c>
      <c r="Z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0</v>
      </c>
      <c r="C34" s="27" t="n">
        <v>0</v>
      </c>
      <c r="D34" s="27" t="n">
        <v>6.545</v>
      </c>
      <c r="E34" s="27" t="n">
        <v>9.259</v>
      </c>
      <c r="F34" s="27" t="n">
        <v>0.089</v>
      </c>
      <c r="G34" s="27" t="n">
        <v>3.45</v>
      </c>
      <c r="H34" s="27" t="n">
        <v>0</v>
      </c>
      <c r="I34" s="27" t="n">
        <v>40.559</v>
      </c>
      <c r="J34" s="27" t="n">
        <v>343.367</v>
      </c>
      <c r="K34" s="27" t="n">
        <v>0</v>
      </c>
      <c r="L34" s="27" t="n">
        <v>13.812</v>
      </c>
      <c r="M34" s="27" t="n">
        <v>0.96</v>
      </c>
      <c r="N34" s="27" t="n">
        <v>14.859</v>
      </c>
      <c r="O34" s="27" t="n">
        <v>39.931</v>
      </c>
      <c r="P34" s="27" t="n">
        <v>50.498</v>
      </c>
      <c r="Q34" s="27" t="n">
        <v>94.435</v>
      </c>
      <c r="R34" s="27" t="n">
        <v>0</v>
      </c>
      <c r="S34" s="27" t="n">
        <v>2540.03</v>
      </c>
      <c r="T34" s="27" t="n">
        <v>0</v>
      </c>
      <c r="U34" s="27" t="n">
        <v>4.418</v>
      </c>
      <c r="V34" s="27" t="n">
        <v>0</v>
      </c>
      <c r="W34" s="27" t="n">
        <v>198.457</v>
      </c>
      <c r="X34" s="27" t="n">
        <v>0.121</v>
      </c>
      <c r="Y34" s="27" t="n">
        <v>1.788</v>
      </c>
      <c r="Z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0</v>
      </c>
      <c r="C35" s="27" t="n">
        <v>0</v>
      </c>
      <c r="D35" s="27" t="n">
        <v>6.704</v>
      </c>
      <c r="E35" s="27" t="n">
        <v>9.376</v>
      </c>
      <c r="F35" s="27" t="n">
        <v>0.074</v>
      </c>
      <c r="G35" s="27" t="n">
        <v>2.853</v>
      </c>
      <c r="H35" s="27" t="n">
        <v>0</v>
      </c>
      <c r="I35" s="27" t="n">
        <v>27.832</v>
      </c>
      <c r="J35" s="27" t="n">
        <v>352.6</v>
      </c>
      <c r="K35" s="27" t="n">
        <v>0</v>
      </c>
      <c r="L35" s="27" t="n">
        <v>7.099</v>
      </c>
      <c r="M35" s="27" t="n">
        <v>0.96</v>
      </c>
      <c r="N35" s="27" t="n">
        <v>14.807</v>
      </c>
      <c r="O35" s="27" t="n">
        <v>41.504</v>
      </c>
      <c r="P35" s="27" t="n">
        <v>50.612</v>
      </c>
      <c r="Q35" s="27" t="n">
        <v>94.375</v>
      </c>
      <c r="R35" s="27" t="n">
        <v>0</v>
      </c>
      <c r="S35" s="27" t="n">
        <v>2598.166</v>
      </c>
      <c r="T35" s="27" t="n">
        <v>0</v>
      </c>
      <c r="U35" s="27" t="n">
        <v>3.661</v>
      </c>
      <c r="V35" s="27" t="n">
        <v>0</v>
      </c>
      <c r="W35" s="27" t="n">
        <v>202.761</v>
      </c>
      <c r="X35" s="27" t="n">
        <v>0.124</v>
      </c>
      <c r="Y35" s="27" t="n">
        <v>1.823</v>
      </c>
      <c r="Z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0</v>
      </c>
      <c r="C36" s="27" t="n">
        <v>0</v>
      </c>
      <c r="D36" s="27" t="n">
        <v>6.866</v>
      </c>
      <c r="E36" s="27" t="n">
        <v>9.503</v>
      </c>
      <c r="F36" s="27" t="n">
        <v>0.059</v>
      </c>
      <c r="G36" s="27" t="n">
        <v>2.284</v>
      </c>
      <c r="H36" s="27" t="n">
        <v>0</v>
      </c>
      <c r="I36" s="27" t="n">
        <v>14.918</v>
      </c>
      <c r="J36" s="27" t="n">
        <v>361.853</v>
      </c>
      <c r="K36" s="27" t="n">
        <v>0</v>
      </c>
      <c r="L36" s="27" t="n">
        <v>0.274</v>
      </c>
      <c r="M36" s="27" t="n">
        <v>0.96</v>
      </c>
      <c r="N36" s="27" t="n">
        <v>14.755</v>
      </c>
      <c r="O36" s="27" t="n">
        <v>43.023</v>
      </c>
      <c r="P36" s="27" t="n">
        <v>50.699</v>
      </c>
      <c r="Q36" s="27" t="n">
        <v>94.316</v>
      </c>
      <c r="R36" s="27" t="n">
        <v>0</v>
      </c>
      <c r="S36" s="27" t="n">
        <v>2656.329</v>
      </c>
      <c r="T36" s="27" t="n">
        <v>0</v>
      </c>
      <c r="U36" s="27" t="n">
        <v>2.936</v>
      </c>
      <c r="V36" s="27" t="n">
        <v>0</v>
      </c>
      <c r="W36" s="27" t="n">
        <v>207.032</v>
      </c>
      <c r="X36" s="27" t="n">
        <v>0.127</v>
      </c>
      <c r="Y36" s="27" t="n">
        <v>1.855</v>
      </c>
      <c r="Z36" s="27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275</v>
      </c>
    </row>
    <row r="2" customFormat="false" ht="15" hidden="false" customHeight="false" outlineLevel="0" collapsed="false">
      <c r="A2" s="22" t="s">
        <v>276</v>
      </c>
    </row>
    <row r="3" customFormat="false" ht="15" hidden="false" customHeight="false" outlineLevel="0" collapsed="false">
      <c r="A3" s="22" t="s">
        <v>277</v>
      </c>
    </row>
    <row r="5" customFormat="false" ht="26.85" hidden="false" customHeight="false" outlineLevel="0" collapsed="false">
      <c r="A5" s="3" t="s">
        <v>278</v>
      </c>
      <c r="B5" s="3" t="s">
        <v>279</v>
      </c>
      <c r="C5" s="3" t="s">
        <v>280</v>
      </c>
      <c r="D5" s="3" t="s">
        <v>281</v>
      </c>
    </row>
    <row r="6" customFormat="false" ht="15" hidden="false" customHeight="false" outlineLevel="0" collapsed="false">
      <c r="A6" s="4" t="s">
        <v>282</v>
      </c>
      <c r="B6" s="28" t="n">
        <v>372</v>
      </c>
      <c r="C6" s="8" t="n">
        <f aca="false">B6/B$10</f>
        <v>0.145142411236832</v>
      </c>
      <c r="D6" s="29" t="n">
        <f aca="false">C6*500</f>
        <v>72.5712056184159</v>
      </c>
    </row>
    <row r="7" customFormat="false" ht="15" hidden="false" customHeight="false" outlineLevel="0" collapsed="false">
      <c r="A7" s="4" t="s">
        <v>283</v>
      </c>
      <c r="B7" s="28" t="n">
        <v>339</v>
      </c>
      <c r="C7" s="8" t="n">
        <f aca="false">B7/B$10</f>
        <v>0.132266874756145</v>
      </c>
      <c r="D7" s="29" t="n">
        <f aca="false">C7*500</f>
        <v>66.1334373780726</v>
      </c>
    </row>
    <row r="8" customFormat="false" ht="15" hidden="false" customHeight="false" outlineLevel="0" collapsed="false">
      <c r="A8" s="4" t="s">
        <v>284</v>
      </c>
      <c r="B8" s="28" t="n">
        <v>862</v>
      </c>
      <c r="C8" s="8" t="n">
        <f aca="false">B8/B$10</f>
        <v>0.336324619586422</v>
      </c>
      <c r="D8" s="29" t="n">
        <f aca="false">C8*500</f>
        <v>168.162309793211</v>
      </c>
    </row>
    <row r="9" customFormat="false" ht="15" hidden="false" customHeight="false" outlineLevel="0" collapsed="false">
      <c r="A9" s="4" t="s">
        <v>285</v>
      </c>
      <c r="B9" s="28" t="n">
        <v>990</v>
      </c>
      <c r="C9" s="8" t="n">
        <f aca="false">B9/B$10</f>
        <v>0.386266094420601</v>
      </c>
      <c r="D9" s="29" t="n">
        <f aca="false">C9*500</f>
        <v>193.1330472103</v>
      </c>
    </row>
    <row r="10" customFormat="false" ht="15" hidden="false" customHeight="false" outlineLevel="0" collapsed="false">
      <c r="A10" s="10" t="s">
        <v>286</v>
      </c>
      <c r="B10" s="10" t="n">
        <f aca="false">SUM(B6:B9)</f>
        <v>2563</v>
      </c>
      <c r="C10" s="12"/>
      <c r="D10" s="30" t="n">
        <f aca="false">SUM(D6:D9)</f>
        <v>500</v>
      </c>
    </row>
    <row r="12" customFormat="false" ht="15" hidden="false" customHeight="false" outlineLevel="0" collapsed="false">
      <c r="A12" s="13" t="s">
        <v>287</v>
      </c>
    </row>
    <row r="13" customFormat="false" ht="15" hidden="false" customHeight="false" outlineLevel="0" collapsed="false">
      <c r="A13" s="4" t="s">
        <v>288</v>
      </c>
      <c r="B13" s="31" t="n">
        <v>299</v>
      </c>
      <c r="C13" s="32" t="s">
        <v>289</v>
      </c>
    </row>
    <row r="14" customFormat="false" ht="15" hidden="false" customHeight="false" outlineLevel="0" collapsed="false">
      <c r="A14" s="4" t="s">
        <v>290</v>
      </c>
      <c r="B14" s="31" t="n">
        <v>152</v>
      </c>
      <c r="C14" s="32" t="s">
        <v>289</v>
      </c>
    </row>
    <row r="16" customFormat="false" ht="15" hidden="false" customHeight="false" outlineLevel="0" collapsed="false">
      <c r="A16" s="33" t="s">
        <v>291</v>
      </c>
    </row>
    <row r="17" customFormat="false" ht="15" hidden="false" customHeight="false" outlineLevel="0" collapsed="false">
      <c r="A17" s="22" t="s">
        <v>292</v>
      </c>
    </row>
    <row r="18" customFormat="false" ht="15" hidden="false" customHeight="false" outlineLevel="0" collapsed="false">
      <c r="A18" s="22" t="s">
        <v>293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294</v>
      </c>
    </row>
    <row r="21" customFormat="false" ht="15" hidden="false" customHeight="false" outlineLevel="0" collapsed="false">
      <c r="A21" s="22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297</v>
      </c>
    </row>
    <row r="4" customFormat="false" ht="15" hidden="false" customHeight="false" outlineLevel="0" collapsed="false">
      <c r="A4" s="2" t="s">
        <v>298</v>
      </c>
    </row>
    <row r="5" customFormat="false" ht="15" hidden="false" customHeight="false" outlineLevel="0" collapsed="false">
      <c r="A5" s="2" t="s">
        <v>299</v>
      </c>
    </row>
    <row r="6" customFormat="false" ht="15" hidden="false" customHeight="false" outlineLevel="0" collapsed="false">
      <c r="A6" s="2" t="s">
        <v>300</v>
      </c>
    </row>
    <row r="7" customFormat="false" ht="15" hidden="false" customHeight="false" outlineLevel="0" collapsed="false">
      <c r="A7" s="2" t="s">
        <v>301</v>
      </c>
    </row>
    <row r="8" customFormat="false" ht="15" hidden="false" customHeight="false" outlineLevel="0" collapsed="false">
      <c r="A8" s="2" t="s">
        <v>302</v>
      </c>
    </row>
    <row r="9" customFormat="false" ht="15" hidden="false" customHeight="false" outlineLevel="0" collapsed="false">
      <c r="A9" s="2" t="s">
        <v>303</v>
      </c>
    </row>
    <row r="10" customFormat="false" ht="15" hidden="false" customHeight="false" outlineLevel="0" collapsed="false">
      <c r="A10" s="2" t="s">
        <v>304</v>
      </c>
    </row>
    <row r="11" customFormat="false" ht="15" hidden="false" customHeight="false" outlineLevel="0" collapsed="false">
      <c r="A11" s="2" t="s">
        <v>305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306</v>
      </c>
    </row>
    <row r="14" customFormat="false" ht="15" hidden="false" customHeight="false" outlineLevel="0" collapsed="false">
      <c r="A14" s="2" t="s">
        <v>307</v>
      </c>
    </row>
    <row r="15" customFormat="false" ht="15" hidden="false" customHeight="false" outlineLevel="0" collapsed="false">
      <c r="A15" s="2" t="s">
        <v>308</v>
      </c>
    </row>
    <row r="16" customFormat="false" ht="15" hidden="false" customHeight="false" outlineLevel="0" collapsed="false">
      <c r="A16" s="2" t="s">
        <v>309</v>
      </c>
    </row>
    <row r="17" customFormat="false" ht="15" hidden="false" customHeight="false" outlineLevel="0" collapsed="false">
      <c r="A17" s="2" t="s">
        <v>310</v>
      </c>
    </row>
    <row r="18" customFormat="false" ht="15" hidden="false" customHeight="false" outlineLevel="0" collapsed="false">
      <c r="A18" s="2" t="s">
        <v>311</v>
      </c>
    </row>
    <row r="19" customFormat="false" ht="15" hidden="false" customHeight="false" outlineLevel="0" collapsed="false">
      <c r="A19" s="2" t="s">
        <v>312</v>
      </c>
    </row>
    <row r="20" customFormat="false" ht="15" hidden="false" customHeight="false" outlineLevel="0" collapsed="false">
      <c r="A20" s="2" t="s">
        <v>313</v>
      </c>
    </row>
    <row r="21" customFormat="false" ht="15" hidden="false" customHeight="false" outlineLevel="0" collapsed="false">
      <c r="A21" s="2" t="s">
        <v>314</v>
      </c>
    </row>
    <row r="22" customFormat="false" ht="15" hidden="false" customHeight="false" outlineLevel="0" collapsed="false">
      <c r="A22" s="2" t="s">
        <v>315</v>
      </c>
    </row>
    <row r="23" customFormat="false" ht="15" hidden="false" customHeight="false" outlineLevel="0" collapsed="false">
      <c r="A23" s="2" t="s">
        <v>316</v>
      </c>
    </row>
    <row r="24" customFormat="false" ht="15" hidden="false" customHeight="false" outlineLevel="0" collapsed="false">
      <c r="A24" s="2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318</v>
      </c>
    </row>
    <row r="2" customFormat="false" ht="15" hidden="false" customHeight="false" outlineLevel="0" collapsed="false">
      <c r="A2" s="22" t="s">
        <v>319</v>
      </c>
    </row>
    <row r="3" customFormat="false" ht="15" hidden="false" customHeight="false" outlineLevel="0" collapsed="false">
      <c r="A3" s="34" t="s">
        <v>320</v>
      </c>
    </row>
    <row r="5" customFormat="false" ht="26.85" hidden="false" customHeight="false" outlineLevel="0" collapsed="false">
      <c r="A5" s="3" t="s">
        <v>169</v>
      </c>
      <c r="B5" s="3" t="s">
        <v>321</v>
      </c>
      <c r="C5" s="3" t="s">
        <v>322</v>
      </c>
      <c r="D5" s="3" t="s">
        <v>323</v>
      </c>
      <c r="E5" s="3" t="s">
        <v>324</v>
      </c>
      <c r="F5" s="3" t="s">
        <v>325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5" t="s">
        <v>326</v>
      </c>
      <c r="F6" s="36" t="s">
        <v>327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5" t="s">
        <v>326</v>
      </c>
      <c r="F7" s="36" t="s">
        <v>328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5" t="s">
        <v>326</v>
      </c>
      <c r="F8" s="36" t="s">
        <v>328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5" t="s">
        <v>326</v>
      </c>
      <c r="F9" s="36" t="s">
        <v>327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5" t="s">
        <v>326</v>
      </c>
      <c r="F10" s="36" t="s">
        <v>328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5" t="s">
        <v>326</v>
      </c>
      <c r="F11" s="36" t="s">
        <v>328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5" t="s">
        <v>326</v>
      </c>
      <c r="F12" s="36" t="s">
        <v>328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5" t="s">
        <v>326</v>
      </c>
      <c r="F13" s="36" t="s">
        <v>327</v>
      </c>
    </row>
    <row r="14" customFormat="false" ht="15" hidden="false" customHeight="false" outlineLevel="0" collapsed="false">
      <c r="A14" s="4" t="s">
        <v>329</v>
      </c>
      <c r="B14" s="7" t="n">
        <v>0</v>
      </c>
      <c r="C14" s="7" t="n">
        <v>17.427</v>
      </c>
      <c r="D14" s="7" t="n">
        <v>17.427</v>
      </c>
      <c r="E14" s="35" t="s">
        <v>326</v>
      </c>
      <c r="F14" s="36" t="s">
        <v>327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5" t="s">
        <v>326</v>
      </c>
      <c r="F15" s="36" t="s">
        <v>328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5" t="s">
        <v>326</v>
      </c>
      <c r="F16" s="36" t="s">
        <v>327</v>
      </c>
    </row>
    <row r="17" customFormat="false" ht="15" hidden="false" customHeight="false" outlineLevel="0" collapsed="false">
      <c r="A17" s="4" t="s">
        <v>330</v>
      </c>
      <c r="B17" s="7" t="n">
        <v>0</v>
      </c>
      <c r="C17" s="7" t="n">
        <v>8.135</v>
      </c>
      <c r="D17" s="7" t="n">
        <v>8.135</v>
      </c>
      <c r="E17" s="35" t="s">
        <v>326</v>
      </c>
      <c r="F17" s="36" t="s">
        <v>328</v>
      </c>
    </row>
    <row r="18" customFormat="false" ht="15" hidden="false" customHeight="false" outlineLevel="0" collapsed="false">
      <c r="A18" s="4" t="s">
        <v>331</v>
      </c>
      <c r="B18" s="7" t="n">
        <v>0</v>
      </c>
      <c r="C18" s="7" t="n">
        <v>4.795</v>
      </c>
      <c r="D18" s="7" t="n">
        <v>4.795</v>
      </c>
      <c r="E18" s="35" t="s">
        <v>326</v>
      </c>
      <c r="F18" s="36" t="s">
        <v>328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5" t="s">
        <v>326</v>
      </c>
      <c r="F19" s="36" t="s">
        <v>328</v>
      </c>
    </row>
    <row r="20" customFormat="false" ht="15" hidden="false" customHeight="false" outlineLevel="0" collapsed="false">
      <c r="A20" s="4" t="s">
        <v>332</v>
      </c>
      <c r="B20" s="7" t="n">
        <v>0</v>
      </c>
      <c r="C20" s="7" t="n">
        <v>0.047</v>
      </c>
      <c r="D20" s="7" t="n">
        <v>0.047</v>
      </c>
      <c r="E20" s="35" t="s">
        <v>326</v>
      </c>
      <c r="F20" s="36" t="s">
        <v>333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5" t="s">
        <v>326</v>
      </c>
      <c r="F21" s="36" t="s">
        <v>328</v>
      </c>
    </row>
    <row r="23" customFormat="false" ht="15" hidden="false" customHeight="false" outlineLevel="0" collapsed="false">
      <c r="A23" s="33" t="s">
        <v>334</v>
      </c>
    </row>
    <row r="24" customFormat="false" ht="15" hidden="false" customHeight="false" outlineLevel="0" collapsed="false">
      <c r="A24" s="21" t="s">
        <v>335</v>
      </c>
    </row>
    <row r="25" customFormat="false" ht="15" hidden="false" customHeight="false" outlineLevel="0" collapsed="false">
      <c r="A25" s="21" t="s">
        <v>336</v>
      </c>
    </row>
    <row r="26" customFormat="false" ht="15" hidden="false" customHeight="false" outlineLevel="0" collapsed="false">
      <c r="A26" s="21" t="s">
        <v>337</v>
      </c>
    </row>
    <row r="27" customFormat="false" ht="15" hidden="false" customHeight="false" outlineLevel="0" collapsed="false">
      <c r="A27" s="21" t="s">
        <v>338</v>
      </c>
    </row>
    <row r="28" customFormat="false" ht="15" hidden="false" customHeight="false" outlineLevel="0" collapsed="false">
      <c r="A28" s="21" t="s">
        <v>339</v>
      </c>
    </row>
    <row r="29" customFormat="false" ht="15" hidden="false" customHeight="false" outlineLevel="0" collapsed="false">
      <c r="A29" s="21" t="s">
        <v>340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341</v>
      </c>
    </row>
    <row r="32" customFormat="false" ht="15" hidden="false" customHeight="false" outlineLevel="0" collapsed="false">
      <c r="A32" s="21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2026-07-27T23:08:18Z</dcterms:created>
  <dc:creator>openpyxl</dc:creator>
  <dc:description/>
  <dc:language>en-US</dc:language>
  <cp:lastModifiedBy/>
  <dcterms:modified xsi:type="dcterms:W3CDTF">2026-07-27T23:08:19Z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