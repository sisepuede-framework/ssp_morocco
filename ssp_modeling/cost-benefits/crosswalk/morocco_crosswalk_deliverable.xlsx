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colors1.xml" ContentType="application/vnd.ms-office.chartcolorstyle+xml"/>
  <Override PartName="/xl/charts/colors10.xml" ContentType="application/vnd.ms-office.chartcolorstyle+xml"/>
  <Override PartName="/xl/charts/colors4.xml" ContentType="application/vnd.ms-office.chartcolorstyle+xml"/>
  <Override PartName="/xl/charts/style3.xml" ContentType="application/vnd.ms-office.chartstyle+xml"/>
  <Override PartName="/xl/charts/style10.xml" ContentType="application/vnd.ms-office.chartstyle+xml"/>
  <Override PartName="/xl/charts/chart4.xml" ContentType="application/vnd.openxmlformats-officedocument.drawingml.chart+xml"/>
  <Override PartName="/xl/charts/style5.xml" ContentType="application/vnd.ms-office.chart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hart6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9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4.xml" ContentType="application/vnd.ms-office.chartstyle+xml"/>
  <Override PartName="/xl/charts/chart10.xml" ContentType="application/vnd.openxmlformats-officedocument.drawingml.chart+xml"/>
  <Override PartName="/xl/charts/chart3.xml" ContentType="application/vnd.openxmlformats-officedocument.drawingml.chart+xml"/>
  <Override PartName="/xl/charts/style9.xml" ContentType="application/vnd.ms-office.chartstyle+xml"/>
  <Override PartName="/xl/charts/style11.xml" ContentType="application/vnd.ms-office.chartstyle+xml"/>
  <Override PartName="/xl/charts/chart12.xml" ContentType="application/vnd.openxmlformats-officedocument.drawingml.chart+xml"/>
  <Override PartName="/xl/charts/colors5.xml" ContentType="application/vnd.ms-office.chartcolor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Vs_chart" sheetId="12" state="visible" r:id="rId14"/>
    <sheet name="T4_elec_generation" sheetId="13" state="visible" r:id="rId15"/>
    <sheet name="T4_elec_chart" sheetId="14" state="visible" r:id="rId16"/>
    <sheet name="T4_energy_by_fuel" sheetId="15" state="visible" r:id="rId17"/>
    <sheet name="T5_ecosystem_split" sheetId="16" state="visible" r:id="rId18"/>
    <sheet name="T5_memo" sheetId="17" state="visible" r:id="rId19"/>
    <sheet name="T7_pct_chang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<sst xmlns="http://schemas.openxmlformats.org/spreadsheetml/2006/main" count="799" uniqueCount="374">
  <si>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</si>
  <si>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</si>
  <si>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</si>
  <si>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</si>
  <si>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</si>
  <si>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</si>
  <si>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</si>
  <si>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</si>
  <si>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</si>
  <si>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</si>
  <si>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</si>
  <si>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</si>
  <si>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</si>
  <si>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</si>
  <si>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</si>
  <si>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</si>
  <si>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</si>
  <si>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</si>
  <si>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</si>
  <si>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</si>
  <si>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</si>
  <si>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</si>
  <si>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</si>
  <si>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</si>
  <si>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</si>
  <si>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</si>
  <si>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</si>
  <si>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</si>
  <si>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</si>
  <si>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</si>
  <si>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</si>
  <si>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</si>
  <si>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</si>
  <si>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</si>
  <si>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</si>
  <si>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</si>
  <si>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</si>
  <si>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</si>
  <si>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</si>
  <si>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</si>
  <si>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</si>
  <si>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</si>
  <si>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</si>
  <si>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</si>
  <si>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</si>
  <si>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</si>
  <si>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</si>
  <si>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</si>
  <si>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</si>
  <si>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</si>
  <si>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</si>
  <si>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</si>
  <si>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</si>
  <si>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</si>
  <si>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</si>
  <si>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</si>
  <si>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</si>
  <si>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</si>
  <si>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</si>
  <si>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</si>
  <si>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</si>
  <si>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</si>
  <si>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</si>
  <si>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</si>
  <si>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</si>
  <si>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</si>
  <si>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</si>
  <si>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</si>
  <si>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</si>
  <si>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</si>
  <si>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</si>
  <si>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</si>
  <si>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</si>
  <si>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</si>
  <si>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</si>
  <si>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</si>
  <si>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</si>
  <si>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</si>
  <si>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</si>
  <si>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</si>
  <si>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</si>
  <si>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</si>
  <si>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</si>
  <si>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</si>
  <si>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</si>
  <si>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</si>
  <si>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</si>
  <si>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</si>
  <si>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</si>
  <si>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</si>
  <si>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</si>
  <si>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</si>
  <si>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</si>
  <si>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</si>
  <si>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</si>
  <si>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</si>
  <si>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</si>
  <si>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</si>
  <si>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</si>
  <si>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</si>
  <si>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</si>
  <si>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</si>
  <si>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</si>
  <si>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</si>
  <si>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</si>
  <si>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</si>
  <si>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</si>
  <si>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</si>
  <si>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</si>
  <si>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</si>
  <si>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</si>
  <si>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</si>
  <si>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</si>
  <si>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</si>
  <si>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</si>
  <si>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</si>
  <si>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</si>
  <si>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</si>
  <si>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</si>
  <si>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</si>
  <si>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</si>
  <si>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</si>
  <si>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</si>
  <si>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</si>
  <si>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</si>
  <si>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</si>
  <si>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</si>
  <si>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</si>
  <si>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</si>
  <si>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</si>
  <si>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</si>
  <si>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</si>
  <si>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</si>
  <si>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</si>
  <si>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</si>
  <si>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</si>
  <si>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</si>
  <si>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</si>
  <si>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</si>
  <si>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</si>
  <si>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</si>
  <si>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</si>
  <si>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</si>
  <si>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</si>
  <si>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</si>
  <si>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</si>
  <si>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</si>
  <si>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</si>
  <si>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</si>
  <si>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</si>
  <si>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</si>
  <si>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</si>
  <si>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</si>
  <si>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</si>
  <si>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</si>
  <si>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</si>
  <si>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</si>
  <si>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</si>
  <si>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</si>
  <si>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</si>
  <si>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</si>
  <si>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</si>
  <si>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</si>
  <si>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</si>
  <si>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</si>
  <si>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</si>
  <si>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</si>
  <si>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</si>
  <si>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</si>
  <si>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</si>
  <si>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</si>
  <si>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</si>
  <si>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</si>
  <si>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</si>
  <si>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</si>
  <si>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</si>
  <si>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</si>
  <si>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</si>
  <si>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</si>
  <si>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</si>
  <si>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</si>
  <si>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</si>
  <si>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</si>
  <si>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</si>
  <si>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</si>
  <si>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</si>
  <si>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</si>
  <si>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</si>
  <si>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</si>
  <si>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</si>
  <si>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</si>
  <si>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</si>
  <si>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</si>
  <si>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</si>
  <si>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</si>
  <si>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</si>
  <si>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</si>
  <si>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</si>
  <si>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</si>
  <si>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</si>
  <si>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</si>
  <si>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</si>
  <si>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</si>
  <si>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</si>
  <si>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</si>
  <si>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</si>
  <si>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</si>
  <si>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</si>
  <si>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</si>
  <si>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</si>
  <si>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</si>
  <si>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</si>
  <si>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</si>
  <si>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</si>
  <si>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</si>
  <si>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</si>
  <si>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</si>
  <si>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</si>
  <si>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</si>
  <si>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</si>
  <si>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</si>
  <si>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</si>
  <si>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</si>
  <si>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</si>
  <si>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</si>
  <si>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</si>
  <si>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DATA — VKM (vehicle-km) by fuel; source: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</si>
  <si>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</si>
  <si>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</si>
  <si>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</si>
  <si>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</si>
  <si>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</si>
  <si>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</si>
  <si>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</si>
  <si>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ESTIMATION — vehicles = VKM / 12,000  (each cell = the RAW cell above divided by 12,000)</t>
  </si>
  <si>
    <t xml:space="preserve">VEHICLES — Business as Usual - CDN</t>
  </si>
  <si>
    <t xml:space="preserve">VEHICLES — Baseline Scenario - SNBC</t>
  </si>
  <si>
    <t xml:space="preserve">VEHICLES — LTS</t>
  </si>
  <si>
    <t xml:space="preserve">PUBLIC  —  divisor 60,000 km/veh/yr</t>
  </si>
  <si>
    <t xml:space="preserve">RAW DATA — VKM (vehicle-km) by fuel; source: vehicle_distance_traveled_trns_public_&lt;fuel&gt;</t>
  </si>
  <si>
    <t xml:space="preserve">ESTIMATION — vehicles = VKM / 60,000  (each cell = the RAW cell above divided by 60,000)</t>
  </si>
  <si>
    <t xml:space="preserve">ROAD_HEAVY_FREIGHT  —  divisor 60,000 km/veh/yr</t>
  </si>
  <si>
    <t xml:space="preserve">RAW DATA — VKM (vehicle-km) by fuel; source: vehicle_distance_traveled_trns_road_heavy_freight_&lt;fuel&gt;</t>
  </si>
  <si>
    <t xml:space="preserve">hydrogen</t>
  </si>
  <si>
    <t xml:space="preserve">natural_gas</t>
  </si>
  <si>
    <t xml:space="preserve">Task 4 — Number of vehicles by fuel, per strategy (stacked area)</t>
  </si>
  <si>
    <t xml:space="preserve">Stacked area of the ESTIMATION blocks in T4_vehicles (vehicles = VKM / divisor). Reproduces the Tableau 'EVs-Private' (road_light) and 'EVs-Public' (public, road_heavy_freight) views. Note under LTS: road_light -&gt; Electricity, road_heavy_freight -&gt; Hydrogen.</t>
  </si>
  <si>
    <t xml:space="preserve">Rendered images (guaranteed to display); interactive native charts are further below.</t>
  </si>
  <si>
    <t xml:space="preserve">Private light vehicles (road_light, /12,000)</t>
  </si>
  <si>
    <t xml:space="preserve">Public transport (public, /60,000)</t>
  </si>
  <si>
    <t xml:space="preserve">Heavy freight trucks (road_heavy_freight, /60,000)</t>
  </si>
  <si>
    <t xml:space="preserve">Task 4 — Electricity production by technology: PJ (raw) and % of total, per scenario</t>
  </si>
  <si>
    <t xml:space="preserve">HOW THIS WAS COMPUTED (electricity generation mix), all straight from the raw run:</t>
  </si>
  <si>
    <t xml:space="preserve">  RAW: electricity produced by each generation technology, per scenario and year, from the raw wide-output</t>
  </si>
  <si>
    <t xml:space="preserve">  column  nemomod_entc_annual_production_by_technology_pp_&lt;tech&gt;  (PJ).</t>
  </si>
  <si>
    <t xml:space="preserve">  Below each raw block: SHARE OF TOTAL = technology PJ / that year's total PJ (live formula). Reproduces the</t>
  </si>
  <si>
    <t xml:space="preserve">  Tableau 'Electricity Generation by Source' view. Scenarios: BASE = 'Business as Usual - CDN',</t>
  </si>
  <si>
    <t xml:space="preserve">  bau = 'Baseline Scenario - SNBC', LEDS = 'LTS'.</t>
  </si>
  <si>
    <t xml:space="preserve">RAW — electricity production (PJ) by technology; source: nemomod_entc_annual_production_by_technology_pp_&lt;tech&gt;</t>
  </si>
  <si>
    <t xml:space="preserve">RAW PJ — Business as Usual - CDN</t>
  </si>
  <si>
    <t xml:space="preserve">wind</t>
  </si>
  <si>
    <t xml:space="preserve">coal</t>
  </si>
  <si>
    <t xml:space="preserve">solar</t>
  </si>
  <si>
    <t xml:space="preserve">gas</t>
  </si>
  <si>
    <t xml:space="preserve">oil</t>
  </si>
  <si>
    <t xml:space="preserve">nuclear</t>
  </si>
  <si>
    <t xml:space="preserve">hydropower</t>
  </si>
  <si>
    <t xml:space="preserve">biomass</t>
  </si>
  <si>
    <t xml:space="preserve">biogas</t>
  </si>
  <si>
    <t xml:space="preserve">waste_incineration</t>
  </si>
  <si>
    <t xml:space="preserve">RAW PJ — Baseline Scenario - SNBC</t>
  </si>
  <si>
    <t xml:space="preserve">RAW PJ — LTS</t>
  </si>
  <si>
    <t xml:space="preserve">SHARE OF TOTAL — % = technology PJ / total PJ  (formula referencing the RAW block above)</t>
  </si>
  <si>
    <t xml:space="preserve">% OF TOTAL — Business as Usual - CDN</t>
  </si>
  <si>
    <t xml:space="preserve">% OF TOTAL — Baseline Scenario - SNBC</t>
  </si>
  <si>
    <t xml:space="preserve">% OF TOTAL — LTS</t>
  </si>
  <si>
    <t xml:space="preserve">Task 4 — Electricity generation by source (% of total), per scenario</t>
  </si>
  <si>
    <t xml:space="preserve">Stacked area of the SHARE-OF-TOTAL blocks in T4_elec_generation. Reproduces the Tableau 'Electricity Generation by Source Morocco'.</t>
  </si>
  <si>
    <t xml:space="preserve">Rendered image (guaranteed to display); interactive native charts are further below.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</si>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</sst>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4672A8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808080"/>
      <rgbColor rgb="FF93A9CE"/>
      <rgbColor rgb="FFAB4744"/>
      <rgbColor rgb="FFFFF2CC"/>
      <rgbColor rgb="FFCCFF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8CD97"/>
      <rgbColor rgb="FFD09493"/>
      <rgbColor rgb="FFA99BBD"/>
      <rgbColor rgb="FFFFCC99"/>
      <rgbColor rgb="FF4672A8"/>
      <rgbColor rgb="FF4BACC6"/>
      <rgbColor rgb="FF9BBB59"/>
      <rgbColor rgb="FFFFCC00"/>
      <rgbColor rgb="FFFF9900"/>
      <rgbColor rgb="FFFF6600"/>
      <rgbColor rgb="FF725990"/>
      <rgbColor rgb="FF878787"/>
      <rgbColor rgb="FF003366"/>
      <rgbColor rgb="FF4299B0"/>
      <rgbColor rgb="FF003300"/>
      <rgbColor rgb="FF333300"/>
      <rgbColor rgb="FF8064A2"/>
      <rgbColor rgb="FFC0504D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T4_vehicles!B108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T4_vehicles!$B$109:$B$136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T4_vehicles!C108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T4_vehicles!$C$109:$C$136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T4_vehicles!D108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T4_vehicles!$D$109:$D$136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T4_vehicles!E108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T4_vehicles!$E$109:$E$136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4476191"/>
        <c:axId val="76547763"/>
      </c:areaChart>
      <c:catAx>
        <c:axId val="44761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547763"/>
        <c:crosses val="autoZero"/>
        <c:auto val="1"/>
        <c:lblAlgn val="ctr"/>
        <c:lblOffset val="100"/>
        <c:noMultiLvlLbl val="0"/>
      </c:catAx>
      <c:valAx>
        <c:axId val="765477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7619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T4_vehicles!B140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T4_vehicles!$B$141:$B$168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T4_vehicles!C140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T4_vehicles!$C$141:$C$168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T4_vehicles!D140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T4_vehicles!$D$141:$D$168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T4_vehicles!E140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T4_vehicles!$E$141:$E$168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42283758"/>
        <c:axId val="85901902"/>
      </c:areaChart>
      <c:catAx>
        <c:axId val="422837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901902"/>
        <c:crosses val="autoZero"/>
        <c:auto val="1"/>
        <c:lblAlgn val="ctr"/>
        <c:lblOffset val="100"/>
        <c:noMultiLvlLbl val="0"/>
      </c:catAx>
      <c:valAx>
        <c:axId val="859019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28375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T4_vehicles!B172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T4_vehicles!$B$173:$B$200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375972.965433333</c:v>
                </c:pt>
                <c:pt idx="11">
                  <c:v>770920.946308333</c:v>
                </c:pt>
                <c:pt idx="12">
                  <c:v>1184684.495</c:v>
                </c:pt>
                <c:pt idx="13">
                  <c:v>1617020.74556667</c:v>
                </c:pt>
                <c:pt idx="14">
                  <c:v>2067597.85555833</c:v>
                </c:pt>
                <c:pt idx="15">
                  <c:v>2535990.72701667</c:v>
                </c:pt>
                <c:pt idx="16">
                  <c:v>3021674.89160833</c:v>
                </c:pt>
                <c:pt idx="17">
                  <c:v>3524022.16181667</c:v>
                </c:pt>
                <c:pt idx="18">
                  <c:v>4044318.88785833</c:v>
                </c:pt>
                <c:pt idx="19">
                  <c:v>4582518.2008</c:v>
                </c:pt>
                <c:pt idx="20">
                  <c:v>5138503.68083333</c:v>
                </c:pt>
                <c:pt idx="21">
                  <c:v>5712077.432625</c:v>
                </c:pt>
                <c:pt idx="22">
                  <c:v>6302954.20100833</c:v>
                </c:pt>
                <c:pt idx="23">
                  <c:v>6910753.13135</c:v>
                </c:pt>
                <c:pt idx="24">
                  <c:v>7535005.72820833</c:v>
                </c:pt>
                <c:pt idx="25">
                  <c:v>8175126.10176667</c:v>
                </c:pt>
                <c:pt idx="26">
                  <c:v>8830408.88801667</c:v>
                </c:pt>
                <c:pt idx="27">
                  <c:v>9500024.569625</c:v>
                </c:pt>
              </c:numCache>
            </c:numRef>
          </c:val>
        </c:ser>
        <c:ser>
          <c:idx val="1"/>
          <c:order val="1"/>
          <c:tx>
            <c:strRef>
              <c:f>T4_vehicles!C172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T4_vehicles!$C$173:$C$200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2401135.43943333</c:v>
                </c:pt>
                <c:pt idx="4">
                  <c:v>2470914.22331667</c:v>
                </c:pt>
                <c:pt idx="5">
                  <c:v>2541710.740625</c:v>
                </c:pt>
                <c:pt idx="6">
                  <c:v>2615096.32235</c:v>
                </c:pt>
                <c:pt idx="7">
                  <c:v>2688741.28571667</c:v>
                </c:pt>
                <c:pt idx="8">
                  <c:v>2762530.086925</c:v>
                </c:pt>
                <c:pt idx="9">
                  <c:v>2836338.07925</c:v>
                </c:pt>
                <c:pt idx="10">
                  <c:v>2748362.377325</c:v>
                </c:pt>
                <c:pt idx="11">
                  <c:v>2651968.05529167</c:v>
                </c:pt>
                <c:pt idx="12">
                  <c:v>2547071.66425</c:v>
                </c:pt>
                <c:pt idx="13">
                  <c:v>2433616.222075</c:v>
                </c:pt>
                <c:pt idx="14">
                  <c:v>2311574.40250833</c:v>
                </c:pt>
                <c:pt idx="15">
                  <c:v>2180952.02523333</c:v>
                </c:pt>
                <c:pt idx="16">
                  <c:v>2041788.89104167</c:v>
                </c:pt>
                <c:pt idx="17">
                  <c:v>1894161.911975</c:v>
                </c:pt>
                <c:pt idx="18">
                  <c:v>1739057.12178333</c:v>
                </c:pt>
                <c:pt idx="19">
                  <c:v>1576386.261075</c:v>
                </c:pt>
                <c:pt idx="20">
                  <c:v>1406081.46175833</c:v>
                </c:pt>
                <c:pt idx="21">
                  <c:v>1228096.64801667</c:v>
                </c:pt>
                <c:pt idx="22">
                  <c:v>1042411.65631667</c:v>
                </c:pt>
                <c:pt idx="23">
                  <c:v>849035.384708333</c:v>
                </c:pt>
                <c:pt idx="24">
                  <c:v>648010.492625</c:v>
                </c:pt>
                <c:pt idx="25">
                  <c:v>439413.027966667</c:v>
                </c:pt>
                <c:pt idx="26">
                  <c:v>223357.401283333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T4_vehicles!D172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T4_vehicles!$D$173:$D$200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3071219.74810833</c:v>
                </c:pt>
                <c:pt idx="4">
                  <c:v>3160471.68098333</c:v>
                </c:pt>
                <c:pt idx="5">
                  <c:v>3251025.36591667</c:v>
                </c:pt>
                <c:pt idx="6">
                  <c:v>3344890.64486667</c:v>
                </c:pt>
                <c:pt idx="7">
                  <c:v>3439087.69103333</c:v>
                </c:pt>
                <c:pt idx="8">
                  <c:v>3533468.71583333</c:v>
                </c:pt>
                <c:pt idx="9">
                  <c:v>3627874.28740833</c:v>
                </c:pt>
                <c:pt idx="10">
                  <c:v>3515347.22681667</c:v>
                </c:pt>
                <c:pt idx="11">
                  <c:v>3392052.16375</c:v>
                </c:pt>
                <c:pt idx="12">
                  <c:v>3257882.36125</c:v>
                </c:pt>
                <c:pt idx="13">
                  <c:v>3112764.93520833</c:v>
                </c:pt>
                <c:pt idx="14">
                  <c:v>2956664.93344167</c:v>
                </c:pt>
                <c:pt idx="15">
                  <c:v>2789589.79971667</c:v>
                </c:pt>
                <c:pt idx="16">
                  <c:v>2611590.44203333</c:v>
                </c:pt>
                <c:pt idx="17">
                  <c:v>2422765.23625</c:v>
                </c:pt>
                <c:pt idx="18">
                  <c:v>2224375.388325</c:v>
                </c:pt>
                <c:pt idx="19">
                  <c:v>2016308.00835</c:v>
                </c:pt>
                <c:pt idx="20">
                  <c:v>1798476.28829167</c:v>
                </c:pt>
                <c:pt idx="21">
                  <c:v>1570821.293975</c:v>
                </c:pt>
                <c:pt idx="22">
                  <c:v>1333317.234825</c:v>
                </c:pt>
                <c:pt idx="23">
                  <c:v>1085975.49206667</c:v>
                </c:pt>
                <c:pt idx="24">
                  <c:v>828850.6301</c:v>
                </c:pt>
                <c:pt idx="25">
                  <c:v>562039.9195</c:v>
                </c:pt>
                <c:pt idx="26">
                  <c:v>285689.699316667</c:v>
                </c:pt>
                <c:pt idx="27">
                  <c:v>0</c:v>
                </c:pt>
              </c:numCache>
            </c:numRef>
          </c:val>
        </c:ser>
        <c:ser>
          <c:idx val="3"/>
          <c:order val="3"/>
          <c:tx>
            <c:strRef>
              <c:f>T4_vehicles!E172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T4_vehicles!$E$173:$E$200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111680.718116667</c:v>
                </c:pt>
                <c:pt idx="4">
                  <c:v>114926.242941667</c:v>
                </c:pt>
                <c:pt idx="5">
                  <c:v>118219.104216667</c:v>
                </c:pt>
                <c:pt idx="6">
                  <c:v>121632.387083333</c:v>
                </c:pt>
                <c:pt idx="7">
                  <c:v>125057.734216667</c:v>
                </c:pt>
                <c:pt idx="8">
                  <c:v>128489.771483333</c:v>
                </c:pt>
                <c:pt idx="9">
                  <c:v>131922.701358333</c:v>
                </c:pt>
                <c:pt idx="10">
                  <c:v>127830.80825</c:v>
                </c:pt>
                <c:pt idx="11">
                  <c:v>123347.351408333</c:v>
                </c:pt>
                <c:pt idx="12">
                  <c:v>118468.4495</c:v>
                </c:pt>
                <c:pt idx="13">
                  <c:v>113191.452191667</c:v>
                </c:pt>
                <c:pt idx="14">
                  <c:v>107515.088491667</c:v>
                </c:pt>
                <c:pt idx="15">
                  <c:v>101439.629083333</c:v>
                </c:pt>
                <c:pt idx="16">
                  <c:v>94966.9251666667</c:v>
                </c:pt>
                <c:pt idx="17">
                  <c:v>88100.5540416667</c:v>
                </c:pt>
                <c:pt idx="18">
                  <c:v>80886.3777583333</c:v>
                </c:pt>
                <c:pt idx="19">
                  <c:v>73320.2912166667</c:v>
                </c:pt>
                <c:pt idx="20">
                  <c:v>65399.1377583333</c:v>
                </c:pt>
                <c:pt idx="21">
                  <c:v>57120.774325</c:v>
                </c:pt>
                <c:pt idx="22">
                  <c:v>48484.2630833333</c:v>
                </c:pt>
                <c:pt idx="23">
                  <c:v>39490.0178916667</c:v>
                </c:pt>
                <c:pt idx="24">
                  <c:v>30140.0229166667</c:v>
                </c:pt>
                <c:pt idx="25">
                  <c:v>20437.8152583333</c:v>
                </c:pt>
                <c:pt idx="26">
                  <c:v>10388.7163416667</c:v>
                </c:pt>
                <c:pt idx="27">
                  <c:v>0</c:v>
                </c:pt>
              </c:numCache>
            </c:numRef>
          </c:val>
        </c:ser>
        <c:axId val="5255668"/>
        <c:axId val="38115295"/>
      </c:areaChart>
      <c:catAx>
        <c:axId val="52556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115295"/>
        <c:crosses val="autoZero"/>
        <c:auto val="1"/>
        <c:lblAlgn val="ctr"/>
        <c:lblOffset val="100"/>
        <c:noMultiLvlLbl val="0"/>
      </c:catAx>
      <c:valAx>
        <c:axId val="381152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5566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T4_vehicles!B302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T4_vehicles!$B$303:$B$330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T4_vehicles!C302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T4_vehicles!$C$303:$C$330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T4_vehicles!D302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T4_vehicles!$D$303:$D$330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45480972"/>
        <c:axId val="95058541"/>
      </c:areaChart>
      <c:catAx>
        <c:axId val="454809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058541"/>
        <c:crosses val="autoZero"/>
        <c:auto val="1"/>
        <c:lblAlgn val="ctr"/>
        <c:lblOffset val="100"/>
        <c:noMultiLvlLbl val="0"/>
      </c:catAx>
      <c:valAx>
        <c:axId val="950585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48097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T4_vehicles!B334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T4_vehicles!$B$335:$B$362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T4_vehicles!C334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T4_vehicles!$C$335:$C$362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T4_vehicles!D334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T4_vehicles!$D$335:$D$362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2129923"/>
        <c:axId val="18189968"/>
      </c:areaChart>
      <c:catAx>
        <c:axId val="21299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89968"/>
        <c:crosses val="autoZero"/>
        <c:auto val="1"/>
        <c:lblAlgn val="ctr"/>
        <c:lblOffset val="100"/>
        <c:noMultiLvlLbl val="0"/>
      </c:catAx>
      <c:valAx>
        <c:axId val="181899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2992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T4_vehicles!B366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T4_vehicles!$B$367:$B$394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465.270895</c:v>
                </c:pt>
                <c:pt idx="4">
                  <c:v>508.716515</c:v>
                </c:pt>
                <c:pt idx="5">
                  <c:v>554.074131666667</c:v>
                </c:pt>
                <c:pt idx="6">
                  <c:v>601.742293333333</c:v>
                </c:pt>
                <c:pt idx="7">
                  <c:v>651.250781666667</c:v>
                </c:pt>
                <c:pt idx="8">
                  <c:v>702.579635</c:v>
                </c:pt>
                <c:pt idx="9">
                  <c:v>755.70087</c:v>
                </c:pt>
                <c:pt idx="10">
                  <c:v>1263.78847666667</c:v>
                </c:pt>
                <c:pt idx="11">
                  <c:v>1790.60437</c:v>
                </c:pt>
                <c:pt idx="12">
                  <c:v>2335.92819166667</c:v>
                </c:pt>
                <c:pt idx="13">
                  <c:v>2899.46579833333</c:v>
                </c:pt>
                <c:pt idx="14">
                  <c:v>3480.84439166667</c:v>
                </c:pt>
                <c:pt idx="15">
                  <c:v>4079.60939</c:v>
                </c:pt>
                <c:pt idx="16">
                  <c:v>4695.21789666667</c:v>
                </c:pt>
                <c:pt idx="17">
                  <c:v>5327.03505666667</c:v>
                </c:pt>
                <c:pt idx="18">
                  <c:v>5977.31928833333</c:v>
                </c:pt>
                <c:pt idx="19">
                  <c:v>6646.23460666667</c:v>
                </c:pt>
                <c:pt idx="20">
                  <c:v>7333.88784</c:v>
                </c:pt>
                <c:pt idx="21">
                  <c:v>8040.31494333333</c:v>
                </c:pt>
                <c:pt idx="22">
                  <c:v>8765.47621333333</c:v>
                </c:pt>
                <c:pt idx="23">
                  <c:v>9509.24793333333</c:v>
                </c:pt>
                <c:pt idx="24">
                  <c:v>10271.43602</c:v>
                </c:pt>
                <c:pt idx="25">
                  <c:v>11051.7374166667</c:v>
                </c:pt>
                <c:pt idx="26">
                  <c:v>11849.740015</c:v>
                </c:pt>
                <c:pt idx="27">
                  <c:v>12664.9183733333</c:v>
                </c:pt>
              </c:numCache>
            </c:numRef>
          </c:val>
        </c:ser>
        <c:ser>
          <c:idx val="1"/>
          <c:order val="1"/>
          <c:tx>
            <c:strRef>
              <c:f>T4_vehicles!C366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T4_vehicles!$C$367:$C$394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116.317723333333</c:v>
                </c:pt>
                <c:pt idx="4">
                  <c:v>119.698003333333</c:v>
                </c:pt>
                <c:pt idx="5">
                  <c:v>123.127585</c:v>
                </c:pt>
                <c:pt idx="6">
                  <c:v>126.682588333333</c:v>
                </c:pt>
                <c:pt idx="7">
                  <c:v>130.250156666667</c:v>
                </c:pt>
                <c:pt idx="8">
                  <c:v>133.824691666667</c:v>
                </c:pt>
                <c:pt idx="9">
                  <c:v>137.400158333333</c:v>
                </c:pt>
                <c:pt idx="10">
                  <c:v>136.161435</c:v>
                </c:pt>
                <c:pt idx="11">
                  <c:v>134.70352</c:v>
                </c:pt>
                <c:pt idx="12">
                  <c:v>133.019155</c:v>
                </c:pt>
                <c:pt idx="13">
                  <c:v>131.101306666667</c:v>
                </c:pt>
                <c:pt idx="14">
                  <c:v>128.943261666667</c:v>
                </c:pt>
                <c:pt idx="15">
                  <c:v>126.538753333333</c:v>
                </c:pt>
                <c:pt idx="16">
                  <c:v>123.881941666667</c:v>
                </c:pt>
                <c:pt idx="17">
                  <c:v>120.967525</c:v>
                </c:pt>
                <c:pt idx="18">
                  <c:v>117.849755</c:v>
                </c:pt>
                <c:pt idx="19">
                  <c:v>114.519481666667</c:v>
                </c:pt>
                <c:pt idx="20">
                  <c:v>110.967576666667</c:v>
                </c:pt>
                <c:pt idx="21">
                  <c:v>107.184886666667</c:v>
                </c:pt>
                <c:pt idx="22">
                  <c:v>103.162366666667</c:v>
                </c:pt>
                <c:pt idx="23">
                  <c:v>98.891155</c:v>
                </c:pt>
                <c:pt idx="24">
                  <c:v>94.36286</c:v>
                </c:pt>
                <c:pt idx="25">
                  <c:v>89.569285</c:v>
                </c:pt>
                <c:pt idx="26">
                  <c:v>84.50265</c:v>
                </c:pt>
                <c:pt idx="27">
                  <c:v>79.15574</c:v>
                </c:pt>
              </c:numCache>
            </c:numRef>
          </c:val>
        </c:ser>
        <c:ser>
          <c:idx val="2"/>
          <c:order val="2"/>
          <c:tx>
            <c:strRef>
              <c:f>T4_vehicles!D366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T4_vehicles!$D$367:$D$394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11050.183755</c:v>
                </c:pt>
                <c:pt idx="4">
                  <c:v>11341.3858233333</c:v>
                </c:pt>
                <c:pt idx="5">
                  <c:v>11635.5567766667</c:v>
                </c:pt>
                <c:pt idx="6">
                  <c:v>11939.8339183333</c:v>
                </c:pt>
                <c:pt idx="7">
                  <c:v>12243.514685</c:v>
                </c:pt>
                <c:pt idx="8">
                  <c:v>12546.0649083333</c:v>
                </c:pt>
                <c:pt idx="9">
                  <c:v>12846.9147883333</c:v>
                </c:pt>
                <c:pt idx="10">
                  <c:v>12697.0538466667</c:v>
                </c:pt>
                <c:pt idx="11">
                  <c:v>12527.4273816667</c:v>
                </c:pt>
                <c:pt idx="12">
                  <c:v>12337.5266233333</c:v>
                </c:pt>
                <c:pt idx="13">
                  <c:v>12126.8708133333</c:v>
                </c:pt>
                <c:pt idx="14">
                  <c:v>11895.0158433333</c:v>
                </c:pt>
                <c:pt idx="15">
                  <c:v>11641.5652566667</c:v>
                </c:pt>
                <c:pt idx="16">
                  <c:v>11366.1681083333</c:v>
                </c:pt>
                <c:pt idx="17">
                  <c:v>11068.5286</c:v>
                </c:pt>
                <c:pt idx="18">
                  <c:v>10753.790205</c:v>
                </c:pt>
                <c:pt idx="19">
                  <c:v>10421.2728766667</c:v>
                </c:pt>
                <c:pt idx="20">
                  <c:v>10070.3076316667</c:v>
                </c:pt>
                <c:pt idx="21">
                  <c:v>9700.23224166667</c:v>
                </c:pt>
                <c:pt idx="22">
                  <c:v>9310.40358</c:v>
                </c:pt>
                <c:pt idx="23">
                  <c:v>8900.20399166667</c:v>
                </c:pt>
                <c:pt idx="24">
                  <c:v>8469.066715</c:v>
                </c:pt>
                <c:pt idx="25">
                  <c:v>8016.45096833333</c:v>
                </c:pt>
                <c:pt idx="26">
                  <c:v>7541.86156833333</c:v>
                </c:pt>
                <c:pt idx="27">
                  <c:v>7044.860845</c:v>
                </c:pt>
              </c:numCache>
            </c:numRef>
          </c:val>
        </c:ser>
        <c:axId val="16632426"/>
        <c:axId val="68628803"/>
      </c:areaChart>
      <c:catAx>
        <c:axId val="166324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628803"/>
        <c:crosses val="autoZero"/>
        <c:auto val="1"/>
        <c:lblAlgn val="ctr"/>
        <c:lblOffset val="100"/>
        <c:noMultiLvlLbl val="0"/>
      </c:catAx>
      <c:valAx>
        <c:axId val="686288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63242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T4_vehicles!B496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T4_vehicles!$B$497:$B$524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T4_vehicles!C496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T4_vehicles!$C$497:$C$524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T4_vehicles!D496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T4_vehicles!$D$497:$D$524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T4_vehicles!E496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T4_vehicles!$E$497:$E$524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T4_vehicles!F496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T4_vehicles!$F$497:$F$524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64531417"/>
        <c:axId val="39957600"/>
      </c:areaChart>
      <c:catAx>
        <c:axId val="645314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957600"/>
        <c:crosses val="autoZero"/>
        <c:auto val="1"/>
        <c:lblAlgn val="ctr"/>
        <c:lblOffset val="100"/>
        <c:noMultiLvlLbl val="0"/>
      </c:catAx>
      <c:valAx>
        <c:axId val="39957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53141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T4_vehicles!B528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T4_vehicles!$B$529:$B$556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T4_vehicles!C528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T4_vehicles!$C$529:$C$556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T4_vehicles!D528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T4_vehicles!$D$529:$D$556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T4_vehicles!E528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T4_vehicles!$E$529:$E$556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T4_vehicles!F528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T4_vehicles!$F$529:$F$556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99199155"/>
        <c:axId val="59373723"/>
      </c:areaChart>
      <c:catAx>
        <c:axId val="991991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373723"/>
        <c:crosses val="autoZero"/>
        <c:auto val="1"/>
        <c:lblAlgn val="ctr"/>
        <c:lblOffset val="100"/>
        <c:noMultiLvlLbl val="0"/>
      </c:catAx>
      <c:valAx>
        <c:axId val="593737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19915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T4_vehicles!B560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T4_vehicles!$B$561:$B$588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230.451633333333</c:v>
                </c:pt>
                <c:pt idx="4">
                  <c:v>295.234783333333</c:v>
                </c:pt>
                <c:pt idx="5">
                  <c:v>362.946451666667</c:v>
                </c:pt>
                <c:pt idx="6">
                  <c:v>433.836563333333</c:v>
                </c:pt>
                <c:pt idx="7">
                  <c:v>507.642658333333</c:v>
                </c:pt>
                <c:pt idx="8">
                  <c:v>584.319233333333</c:v>
                </c:pt>
                <c:pt idx="9">
                  <c:v>663.808503333333</c:v>
                </c:pt>
                <c:pt idx="10">
                  <c:v>1033.85812666667</c:v>
                </c:pt>
                <c:pt idx="11">
                  <c:v>1410.029215</c:v>
                </c:pt>
                <c:pt idx="12">
                  <c:v>1791.678105</c:v>
                </c:pt>
                <c:pt idx="13">
                  <c:v>2178.11764</c:v>
                </c:pt>
                <c:pt idx="14">
                  <c:v>2568.61760833333</c:v>
                </c:pt>
                <c:pt idx="15">
                  <c:v>2962.404905</c:v>
                </c:pt>
                <c:pt idx="16">
                  <c:v>3358.66387166667</c:v>
                </c:pt>
                <c:pt idx="17">
                  <c:v>3756.537155</c:v>
                </c:pt>
                <c:pt idx="18">
                  <c:v>4156.91649666667</c:v>
                </c:pt>
                <c:pt idx="19">
                  <c:v>4559.38164333333</c:v>
                </c:pt>
                <c:pt idx="20">
                  <c:v>4963.47405666667</c:v>
                </c:pt>
                <c:pt idx="21">
                  <c:v>5368.69512333333</c:v>
                </c:pt>
                <c:pt idx="22">
                  <c:v>5774.50400833333</c:v>
                </c:pt>
                <c:pt idx="23">
                  <c:v>6180.31543166667</c:v>
                </c:pt>
                <c:pt idx="24">
                  <c:v>6585.49758333333</c:v>
                </c:pt>
                <c:pt idx="25">
                  <c:v>6989.36966166667</c:v>
                </c:pt>
                <c:pt idx="26">
                  <c:v>7391.19956</c:v>
                </c:pt>
                <c:pt idx="27">
                  <c:v>7790.20128166667</c:v>
                </c:pt>
              </c:numCache>
            </c:numRef>
          </c:val>
        </c:ser>
        <c:ser>
          <c:idx val="1"/>
          <c:order val="1"/>
          <c:tx>
            <c:strRef>
              <c:f>T4_vehicles!C560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T4_vehicles!$C$561:$C$588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201.645168333333</c:v>
                </c:pt>
                <c:pt idx="4">
                  <c:v>206.664353333333</c:v>
                </c:pt>
                <c:pt idx="5">
                  <c:v>211.718753333333</c:v>
                </c:pt>
                <c:pt idx="6">
                  <c:v>216.918281666667</c:v>
                </c:pt>
                <c:pt idx="7">
                  <c:v>222.093671666667</c:v>
                </c:pt>
                <c:pt idx="8">
                  <c:v>227.235255</c:v>
                </c:pt>
                <c:pt idx="9">
                  <c:v>232.332981666667</c:v>
                </c:pt>
                <c:pt idx="10">
                  <c:v>225.494821666667</c:v>
                </c:pt>
                <c:pt idx="11">
                  <c:v>218.134403333333</c:v>
                </c:pt>
                <c:pt idx="12">
                  <c:v>210.246775</c:v>
                </c:pt>
                <c:pt idx="13">
                  <c:v>201.828331666667</c:v>
                </c:pt>
                <c:pt idx="14">
                  <c:v>192.876913333333</c:v>
                </c:pt>
                <c:pt idx="15">
                  <c:v>183.391903333333</c:v>
                </c:pt>
                <c:pt idx="16">
                  <c:v>173.374338333333</c:v>
                </c:pt>
                <c:pt idx="17">
                  <c:v>162.827011666667</c:v>
                </c:pt>
                <c:pt idx="18">
                  <c:v>151.819965</c:v>
                </c:pt>
                <c:pt idx="19">
                  <c:v>140.344951666667</c:v>
                </c:pt>
                <c:pt idx="20">
                  <c:v>128.394533333333</c:v>
                </c:pt>
                <c:pt idx="21">
                  <c:v>115.962191666667</c:v>
                </c:pt>
                <c:pt idx="22">
                  <c:v>103.042476666667</c:v>
                </c:pt>
                <c:pt idx="23">
                  <c:v>89.6311416666667</c:v>
                </c:pt>
                <c:pt idx="24">
                  <c:v>75.7253183333333</c:v>
                </c:pt>
                <c:pt idx="25">
                  <c:v>61.3236816666667</c:v>
                </c:pt>
                <c:pt idx="26">
                  <c:v>46.426665</c:v>
                </c:pt>
                <c:pt idx="27">
                  <c:v>31.0366583333333</c:v>
                </c:pt>
              </c:numCache>
            </c:numRef>
          </c:val>
        </c:ser>
        <c:ser>
          <c:idx val="2"/>
          <c:order val="2"/>
          <c:tx>
            <c:strRef>
              <c:f>T4_vehicles!D560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T4_vehicles!$D$561:$D$588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39666.4853783333</c:v>
                </c:pt>
                <c:pt idx="4">
                  <c:v>40587.402675</c:v>
                </c:pt>
                <c:pt idx="5">
                  <c:v>41511.9984083333</c:v>
                </c:pt>
                <c:pt idx="6">
                  <c:v>42461.7537116667</c:v>
                </c:pt>
                <c:pt idx="7">
                  <c:v>43403.4488783333</c:v>
                </c:pt>
                <c:pt idx="8">
                  <c:v>44335.2212883333</c:v>
                </c:pt>
                <c:pt idx="9">
                  <c:v>45255.1456216667</c:v>
                </c:pt>
                <c:pt idx="10">
                  <c:v>43850.6894133333</c:v>
                </c:pt>
                <c:pt idx="11">
                  <c:v>42349.236185</c:v>
                </c:pt>
                <c:pt idx="12">
                  <c:v>40750.3301766667</c:v>
                </c:pt>
                <c:pt idx="13">
                  <c:v>39053.782125</c:v>
                </c:pt>
                <c:pt idx="14">
                  <c:v>37259.6864266667</c:v>
                </c:pt>
                <c:pt idx="15">
                  <c:v>35368.43845</c:v>
                </c:pt>
                <c:pt idx="16">
                  <c:v>33380.7521416667</c:v>
                </c:pt>
                <c:pt idx="17">
                  <c:v>31297.67778</c:v>
                </c:pt>
                <c:pt idx="18">
                  <c:v>29133.166845</c:v>
                </c:pt>
                <c:pt idx="19">
                  <c:v>26886.08298</c:v>
                </c:pt>
                <c:pt idx="20">
                  <c:v>24555.45435</c:v>
                </c:pt>
                <c:pt idx="21">
                  <c:v>22140.4955816667</c:v>
                </c:pt>
                <c:pt idx="22">
                  <c:v>19640.6319433333</c:v>
                </c:pt>
                <c:pt idx="23">
                  <c:v>17055.52587</c:v>
                </c:pt>
                <c:pt idx="24">
                  <c:v>14385.1058716667</c:v>
                </c:pt>
                <c:pt idx="25">
                  <c:v>11629.59836</c:v>
                </c:pt>
                <c:pt idx="26">
                  <c:v>8789.56250166667</c:v>
                </c:pt>
                <c:pt idx="27">
                  <c:v>5865.928455</c:v>
                </c:pt>
              </c:numCache>
            </c:numRef>
          </c:val>
        </c:ser>
        <c:ser>
          <c:idx val="3"/>
          <c:order val="3"/>
          <c:tx>
            <c:strRef>
              <c:f>T4_vehicles!E560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T4_vehicles!$E$561:$E$588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57.6128883333333</c:v>
                </c:pt>
                <c:pt idx="4">
                  <c:v>73.808685</c:v>
                </c:pt>
                <c:pt idx="5">
                  <c:v>90.7366016666667</c:v>
                </c:pt>
                <c:pt idx="6">
                  <c:v>108.459141666667</c:v>
                </c:pt>
                <c:pt idx="7">
                  <c:v>126.910675</c:v>
                </c:pt>
                <c:pt idx="8">
                  <c:v>146.07982</c:v>
                </c:pt>
                <c:pt idx="9">
                  <c:v>165.952148333333</c:v>
                </c:pt>
                <c:pt idx="10">
                  <c:v>2228.33378833333</c:v>
                </c:pt>
                <c:pt idx="11">
                  <c:v>4368.90477666667</c:v>
                </c:pt>
                <c:pt idx="12">
                  <c:v>6586.48293333333</c:v>
                </c:pt>
                <c:pt idx="13">
                  <c:v>8879.58956</c:v>
                </c:pt>
                <c:pt idx="14">
                  <c:v>11246.434605</c:v>
                </c:pt>
                <c:pt idx="15">
                  <c:v>13684.9017466667</c:v>
                </c:pt>
                <c:pt idx="16">
                  <c:v>16192.53342</c:v>
                </c:pt>
                <c:pt idx="17">
                  <c:v>18766.51576</c:v>
                </c:pt>
                <c:pt idx="18">
                  <c:v>21412.885735</c:v>
                </c:pt>
                <c:pt idx="19">
                  <c:v>24131.5754833333</c:v>
                </c:pt>
                <c:pt idx="20">
                  <c:v>26922.2827283333</c:v>
                </c:pt>
                <c:pt idx="21">
                  <c:v>29784.4452283333</c:v>
                </c:pt>
                <c:pt idx="22">
                  <c:v>32717.2128683333</c:v>
                </c:pt>
                <c:pt idx="23">
                  <c:v>35719.41717</c:v>
                </c:pt>
                <c:pt idx="24">
                  <c:v>38789.5382483333</c:v>
                </c:pt>
                <c:pt idx="25">
                  <c:v>41925.6687016667</c:v>
                </c:pt>
                <c:pt idx="26">
                  <c:v>45125.4742133333</c:v>
                </c:pt>
                <c:pt idx="27">
                  <c:v>48386.1505866667</c:v>
                </c:pt>
              </c:numCache>
            </c:numRef>
          </c:val>
        </c:ser>
        <c:ser>
          <c:idx val="4"/>
          <c:order val="4"/>
          <c:tx>
            <c:strRef>
              <c:f>T4_vehicles!F560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T4_vehicles!$F$561:$F$588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172.838705</c:v>
                </c:pt>
                <c:pt idx="4">
                  <c:v>169.76001</c:v>
                </c:pt>
                <c:pt idx="5">
                  <c:v>166.35043</c:v>
                </c:pt>
                <c:pt idx="6">
                  <c:v>162.688711666667</c:v>
                </c:pt>
                <c:pt idx="7">
                  <c:v>158.638355</c:v>
                </c:pt>
                <c:pt idx="8">
                  <c:v>154.195345</c:v>
                </c:pt>
                <c:pt idx="9">
                  <c:v>149.35693</c:v>
                </c:pt>
                <c:pt idx="10">
                  <c:v>136.907556666667</c:v>
                </c:pt>
                <c:pt idx="11">
                  <c:v>124.648236666667</c:v>
                </c:pt>
                <c:pt idx="12">
                  <c:v>112.632183333333</c:v>
                </c:pt>
                <c:pt idx="13">
                  <c:v>100.914165</c:v>
                </c:pt>
                <c:pt idx="14">
                  <c:v>89.5500116666667</c:v>
                </c:pt>
                <c:pt idx="15">
                  <c:v>78.596525</c:v>
                </c:pt>
                <c:pt idx="16">
                  <c:v>68.1113566666667</c:v>
                </c:pt>
                <c:pt idx="17">
                  <c:v>58.152495</c:v>
                </c:pt>
                <c:pt idx="18">
                  <c:v>48.7992783333333</c:v>
                </c:pt>
                <c:pt idx="19">
                  <c:v>40.098545</c:v>
                </c:pt>
                <c:pt idx="20">
                  <c:v>32.0986333333333</c:v>
                </c:pt>
                <c:pt idx="21">
                  <c:v>24.8490516666667</c:v>
                </c:pt>
                <c:pt idx="22">
                  <c:v>18.40044</c:v>
                </c:pt>
                <c:pt idx="23">
                  <c:v>12.8044533333333</c:v>
                </c:pt>
                <c:pt idx="24">
                  <c:v>8.11342333333333</c:v>
                </c:pt>
                <c:pt idx="25">
                  <c:v>4.380265</c:v>
                </c:pt>
                <c:pt idx="26">
                  <c:v>1.65809166666667</c:v>
                </c:pt>
                <c:pt idx="27">
                  <c:v>0</c:v>
                </c:pt>
              </c:numCache>
            </c:numRef>
          </c:val>
        </c:ser>
        <c:axId val="34435706"/>
        <c:axId val="23938139"/>
      </c:areaChart>
      <c:catAx>
        <c:axId val="3443570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938139"/>
        <c:crosses val="autoZero"/>
        <c:auto val="1"/>
        <c:lblAlgn val="ctr"/>
        <c:lblOffset val="100"/>
        <c:noMultiLvlLbl val="0"/>
      </c:catAx>
      <c:valAx>
        <c:axId val="239381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43570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Electricity generation mix (% of total)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T4_elec_generation!B106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T4_elec_generation!$B$107:$B$134</c:f>
              <c:numCache>
                <c:formatCode>0.0%</c:formatCode>
                <c:ptCount val="28"/>
                <c:pt idx="0">
                  <c:v>0.14996541715191</c:v>
                </c:pt>
                <c:pt idx="1">
                  <c:v>0.150911894630662</c:v>
                </c:pt>
                <c:pt idx="2">
                  <c:v>0.149965602915508</c:v>
                </c:pt>
                <c:pt idx="3">
                  <c:v>0.149964055438217</c:v>
                </c:pt>
                <c:pt idx="4">
                  <c:v>0.14996395491087</c:v>
                </c:pt>
                <c:pt idx="5">
                  <c:v>0.149964140057162</c:v>
                </c:pt>
                <c:pt idx="6">
                  <c:v>0.149963814857934</c:v>
                </c:pt>
                <c:pt idx="7">
                  <c:v>0.149960942317971</c:v>
                </c:pt>
                <c:pt idx="8">
                  <c:v>0.149963983659159</c:v>
                </c:pt>
                <c:pt idx="9">
                  <c:v>0.149961729340016</c:v>
                </c:pt>
                <c:pt idx="10">
                  <c:v>0.149962959555708</c:v>
                </c:pt>
                <c:pt idx="11">
                  <c:v>0.149964149536793</c:v>
                </c:pt>
                <c:pt idx="12">
                  <c:v>0.149961341766728</c:v>
                </c:pt>
                <c:pt idx="13">
                  <c:v>0.149963901556346</c:v>
                </c:pt>
                <c:pt idx="14">
                  <c:v>0.149964578120937</c:v>
                </c:pt>
                <c:pt idx="15">
                  <c:v>0.149961495302427</c:v>
                </c:pt>
                <c:pt idx="16">
                  <c:v>0.149962418681803</c:v>
                </c:pt>
                <c:pt idx="17">
                  <c:v>0.149962253908205</c:v>
                </c:pt>
                <c:pt idx="18">
                  <c:v>0.149963149413514</c:v>
                </c:pt>
                <c:pt idx="19">
                  <c:v>0.149962595198286</c:v>
                </c:pt>
                <c:pt idx="20">
                  <c:v>0.149963479335725</c:v>
                </c:pt>
                <c:pt idx="21">
                  <c:v>0.149963950973324</c:v>
                </c:pt>
                <c:pt idx="22">
                  <c:v>0.149963451847325</c:v>
                </c:pt>
                <c:pt idx="23">
                  <c:v>0.149961465598081</c:v>
                </c:pt>
                <c:pt idx="24">
                  <c:v>0.149963292700651</c:v>
                </c:pt>
                <c:pt idx="25">
                  <c:v>0.149963969434375</c:v>
                </c:pt>
                <c:pt idx="26">
                  <c:v>0.149963019079283</c:v>
                </c:pt>
                <c:pt idx="27">
                  <c:v>0.14996299820277</c:v>
                </c:pt>
              </c:numCache>
            </c:numRef>
          </c:val>
        </c:ser>
        <c:ser>
          <c:idx val="1"/>
          <c:order val="1"/>
          <c:tx>
            <c:strRef>
              <c:f>T4_elec_generation!C106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T4_elec_generation!$C$107:$C$134</c:f>
              <c:numCache>
                <c:formatCode>0.0%</c:formatCode>
                <c:ptCount val="28"/>
                <c:pt idx="0">
                  <c:v>0.61984878132408</c:v>
                </c:pt>
                <c:pt idx="1">
                  <c:v>0.619850664935246</c:v>
                </c:pt>
                <c:pt idx="2">
                  <c:v>0.619852518946824</c:v>
                </c:pt>
                <c:pt idx="3">
                  <c:v>0.619845856344354</c:v>
                </c:pt>
                <c:pt idx="4">
                  <c:v>0.619844459979028</c:v>
                </c:pt>
                <c:pt idx="5">
                  <c:v>0.619847140303365</c:v>
                </c:pt>
                <c:pt idx="6">
                  <c:v>0.619851483590825</c:v>
                </c:pt>
                <c:pt idx="7">
                  <c:v>0.619845413805863</c:v>
                </c:pt>
                <c:pt idx="8">
                  <c:v>0.619853818991442</c:v>
                </c:pt>
                <c:pt idx="9">
                  <c:v>0.619851361694773</c:v>
                </c:pt>
                <c:pt idx="10">
                  <c:v>0.619848836252185</c:v>
                </c:pt>
                <c:pt idx="11">
                  <c:v>0.61984738624007</c:v>
                </c:pt>
                <c:pt idx="12">
                  <c:v>0.619849838380639</c:v>
                </c:pt>
                <c:pt idx="13">
                  <c:v>0.619846832932747</c:v>
                </c:pt>
                <c:pt idx="14">
                  <c:v>0.619851497134863</c:v>
                </c:pt>
                <c:pt idx="15">
                  <c:v>0.61985082180026</c:v>
                </c:pt>
                <c:pt idx="16">
                  <c:v>0.619849847514881</c:v>
                </c:pt>
                <c:pt idx="17">
                  <c:v>0.619850203150314</c:v>
                </c:pt>
                <c:pt idx="18">
                  <c:v>0.6198518481506</c:v>
                </c:pt>
                <c:pt idx="19">
                  <c:v>0.619852751807899</c:v>
                </c:pt>
                <c:pt idx="20">
                  <c:v>0.619851990978192</c:v>
                </c:pt>
                <c:pt idx="21">
                  <c:v>0.619846269615201</c:v>
                </c:pt>
                <c:pt idx="22">
                  <c:v>0.619845066772895</c:v>
                </c:pt>
                <c:pt idx="23">
                  <c:v>0.619845786462466</c:v>
                </c:pt>
                <c:pt idx="24">
                  <c:v>0.619846537402316</c:v>
                </c:pt>
                <c:pt idx="25">
                  <c:v>0.619846440289854</c:v>
                </c:pt>
                <c:pt idx="26">
                  <c:v>0.619846906168992</c:v>
                </c:pt>
                <c:pt idx="27">
                  <c:v>0.619847059238115</c:v>
                </c:pt>
              </c:numCache>
            </c:numRef>
          </c:val>
        </c:ser>
        <c:ser>
          <c:idx val="2"/>
          <c:order val="2"/>
          <c:tx>
            <c:strRef>
              <c:f>T4_elec_generation!D106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T4_elec_generation!$D$107:$D$134</c:f>
              <c:numCache>
                <c:formatCode>0.0%</c:formatCode>
                <c:ptCount val="28"/>
                <c:pt idx="0">
                  <c:v>0.0432256043131019</c:v>
                </c:pt>
                <c:pt idx="1">
                  <c:v>0.0412758408793145</c:v>
                </c:pt>
                <c:pt idx="2">
                  <c:v>0.0409467442164572</c:v>
                </c:pt>
                <c:pt idx="3">
                  <c:v>0.0399904147835246</c:v>
                </c:pt>
                <c:pt idx="4">
                  <c:v>0.0401848130024467</c:v>
                </c:pt>
                <c:pt idx="5">
                  <c:v>0.0403718729594622</c:v>
                </c:pt>
                <c:pt idx="6">
                  <c:v>0.0405378475609117</c:v>
                </c:pt>
                <c:pt idx="7">
                  <c:v>0.0400187065740246</c:v>
                </c:pt>
                <c:pt idx="8">
                  <c:v>0.0399907314591403</c:v>
                </c:pt>
                <c:pt idx="9">
                  <c:v>0.0399891360707143</c:v>
                </c:pt>
                <c:pt idx="10">
                  <c:v>0.0399891541705604</c:v>
                </c:pt>
                <c:pt idx="11">
                  <c:v>0.0399910729972412</c:v>
                </c:pt>
                <c:pt idx="12">
                  <c:v>0.0399903121535896</c:v>
                </c:pt>
                <c:pt idx="13">
                  <c:v>0.0399915922612248</c:v>
                </c:pt>
                <c:pt idx="14">
                  <c:v>0.0399908530843938</c:v>
                </c:pt>
                <c:pt idx="15">
                  <c:v>0.0399920790336421</c:v>
                </c:pt>
                <c:pt idx="16">
                  <c:v>0.0399917061918461</c:v>
                </c:pt>
                <c:pt idx="17">
                  <c:v>0.0399896516332607</c:v>
                </c:pt>
                <c:pt idx="18">
                  <c:v>0.0399901731769369</c:v>
                </c:pt>
                <c:pt idx="19">
                  <c:v>0.0399924781600926</c:v>
                </c:pt>
                <c:pt idx="20">
                  <c:v>0.0399921340107716</c:v>
                </c:pt>
                <c:pt idx="21">
                  <c:v>0.0399888110124852</c:v>
                </c:pt>
                <c:pt idx="22">
                  <c:v>0.0399902538259534</c:v>
                </c:pt>
                <c:pt idx="23">
                  <c:v>0.0399884586618881</c:v>
                </c:pt>
                <c:pt idx="24">
                  <c:v>0.0399904598287987</c:v>
                </c:pt>
                <c:pt idx="25">
                  <c:v>0.0399884409555964</c:v>
                </c:pt>
                <c:pt idx="26">
                  <c:v>0.0399896597037218</c:v>
                </c:pt>
                <c:pt idx="27">
                  <c:v>0.039990132854072</c:v>
                </c:pt>
              </c:numCache>
            </c:numRef>
          </c:val>
        </c:ser>
        <c:ser>
          <c:idx val="3"/>
          <c:order val="3"/>
          <c:tx>
            <c:strRef>
              <c:f>T4_elec_generation!E106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T4_elec_generation!$E$107:$E$134</c:f>
              <c:numCache>
                <c:formatCode>0.0%</c:formatCode>
                <c:ptCount val="28"/>
                <c:pt idx="0">
                  <c:v>0.0999769447679402</c:v>
                </c:pt>
                <c:pt idx="1">
                  <c:v>0.0999779707590813</c:v>
                </c:pt>
                <c:pt idx="2">
                  <c:v>0.0999732782979981</c:v>
                </c:pt>
                <c:pt idx="3">
                  <c:v>0.0999760369588114</c:v>
                </c:pt>
                <c:pt idx="4">
                  <c:v>0.0999759699405802</c:v>
                </c:pt>
                <c:pt idx="5">
                  <c:v>0.0999743092946831</c:v>
                </c:pt>
                <c:pt idx="6">
                  <c:v>0.099975876571956</c:v>
                </c:pt>
                <c:pt idx="7">
                  <c:v>0.0999773876577725</c:v>
                </c:pt>
                <c:pt idx="8">
                  <c:v>0.0999743100226173</c:v>
                </c:pt>
                <c:pt idx="9">
                  <c:v>0.0999777783264611</c:v>
                </c:pt>
                <c:pt idx="10">
                  <c:v>0.0999753063704722</c:v>
                </c:pt>
                <c:pt idx="11">
                  <c:v>0.0999776824931029</c:v>
                </c:pt>
                <c:pt idx="12">
                  <c:v>0.0999757803839741</c:v>
                </c:pt>
                <c:pt idx="13">
                  <c:v>0.0999744112298146</c:v>
                </c:pt>
                <c:pt idx="14">
                  <c:v>0.0999748908199044</c:v>
                </c:pt>
                <c:pt idx="15">
                  <c:v>0.0999757970472398</c:v>
                </c:pt>
                <c:pt idx="16">
                  <c:v>0.0999749457878686</c:v>
                </c:pt>
                <c:pt idx="17">
                  <c:v>0.0999762496501065</c:v>
                </c:pt>
                <c:pt idx="18">
                  <c:v>0.0999754329423424</c:v>
                </c:pt>
                <c:pt idx="19">
                  <c:v>0.0999750634655242</c:v>
                </c:pt>
                <c:pt idx="20">
                  <c:v>0.0999743151372134</c:v>
                </c:pt>
                <c:pt idx="21">
                  <c:v>0.0999759673155491</c:v>
                </c:pt>
                <c:pt idx="22">
                  <c:v>0.0999756345648836</c:v>
                </c:pt>
                <c:pt idx="23">
                  <c:v>0.0999768413939203</c:v>
                </c:pt>
                <c:pt idx="24">
                  <c:v>0.0999742862573089</c:v>
                </c:pt>
                <c:pt idx="25">
                  <c:v>0.0999747603144353</c:v>
                </c:pt>
                <c:pt idx="26">
                  <c:v>0.0999741492593045</c:v>
                </c:pt>
                <c:pt idx="27">
                  <c:v>0.0999753321351799</c:v>
                </c:pt>
              </c:numCache>
            </c:numRef>
          </c:val>
        </c:ser>
        <c:ser>
          <c:idx val="4"/>
          <c:order val="4"/>
          <c:tx>
            <c:strRef>
              <c:f>T4_elec_generation!F106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T4_elec_generation!$F$107:$F$134</c:f>
              <c:numCache>
                <c:formatCode>0.0%</c:formatCode>
                <c:ptCount val="28"/>
                <c:pt idx="0">
                  <c:v>0.0499884723839701</c:v>
                </c:pt>
                <c:pt idx="1">
                  <c:v>0.0499889853795406</c:v>
                </c:pt>
                <c:pt idx="2">
                  <c:v>0.0499866391489991</c:v>
                </c:pt>
                <c:pt idx="3">
                  <c:v>0.0499880184794057</c:v>
                </c:pt>
                <c:pt idx="4">
                  <c:v>0.0499879849702901</c:v>
                </c:pt>
                <c:pt idx="5">
                  <c:v>0.0499898307624787</c:v>
                </c:pt>
                <c:pt idx="6">
                  <c:v>0.049987938285978</c:v>
                </c:pt>
                <c:pt idx="7">
                  <c:v>0.0499886938288862</c:v>
                </c:pt>
                <c:pt idx="8">
                  <c:v>0.0499896736365422</c:v>
                </c:pt>
                <c:pt idx="9">
                  <c:v>0.0499888891632305</c:v>
                </c:pt>
                <c:pt idx="10">
                  <c:v>0.0499876531852361</c:v>
                </c:pt>
                <c:pt idx="11">
                  <c:v>0.0499864670436901</c:v>
                </c:pt>
                <c:pt idx="12">
                  <c:v>0.0499855613827538</c:v>
                </c:pt>
                <c:pt idx="13">
                  <c:v>0.049989490326531</c:v>
                </c:pt>
                <c:pt idx="14">
                  <c:v>0.0499896873010322</c:v>
                </c:pt>
                <c:pt idx="15">
                  <c:v>0.0499856982551871</c:v>
                </c:pt>
                <c:pt idx="16">
                  <c:v>0.0499874728939343</c:v>
                </c:pt>
                <c:pt idx="17">
                  <c:v>0.0499860042580984</c:v>
                </c:pt>
                <c:pt idx="18">
                  <c:v>0.0499877164711712</c:v>
                </c:pt>
                <c:pt idx="19">
                  <c:v>0.0499875317327621</c:v>
                </c:pt>
                <c:pt idx="20">
                  <c:v>0.0499891641985119</c:v>
                </c:pt>
                <c:pt idx="21">
                  <c:v>0.0499879836577746</c:v>
                </c:pt>
                <c:pt idx="22">
                  <c:v>0.0499878172824418</c:v>
                </c:pt>
                <c:pt idx="23">
                  <c:v>0.0499884206969602</c:v>
                </c:pt>
                <c:pt idx="24">
                  <c:v>0.0499890064433422</c:v>
                </c:pt>
                <c:pt idx="25">
                  <c:v>0.0499892091199397</c:v>
                </c:pt>
                <c:pt idx="26">
                  <c:v>0.0499888698199783</c:v>
                </c:pt>
                <c:pt idx="27">
                  <c:v>0.04998766606759</c:v>
                </c:pt>
              </c:numCache>
            </c:numRef>
          </c:val>
        </c:ser>
        <c:ser>
          <c:idx val="5"/>
          <c:order val="5"/>
          <c:tx>
            <c:strRef>
              <c:f>T4_elec_generation!G106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T4_elec_generation!$G$107:$G$134</c:f>
              <c:numCache>
                <c:formatCode>0.0%</c:formatCode>
                <c:ptCount val="28"/>
                <c:pt idx="0">
                  <c:v>0.00999651215720122</c:v>
                </c:pt>
                <c:pt idx="1">
                  <c:v>0.0100001159433733</c:v>
                </c:pt>
                <c:pt idx="2">
                  <c:v>0.0099950536423954</c:v>
                </c:pt>
                <c:pt idx="3">
                  <c:v>0.00999760369588114</c:v>
                </c:pt>
                <c:pt idx="4">
                  <c:v>0.00999978154491437</c:v>
                </c:pt>
                <c:pt idx="5">
                  <c:v>0.00999796615249575</c:v>
                </c:pt>
                <c:pt idx="6">
                  <c:v>0.0100164668617518</c:v>
                </c:pt>
                <c:pt idx="7">
                  <c:v>0.0107203058833203</c:v>
                </c:pt>
                <c:pt idx="8">
                  <c:v>0.0112280312913999</c:v>
                </c:pt>
                <c:pt idx="9">
                  <c:v>0.011757734376929</c:v>
                </c:pt>
                <c:pt idx="10">
                  <c:v>0.0122160837840324</c:v>
                </c:pt>
                <c:pt idx="11">
                  <c:v>0.0126592496569277</c:v>
                </c:pt>
                <c:pt idx="12">
                  <c:v>0.0130925655094037</c:v>
                </c:pt>
                <c:pt idx="13">
                  <c:v>0.0135026456960602</c:v>
                </c:pt>
                <c:pt idx="14">
                  <c:v>0.0135724085981007</c:v>
                </c:pt>
                <c:pt idx="15">
                  <c:v>0.0136416642830425</c:v>
                </c:pt>
                <c:pt idx="16">
                  <c:v>0.0137107016043335</c:v>
                </c:pt>
                <c:pt idx="17">
                  <c:v>0.0182326346772073</c:v>
                </c:pt>
                <c:pt idx="18">
                  <c:v>0.0182295895635808</c:v>
                </c:pt>
                <c:pt idx="19">
                  <c:v>0.0182281979061487</c:v>
                </c:pt>
                <c:pt idx="20">
                  <c:v>0.0182282260588986</c:v>
                </c:pt>
                <c:pt idx="21">
                  <c:v>0.0186942766752948</c:v>
                </c:pt>
                <c:pt idx="22">
                  <c:v>0.0196122415040048</c:v>
                </c:pt>
                <c:pt idx="23">
                  <c:v>0.0196202747901489</c:v>
                </c:pt>
                <c:pt idx="24">
                  <c:v>0.0196281569209097</c:v>
                </c:pt>
                <c:pt idx="25">
                  <c:v>0.0196357437842702</c:v>
                </c:pt>
                <c:pt idx="26">
                  <c:v>0.0196393821672974</c:v>
                </c:pt>
                <c:pt idx="27">
                  <c:v>0.019646192338866</c:v>
                </c:pt>
              </c:numCache>
            </c:numRef>
          </c:val>
        </c:ser>
        <c:ser>
          <c:idx val="6"/>
          <c:order val="6"/>
          <c:tx>
            <c:strRef>
              <c:f>T4_elec_generation!H106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T4_elec_generation!$H$107:$H$134</c:f>
              <c:numCache>
                <c:formatCode>0.0%</c:formatCode>
                <c:ptCount val="28"/>
                <c:pt idx="0">
                  <c:v>0.0199930243144024</c:v>
                </c:pt>
                <c:pt idx="1">
                  <c:v>0.0199944347180837</c:v>
                </c:pt>
                <c:pt idx="2">
                  <c:v>0.0199957927533018</c:v>
                </c:pt>
                <c:pt idx="3">
                  <c:v>0.0199952073917623</c:v>
                </c:pt>
                <c:pt idx="4">
                  <c:v>0.0199941017126879</c:v>
                </c:pt>
                <c:pt idx="5">
                  <c:v>0.0199959323049915</c:v>
                </c:pt>
                <c:pt idx="6">
                  <c:v>0.0199962241590888</c:v>
                </c:pt>
                <c:pt idx="7">
                  <c:v>0.0199965053652921</c:v>
                </c:pt>
                <c:pt idx="8">
                  <c:v>0.0199928471043366</c:v>
                </c:pt>
                <c:pt idx="9">
                  <c:v>0.0199945680353572</c:v>
                </c:pt>
                <c:pt idx="10">
                  <c:v>0.0199969980293515</c:v>
                </c:pt>
                <c:pt idx="11">
                  <c:v>0.0199955364986206</c:v>
                </c:pt>
                <c:pt idx="12">
                  <c:v>0.0199951560767948</c:v>
                </c:pt>
                <c:pt idx="13">
                  <c:v>0.0199957961306124</c:v>
                </c:pt>
                <c:pt idx="14">
                  <c:v>0.0199931846511169</c:v>
                </c:pt>
                <c:pt idx="15">
                  <c:v>0.0199960395168211</c:v>
                </c:pt>
                <c:pt idx="16">
                  <c:v>0.0199958530959231</c:v>
                </c:pt>
                <c:pt idx="17">
                  <c:v>0.0199969463835851</c:v>
                </c:pt>
                <c:pt idx="18">
                  <c:v>0.0199950865884685</c:v>
                </c:pt>
                <c:pt idx="19">
                  <c:v>0.0199941951018106</c:v>
                </c:pt>
                <c:pt idx="20">
                  <c:v>0.0199940603754806</c:v>
                </c:pt>
                <c:pt idx="21">
                  <c:v>0.0199944055062426</c:v>
                </c:pt>
                <c:pt idx="22">
                  <c:v>0.0199951269129767</c:v>
                </c:pt>
                <c:pt idx="23">
                  <c:v>0.0199961275773441</c:v>
                </c:pt>
                <c:pt idx="24">
                  <c:v>0.0199933665997116</c:v>
                </c:pt>
                <c:pt idx="25">
                  <c:v>0.0199942204777982</c:v>
                </c:pt>
                <c:pt idx="26">
                  <c:v>0.0199948298518609</c:v>
                </c:pt>
                <c:pt idx="27">
                  <c:v>0.019995066427036</c:v>
                </c:pt>
              </c:numCache>
            </c:numRef>
          </c:val>
        </c:ser>
        <c:ser>
          <c:idx val="7"/>
          <c:order val="7"/>
          <c:tx>
            <c:strRef>
              <c:f>T4_elec_generation!I106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T4_elec_generation!$I$107:$I$134</c:f>
              <c:numCache>
                <c:formatCode>0.0%</c:formatCode>
                <c:ptCount val="28"/>
                <c:pt idx="0">
                  <c:v>0.00676286807086824</c:v>
                </c:pt>
                <c:pt idx="1">
                  <c:v>0.00776240883952278</c:v>
                </c:pt>
                <c:pt idx="2">
                  <c:v>0.00903989493254192</c:v>
                </c:pt>
                <c:pt idx="3">
                  <c:v>0.00999760369588114</c:v>
                </c:pt>
                <c:pt idx="4">
                  <c:v>0.00980317196784341</c:v>
                </c:pt>
                <c:pt idx="5">
                  <c:v>0.00961795780301652</c:v>
                </c:pt>
                <c:pt idx="6">
                  <c:v>0.00942911383111503</c:v>
                </c:pt>
                <c:pt idx="7">
                  <c:v>0.00925050363853143</c:v>
                </c:pt>
                <c:pt idx="8">
                  <c:v>0.00876481581293667</c:v>
                </c:pt>
                <c:pt idx="9">
                  <c:v>0.00823683365842819</c:v>
                </c:pt>
                <c:pt idx="10">
                  <c:v>0.0077809142453191</c:v>
                </c:pt>
                <c:pt idx="11">
                  <c:v>0.0073362868416929</c:v>
                </c:pt>
                <c:pt idx="12">
                  <c:v>0.00690259056739108</c:v>
                </c:pt>
                <c:pt idx="13">
                  <c:v>0.00649315043455215</c:v>
                </c:pt>
                <c:pt idx="14">
                  <c:v>0.00642077605301624</c:v>
                </c:pt>
                <c:pt idx="15">
                  <c:v>0.00635437523377852</c:v>
                </c:pt>
                <c:pt idx="16">
                  <c:v>0.00628515149158956</c:v>
                </c:pt>
                <c:pt idx="17">
                  <c:v>0.00176431170637782</c:v>
                </c:pt>
                <c:pt idx="18">
                  <c:v>0.00176549702488768</c:v>
                </c:pt>
                <c:pt idx="19">
                  <c:v>0.00176599719566186</c:v>
                </c:pt>
                <c:pt idx="20">
                  <c:v>0.00176583431658199</c:v>
                </c:pt>
                <c:pt idx="21">
                  <c:v>0.00130012883094779</c:v>
                </c:pt>
                <c:pt idx="22">
                  <c:v>0.000382885408971895</c:v>
                </c:pt>
                <c:pt idx="23">
                  <c:v>0.000375852787195189</c:v>
                </c:pt>
                <c:pt idx="24">
                  <c:v>0.000368936308177343</c:v>
                </c:pt>
                <c:pt idx="25">
                  <c:v>0.000362134618972196</c:v>
                </c:pt>
                <c:pt idx="26">
                  <c:v>0.000355447684563517</c:v>
                </c:pt>
                <c:pt idx="27">
                  <c:v>0.000348874088169997</c:v>
                </c:pt>
              </c:numCache>
            </c:numRef>
          </c:val>
        </c:ser>
        <c:ser>
          <c:idx val="8"/>
          <c:order val="8"/>
          <c:tx>
            <c:strRef>
              <c:f>T4_elec_generation!J106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T4_elec_generation!$J$107:$J$134</c:f>
              <c:numCache>
                <c:formatCode>0.0%</c:formatCode>
                <c:ptCount val="28"/>
                <c:pt idx="0">
                  <c:v>3.5469587784274E-005</c:v>
                </c:pt>
                <c:pt idx="1">
                  <c:v>3.47830119769505E-005</c:v>
                </c:pt>
                <c:pt idx="2">
                  <c:v>3.97982795772286E-005</c:v>
                </c:pt>
                <c:pt idx="3">
                  <c:v>3.90096019348763E-005</c:v>
                </c:pt>
                <c:pt idx="4">
                  <c:v>3.82296399860189E-005</c:v>
                </c:pt>
                <c:pt idx="5">
                  <c:v>3.74656119204873E-005</c:v>
                </c:pt>
                <c:pt idx="6">
                  <c:v>3.67095644147971E-005</c:v>
                </c:pt>
                <c:pt idx="7">
                  <c:v>3.59741808165111E-005</c:v>
                </c:pt>
                <c:pt idx="8">
                  <c:v>3.52607532704349E-005</c:v>
                </c:pt>
                <c:pt idx="9">
                  <c:v>3.45670477272166E-005</c:v>
                </c:pt>
                <c:pt idx="10">
                  <c:v>3.38932169989009E-005</c:v>
                </c:pt>
                <c:pt idx="11">
                  <c:v>3.323884005945E-005</c:v>
                </c:pt>
                <c:pt idx="12">
                  <c:v>3.72609477322056E-005</c:v>
                </c:pt>
                <c:pt idx="13">
                  <c:v>3.65553859791817E-005</c:v>
                </c:pt>
                <c:pt idx="14">
                  <c:v>3.58702572794203E-005</c:v>
                </c:pt>
                <c:pt idx="15">
                  <c:v>3.52042949239807E-005</c:v>
                </c:pt>
                <c:pt idx="16">
                  <c:v>3.45575339743756E-005</c:v>
                </c:pt>
                <c:pt idx="17">
                  <c:v>3.39290712764965E-005</c:v>
                </c:pt>
                <c:pt idx="18">
                  <c:v>3.33112646205222E-005</c:v>
                </c:pt>
                <c:pt idx="19">
                  <c:v>3.27036517715159E-005</c:v>
                </c:pt>
                <c:pt idx="20">
                  <c:v>3.21060784833089E-005</c:v>
                </c:pt>
                <c:pt idx="21">
                  <c:v>3.54580590258489E-005</c:v>
                </c:pt>
                <c:pt idx="22">
                  <c:v>3.48077644519904E-005</c:v>
                </c:pt>
                <c:pt idx="23">
                  <c:v>3.41684351995626E-005</c:v>
                </c:pt>
                <c:pt idx="24">
                  <c:v>3.35396643797584E-005</c:v>
                </c:pt>
                <c:pt idx="25">
                  <c:v>3.29213289974724E-005</c:v>
                </c:pt>
                <c:pt idx="26">
                  <c:v>3.23134258694107E-005</c:v>
                </c:pt>
                <c:pt idx="27">
                  <c:v>3.17158261972724E-005</c:v>
                </c:pt>
              </c:numCache>
            </c:numRef>
          </c:val>
        </c:ser>
        <c:ser>
          <c:idx val="9"/>
          <c:order val="9"/>
          <c:tx>
            <c:strRef>
              <c:f>T4_elec_generation!K106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T4_elec_generation!$K$107:$K$134</c:f>
              <c:numCache>
                <c:formatCode>0.0%</c:formatCode>
                <c:ptCount val="28"/>
                <c:pt idx="0">
                  <c:v>0.000206905928741598</c:v>
                </c:pt>
                <c:pt idx="1">
                  <c:v>0.000202900903198878</c:v>
                </c:pt>
                <c:pt idx="2">
                  <c:v>0.000204676866397175</c:v>
                </c:pt>
                <c:pt idx="3">
                  <c:v>0.000206193610227203</c:v>
                </c:pt>
                <c:pt idx="4">
                  <c:v>0.000207532331352674</c:v>
                </c:pt>
                <c:pt idx="5">
                  <c:v>0.000203384750425502</c:v>
                </c:pt>
                <c:pt idx="6">
                  <c:v>0.000204524716025298</c:v>
                </c:pt>
                <c:pt idx="7">
                  <c:v>0.000205566747522921</c:v>
                </c:pt>
                <c:pt idx="8">
                  <c:v>0.000206527269155404</c:v>
                </c:pt>
                <c:pt idx="9">
                  <c:v>0.0002074022863633</c:v>
                </c:pt>
                <c:pt idx="10">
                  <c:v>0.000208201190136105</c:v>
                </c:pt>
                <c:pt idx="11">
                  <c:v>0.000208929851802257</c:v>
                </c:pt>
                <c:pt idx="12">
                  <c:v>0.000209592830993656</c:v>
                </c:pt>
                <c:pt idx="13">
                  <c:v>0.000205624046132897</c:v>
                </c:pt>
                <c:pt idx="14">
                  <c:v>0.000206253979356667</c:v>
                </c:pt>
                <c:pt idx="15">
                  <c:v>0.000206825232678387</c:v>
                </c:pt>
                <c:pt idx="16">
                  <c:v>0.000207345203846254</c:v>
                </c:pt>
                <c:pt idx="17">
                  <c:v>0.000207815561568541</c:v>
                </c:pt>
                <c:pt idx="18">
                  <c:v>0.000208195403878264</c:v>
                </c:pt>
                <c:pt idx="19">
                  <c:v>0.000208485780043414</c:v>
                </c:pt>
                <c:pt idx="20">
                  <c:v>0.000208689510141508</c:v>
                </c:pt>
                <c:pt idx="21">
                  <c:v>0.000212748354155094</c:v>
                </c:pt>
                <c:pt idx="22">
                  <c:v>0.000212714116095497</c:v>
                </c:pt>
                <c:pt idx="23">
                  <c:v>0.000212603596797279</c:v>
                </c:pt>
                <c:pt idx="24">
                  <c:v>0.000212417874405137</c:v>
                </c:pt>
                <c:pt idx="25">
                  <c:v>0.000212159675761489</c:v>
                </c:pt>
                <c:pt idx="26">
                  <c:v>0.000215422839129405</c:v>
                </c:pt>
                <c:pt idx="27">
                  <c:v>0.000214962822003735</c:v>
                </c:pt>
              </c:numCache>
            </c:numRef>
          </c:val>
        </c:ser>
        <c:axId val="83818073"/>
        <c:axId val="57457701"/>
      </c:areaChart>
      <c:catAx>
        <c:axId val="838180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457701"/>
        <c:crosses val="autoZero"/>
        <c:auto val="1"/>
        <c:lblAlgn val="ctr"/>
        <c:lblOffset val="100"/>
        <c:noMultiLvlLbl val="0"/>
      </c:catAx>
      <c:valAx>
        <c:axId val="57457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81807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Electricity generation mix (% of total)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T4_elec_generation!B138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T4_elec_generation!$B$139:$B$166</c:f>
              <c:numCache>
                <c:formatCode>0.0%</c:formatCode>
                <c:ptCount val="28"/>
                <c:pt idx="0">
                  <c:v>0.149961278575525</c:v>
                </c:pt>
                <c:pt idx="1">
                  <c:v>0.16347530681693</c:v>
                </c:pt>
                <c:pt idx="2">
                  <c:v>0.169308590752792</c:v>
                </c:pt>
                <c:pt idx="3">
                  <c:v>0.17638267742098</c:v>
                </c:pt>
                <c:pt idx="4">
                  <c:v>0.187011110007833</c:v>
                </c:pt>
                <c:pt idx="5">
                  <c:v>0.198422227896793</c:v>
                </c:pt>
                <c:pt idx="6">
                  <c:v>0.209733419643383</c:v>
                </c:pt>
                <c:pt idx="7">
                  <c:v>0.220780999747113</c:v>
                </c:pt>
                <c:pt idx="8">
                  <c:v>0.231344832596467</c:v>
                </c:pt>
                <c:pt idx="9">
                  <c:v>0.242974936228728</c:v>
                </c:pt>
                <c:pt idx="10">
                  <c:v>0.256502206015674</c:v>
                </c:pt>
                <c:pt idx="11">
                  <c:v>0.272745320898745</c:v>
                </c:pt>
                <c:pt idx="12">
                  <c:v>0.292294221522176</c:v>
                </c:pt>
                <c:pt idx="13">
                  <c:v>0.306879990741812</c:v>
                </c:pt>
                <c:pt idx="14">
                  <c:v>0.330531640274021</c:v>
                </c:pt>
                <c:pt idx="15">
                  <c:v>0.352972060753797</c:v>
                </c:pt>
                <c:pt idx="16">
                  <c:v>0.372472237376212</c:v>
                </c:pt>
                <c:pt idx="17">
                  <c:v>0.388676853485816</c:v>
                </c:pt>
                <c:pt idx="18">
                  <c:v>0.402151947620373</c:v>
                </c:pt>
                <c:pt idx="19">
                  <c:v>0.413735528844876</c:v>
                </c:pt>
                <c:pt idx="20">
                  <c:v>0.424127147736306</c:v>
                </c:pt>
                <c:pt idx="21">
                  <c:v>0.433804886852939</c:v>
                </c:pt>
                <c:pt idx="22">
                  <c:v>0.444324842032996</c:v>
                </c:pt>
                <c:pt idx="23">
                  <c:v>0.45211517952364</c:v>
                </c:pt>
                <c:pt idx="24">
                  <c:v>0.461027688746804</c:v>
                </c:pt>
                <c:pt idx="25">
                  <c:v>0.469866831092498</c:v>
                </c:pt>
                <c:pt idx="26">
                  <c:v>0.478662035049374</c:v>
                </c:pt>
                <c:pt idx="27">
                  <c:v>0.487439861562744</c:v>
                </c:pt>
              </c:numCache>
            </c:numRef>
          </c:val>
        </c:ser>
        <c:ser>
          <c:idx val="1"/>
          <c:order val="1"/>
          <c:tx>
            <c:strRef>
              <c:f>T4_elec_generation!C138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T4_elec_generation!$C$139:$C$166</c:f>
              <c:numCache>
                <c:formatCode>0.0%</c:formatCode>
                <c:ptCount val="28"/>
                <c:pt idx="0">
                  <c:v>0.619850198336457</c:v>
                </c:pt>
                <c:pt idx="1">
                  <c:v>0.603836588462408</c:v>
                </c:pt>
                <c:pt idx="2">
                  <c:v>0.587768905055557</c:v>
                </c:pt>
                <c:pt idx="3">
                  <c:v>0.571642868737301</c:v>
                </c:pt>
                <c:pt idx="4">
                  <c:v>0.55537351471221</c:v>
                </c:pt>
                <c:pt idx="5">
                  <c:v>0.538876543679404</c:v>
                </c:pt>
                <c:pt idx="6">
                  <c:v>0.521958239488988</c:v>
                </c:pt>
                <c:pt idx="7">
                  <c:v>0.504283275731265</c:v>
                </c:pt>
                <c:pt idx="8">
                  <c:v>0.485319758390933</c:v>
                </c:pt>
                <c:pt idx="9">
                  <c:v>0.464178181279106</c:v>
                </c:pt>
                <c:pt idx="10">
                  <c:v>0.439581360678526</c:v>
                </c:pt>
                <c:pt idx="11">
                  <c:v>0.410008884212407</c:v>
                </c:pt>
                <c:pt idx="12">
                  <c:v>0.374414839236711</c:v>
                </c:pt>
                <c:pt idx="13">
                  <c:v>0.333463526598002</c:v>
                </c:pt>
                <c:pt idx="14">
                  <c:v>0.290298503914922</c:v>
                </c:pt>
                <c:pt idx="15">
                  <c:v>0.249348396774798</c:v>
                </c:pt>
                <c:pt idx="16">
                  <c:v>0.21375602178476</c:v>
                </c:pt>
                <c:pt idx="17">
                  <c:v>0.184183526901137</c:v>
                </c:pt>
                <c:pt idx="18">
                  <c:v>0.159586315912377</c:v>
                </c:pt>
                <c:pt idx="19">
                  <c:v>0.138444777097709</c:v>
                </c:pt>
                <c:pt idx="20">
                  <c:v>0.119482708921131</c:v>
                </c:pt>
                <c:pt idx="21">
                  <c:v>0.10181516591751</c:v>
                </c:pt>
                <c:pt idx="22">
                  <c:v>0.0848932265952442</c:v>
                </c:pt>
                <c:pt idx="23">
                  <c:v>0.0683925472072939</c:v>
                </c:pt>
                <c:pt idx="24">
                  <c:v>0.0521313399514924</c:v>
                </c:pt>
                <c:pt idx="25">
                  <c:v>0.0359988468837835</c:v>
                </c:pt>
                <c:pt idx="26">
                  <c:v>0.0199406736661333</c:v>
                </c:pt>
                <c:pt idx="27">
                  <c:v>0.00392112118964763</c:v>
                </c:pt>
              </c:numCache>
            </c:numRef>
          </c:val>
        </c:ser>
        <c:ser>
          <c:idx val="2"/>
          <c:order val="2"/>
          <c:tx>
            <c:strRef>
              <c:f>T4_elec_generation!D138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T4_elec_generation!$D$139:$D$166</c:f>
              <c:numCache>
                <c:formatCode>0.0%</c:formatCode>
                <c:ptCount val="28"/>
                <c:pt idx="0">
                  <c:v>0.0445976223271872</c:v>
                </c:pt>
                <c:pt idx="1">
                  <c:v>0.0516240862159922</c:v>
                </c:pt>
                <c:pt idx="2">
                  <c:v>0.0632868225866038</c:v>
                </c:pt>
                <c:pt idx="3">
                  <c:v>0.0750040580553799</c:v>
                </c:pt>
                <c:pt idx="4">
                  <c:v>0.0868169331082647</c:v>
                </c:pt>
                <c:pt idx="5">
                  <c:v>0.0988063480334896</c:v>
                </c:pt>
                <c:pt idx="6">
                  <c:v>0.111093872878137</c:v>
                </c:pt>
                <c:pt idx="7">
                  <c:v>0.123925229705808</c:v>
                </c:pt>
                <c:pt idx="8">
                  <c:v>0.137700562509081</c:v>
                </c:pt>
                <c:pt idx="9">
                  <c:v>0.153056164726691</c:v>
                </c:pt>
                <c:pt idx="10">
                  <c:v>0.170920885629671</c:v>
                </c:pt>
                <c:pt idx="11">
                  <c:v>0.192400275956542</c:v>
                </c:pt>
                <c:pt idx="12">
                  <c:v>0.218249678375589</c:v>
                </c:pt>
                <c:pt idx="13">
                  <c:v>0.247994059329553</c:v>
                </c:pt>
                <c:pt idx="14">
                  <c:v>0.279345278560868</c:v>
                </c:pt>
                <c:pt idx="15">
                  <c:v>0.309089630601913</c:v>
                </c:pt>
                <c:pt idx="16">
                  <c:v>0.334940683686396</c:v>
                </c:pt>
                <c:pt idx="17">
                  <c:v>0.356420112811954</c:v>
                </c:pt>
                <c:pt idx="18">
                  <c:v>0.374282609281397</c:v>
                </c:pt>
                <c:pt idx="19">
                  <c:v>0.389638342914338</c:v>
                </c:pt>
                <c:pt idx="20">
                  <c:v>0.403411919881902</c:v>
                </c:pt>
                <c:pt idx="21">
                  <c:v>0.41624195336605</c:v>
                </c:pt>
                <c:pt idx="22">
                  <c:v>0.428530260587286</c:v>
                </c:pt>
                <c:pt idx="23">
                  <c:v>0.440513581899166</c:v>
                </c:pt>
                <c:pt idx="24">
                  <c:v>0.452327504483468</c:v>
                </c:pt>
                <c:pt idx="25">
                  <c:v>0.464045195749486</c:v>
                </c:pt>
                <c:pt idx="26">
                  <c:v>0.475707427500878</c:v>
                </c:pt>
                <c:pt idx="27">
                  <c:v>0.487340977808204</c:v>
                </c:pt>
              </c:numCache>
            </c:numRef>
          </c:val>
        </c:ser>
        <c:ser>
          <c:idx val="3"/>
          <c:order val="3"/>
          <c:tx>
            <c:strRef>
              <c:f>T4_elec_generation!E138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T4_elec_generation!$E$139:$E$166</c:f>
              <c:numCache>
                <c:formatCode>0.0%</c:formatCode>
                <c:ptCount val="28"/>
                <c:pt idx="0">
                  <c:v>0.0999781268289222</c:v>
                </c:pt>
                <c:pt idx="1">
                  <c:v>0.0973929981390981</c:v>
                </c:pt>
                <c:pt idx="2">
                  <c:v>0.0948023530080423</c:v>
                </c:pt>
                <c:pt idx="3">
                  <c:v>0.092199018230464</c:v>
                </c:pt>
                <c:pt idx="4">
                  <c:v>0.0895751277044098</c:v>
                </c:pt>
                <c:pt idx="5">
                  <c:v>0.0869132931646175</c:v>
                </c:pt>
                <c:pt idx="6">
                  <c:v>0.0841843967837024</c:v>
                </c:pt>
                <c:pt idx="7">
                  <c:v>0.0813348225575318</c:v>
                </c:pt>
                <c:pt idx="8">
                  <c:v>0.0782790543205264</c:v>
                </c:pt>
                <c:pt idx="9">
                  <c:v>0.0748692625024921</c:v>
                </c:pt>
                <c:pt idx="10">
                  <c:v>0.0708997320547173</c:v>
                </c:pt>
                <c:pt idx="11">
                  <c:v>0.0661303050908026</c:v>
                </c:pt>
                <c:pt idx="12">
                  <c:v>0.0603871232836507</c:v>
                </c:pt>
                <c:pt idx="13">
                  <c:v>0.0537842842263627</c:v>
                </c:pt>
                <c:pt idx="14">
                  <c:v>0.0468221859861468</c:v>
                </c:pt>
                <c:pt idx="15">
                  <c:v>0.0402165760360023</c:v>
                </c:pt>
                <c:pt idx="16">
                  <c:v>0.0344755846101212</c:v>
                </c:pt>
                <c:pt idx="17">
                  <c:v>0.0297077559358513</c:v>
                </c:pt>
                <c:pt idx="18">
                  <c:v>0.0257407424039662</c:v>
                </c:pt>
                <c:pt idx="19">
                  <c:v>0.0223300884877366</c:v>
                </c:pt>
                <c:pt idx="20">
                  <c:v>0.0192695731169364</c:v>
                </c:pt>
                <c:pt idx="21">
                  <c:v>0.0164198602528512</c:v>
                </c:pt>
                <c:pt idx="22">
                  <c:v>0.0136925926082884</c:v>
                </c:pt>
                <c:pt idx="23">
                  <c:v>0.0110328098534117</c:v>
                </c:pt>
                <c:pt idx="24">
                  <c:v>0.00840881016772478</c:v>
                </c:pt>
                <c:pt idx="25">
                  <c:v>0.00580561984000513</c:v>
                </c:pt>
                <c:pt idx="26">
                  <c:v>0.00321611178330276</c:v>
                </c:pt>
                <c:pt idx="27">
                  <c:v>0.000631334740525225</c:v>
                </c:pt>
              </c:numCache>
            </c:numRef>
          </c:val>
        </c:ser>
        <c:ser>
          <c:idx val="4"/>
          <c:order val="4"/>
          <c:tx>
            <c:strRef>
              <c:f>T4_elec_generation!F138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T4_elec_generation!$F$139:$F$166</c:f>
              <c:numCache>
                <c:formatCode>0.0%</c:formatCode>
                <c:ptCount val="28"/>
                <c:pt idx="0">
                  <c:v>0.0499890634144611</c:v>
                </c:pt>
                <c:pt idx="1">
                  <c:v>0.048696499069549</c:v>
                </c:pt>
                <c:pt idx="2">
                  <c:v>0.0474011765040212</c:v>
                </c:pt>
                <c:pt idx="3">
                  <c:v>0.046099509115232</c:v>
                </c:pt>
                <c:pt idx="4">
                  <c:v>0.0447875638522049</c:v>
                </c:pt>
                <c:pt idx="5">
                  <c:v>0.0434593631320732</c:v>
                </c:pt>
                <c:pt idx="6">
                  <c:v>0.0420921983918512</c:v>
                </c:pt>
                <c:pt idx="7">
                  <c:v>0.0406674112787659</c:v>
                </c:pt>
                <c:pt idx="8">
                  <c:v>0.0391369325611806</c:v>
                </c:pt>
                <c:pt idx="9">
                  <c:v>0.037434631251246</c:v>
                </c:pt>
                <c:pt idx="10">
                  <c:v>0.0354523843100913</c:v>
                </c:pt>
                <c:pt idx="11">
                  <c:v>0.0330651525454013</c:v>
                </c:pt>
                <c:pt idx="12">
                  <c:v>0.0301960074548381</c:v>
                </c:pt>
                <c:pt idx="13">
                  <c:v>0.0268921421131813</c:v>
                </c:pt>
                <c:pt idx="14">
                  <c:v>0.0234134699951034</c:v>
                </c:pt>
                <c:pt idx="15">
                  <c:v>0.0201106319144947</c:v>
                </c:pt>
                <c:pt idx="16">
                  <c:v>0.0172401039306882</c:v>
                </c:pt>
                <c:pt idx="17">
                  <c:v>0.014851598017355</c:v>
                </c:pt>
                <c:pt idx="18">
                  <c:v>0.0128703712019831</c:v>
                </c:pt>
                <c:pt idx="19">
                  <c:v>0.0111650442438683</c:v>
                </c:pt>
                <c:pt idx="20">
                  <c:v>0.00963478655846822</c:v>
                </c:pt>
                <c:pt idx="21">
                  <c:v>0.00821207876032419</c:v>
                </c:pt>
                <c:pt idx="22">
                  <c:v>0.00684417736378392</c:v>
                </c:pt>
                <c:pt idx="23">
                  <c:v>0.00551640492670584</c:v>
                </c:pt>
                <c:pt idx="24">
                  <c:v>0.0042023531536116</c:v>
                </c:pt>
                <c:pt idx="25">
                  <c:v>0.00290280992000256</c:v>
                </c:pt>
                <c:pt idx="26">
                  <c:v>0.00160805589165138</c:v>
                </c:pt>
                <c:pt idx="27">
                  <c:v>0.000315667370262612</c:v>
                </c:pt>
              </c:numCache>
            </c:numRef>
          </c:val>
        </c:ser>
        <c:ser>
          <c:idx val="5"/>
          <c:order val="5"/>
          <c:tx>
            <c:strRef>
              <c:f>T4_elec_generation!G138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T4_elec_generation!$G$139:$G$166</c:f>
              <c:numCache>
                <c:formatCode>0.0%</c:formatCode>
                <c:ptCount val="28"/>
                <c:pt idx="0">
                  <c:v>0.00999663034932045</c:v>
                </c:pt>
                <c:pt idx="1">
                  <c:v>0.00999437671379792</c:v>
                </c:pt>
                <c:pt idx="2">
                  <c:v>0.00999744238256273</c:v>
                </c:pt>
                <c:pt idx="3">
                  <c:v>0.00999121221110844</c:v>
                </c:pt>
                <c:pt idx="4">
                  <c:v>0.0147232427542228</c:v>
                </c:pt>
                <c:pt idx="5">
                  <c:v>0.0129470761774885</c:v>
                </c:pt>
                <c:pt idx="6">
                  <c:v>0.0111275765957105</c:v>
                </c:pt>
                <c:pt idx="7">
                  <c:v>0.00998904155778471</c:v>
                </c:pt>
                <c:pt idx="8">
                  <c:v>0.00998920646781659</c:v>
                </c:pt>
                <c:pt idx="9">
                  <c:v>0.00998359071878786</c:v>
                </c:pt>
                <c:pt idx="10">
                  <c:v>0.00998247275218083</c:v>
                </c:pt>
                <c:pt idx="11">
                  <c:v>0.00998109002834014</c:v>
                </c:pt>
                <c:pt idx="12">
                  <c:v>0.0099789170918305</c:v>
                </c:pt>
                <c:pt idx="13">
                  <c:v>0.00997666165181499</c:v>
                </c:pt>
                <c:pt idx="14">
                  <c:v>0.00996914651365112</c:v>
                </c:pt>
                <c:pt idx="15">
                  <c:v>0.00996624789049315</c:v>
                </c:pt>
                <c:pt idx="16">
                  <c:v>0.0099631064549834</c:v>
                </c:pt>
                <c:pt idx="17">
                  <c:v>0.00996338399383501</c:v>
                </c:pt>
                <c:pt idx="18">
                  <c:v>0.0099603919490574</c:v>
                </c:pt>
                <c:pt idx="19">
                  <c:v>0.00996040638812369</c:v>
                </c:pt>
                <c:pt idx="20">
                  <c:v>0.00995798429433705</c:v>
                </c:pt>
                <c:pt idx="21">
                  <c:v>0.0111514099335642</c:v>
                </c:pt>
                <c:pt idx="22">
                  <c:v>0.0099547818127111</c:v>
                </c:pt>
                <c:pt idx="23">
                  <c:v>0.00995378599360114</c:v>
                </c:pt>
                <c:pt idx="24">
                  <c:v>0.00995186171631654</c:v>
                </c:pt>
                <c:pt idx="25">
                  <c:v>0.00994963124304327</c:v>
                </c:pt>
                <c:pt idx="26">
                  <c:v>0.00994887006752274</c:v>
                </c:pt>
                <c:pt idx="27">
                  <c:v>0.0102230589309145</c:v>
                </c:pt>
              </c:numCache>
            </c:numRef>
          </c:val>
        </c:ser>
        <c:ser>
          <c:idx val="6"/>
          <c:order val="6"/>
          <c:tx>
            <c:strRef>
              <c:f>T4_elec_generation!H138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T4_elec_generation!$H$139:$H$166</c:f>
              <c:numCache>
                <c:formatCode>0.0%</c:formatCode>
                <c:ptCount val="28"/>
                <c:pt idx="0">
                  <c:v>0.0199932606986409</c:v>
                </c:pt>
                <c:pt idx="1">
                  <c:v>0.0194785996278196</c:v>
                </c:pt>
                <c:pt idx="2">
                  <c:v>0.0189604706016085</c:v>
                </c:pt>
                <c:pt idx="3">
                  <c:v>0.0184375647189867</c:v>
                </c:pt>
                <c:pt idx="4">
                  <c:v>0.0179172320965589</c:v>
                </c:pt>
                <c:pt idx="5">
                  <c:v>0.0173804853931119</c:v>
                </c:pt>
                <c:pt idx="6">
                  <c:v>0.0168358093974524</c:v>
                </c:pt>
                <c:pt idx="7">
                  <c:v>0.0162690719042401</c:v>
                </c:pt>
                <c:pt idx="8">
                  <c:v>0.0156558108641053</c:v>
                </c:pt>
                <c:pt idx="9">
                  <c:v>0.0149728301153762</c:v>
                </c:pt>
                <c:pt idx="10">
                  <c:v>0.0141779317847573</c:v>
                </c:pt>
                <c:pt idx="11">
                  <c:v>0.0132270536675915</c:v>
                </c:pt>
                <c:pt idx="12">
                  <c:v>0.0120774246567301</c:v>
                </c:pt>
                <c:pt idx="13">
                  <c:v>0.0186562126297111</c:v>
                </c:pt>
                <c:pt idx="14">
                  <c:v>0.0176421090663611</c:v>
                </c:pt>
                <c:pt idx="15">
                  <c:v>0.0168291768235515</c:v>
                </c:pt>
                <c:pt idx="16">
                  <c:v>0.0168933600865473</c:v>
                </c:pt>
                <c:pt idx="17">
                  <c:v>0.0159368544889947</c:v>
                </c:pt>
                <c:pt idx="18">
                  <c:v>0.015147160524874</c:v>
                </c:pt>
                <c:pt idx="19">
                  <c:v>0.0144645119002276</c:v>
                </c:pt>
                <c:pt idx="20">
                  <c:v>0.0138538272726479</c:v>
                </c:pt>
                <c:pt idx="21">
                  <c:v>0.0104294689436456</c:v>
                </c:pt>
                <c:pt idx="22">
                  <c:v>0.010378569884772</c:v>
                </c:pt>
                <c:pt idx="23">
                  <c:v>0.0122038434997177</c:v>
                </c:pt>
                <c:pt idx="24">
                  <c:v>0.0116795869874791</c:v>
                </c:pt>
                <c:pt idx="25">
                  <c:v>0.0111628055958168</c:v>
                </c:pt>
                <c:pt idx="26">
                  <c:v>0.0106475157097693</c:v>
                </c:pt>
                <c:pt idx="27">
                  <c:v>0.00986175290471029</c:v>
                </c:pt>
              </c:numCache>
            </c:numRef>
          </c:val>
        </c:ser>
        <c:ser>
          <c:idx val="7"/>
          <c:order val="7"/>
          <c:tx>
            <c:strRef>
              <c:f>T4_elec_generation!I138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T4_elec_generation!$I$139:$I$166</c:f>
              <c:numCache>
                <c:formatCode>0.0%</c:formatCode>
                <c:ptCount val="28"/>
                <c:pt idx="0">
                  <c:v>0.00539144108727395</c:v>
                </c:pt>
                <c:pt idx="1">
                  <c:v>0.00526385966132744</c:v>
                </c:pt>
                <c:pt idx="2">
                  <c:v>0.00822984455369576</c:v>
                </c:pt>
                <c:pt idx="3">
                  <c:v>0.00999680952887376</c:v>
                </c:pt>
                <c:pt idx="4">
                  <c:v>0.00354703825064266</c:v>
                </c:pt>
                <c:pt idx="5">
                  <c:v>0.00295017304422</c:v>
                </c:pt>
                <c:pt idx="6">
                  <c:v>0.00272839618452518</c:v>
                </c:pt>
                <c:pt idx="7">
                  <c:v>0.00250252887128045</c:v>
                </c:pt>
                <c:pt idx="8">
                  <c:v>0.00232476077796459</c:v>
                </c:pt>
                <c:pt idx="9">
                  <c:v>0.00227991882262129</c:v>
                </c:pt>
                <c:pt idx="10">
                  <c:v>0.00223119850111812</c:v>
                </c:pt>
                <c:pt idx="11">
                  <c:v>0.00218879199527499</c:v>
                </c:pt>
                <c:pt idx="12">
                  <c:v>0.00214253219912831</c:v>
                </c:pt>
                <c:pt idx="13">
                  <c:v>0.00209755815299155</c:v>
                </c:pt>
                <c:pt idx="14">
                  <c:v>0.00172094946969085</c:v>
                </c:pt>
                <c:pt idx="15">
                  <c:v>0.00120945059066192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0.00165444810189681</c:v>
                </c:pt>
                <c:pt idx="22">
                  <c:v>0.00111032474879962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8"/>
          <c:order val="8"/>
          <c:tx>
            <c:strRef>
              <c:f>T4_elec_generation!J138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T4_elec_generation!$J$139:$J$166</c:f>
              <c:numCache>
                <c:formatCode>0.0%</c:formatCode>
                <c:ptCount val="28"/>
                <c:pt idx="0">
                  <c:v>3.54700071531181E-005</c:v>
                </c:pt>
                <c:pt idx="1">
                  <c:v>3.47832136211065E-005</c:v>
                </c:pt>
                <c:pt idx="2">
                  <c:v>3.97851601352695E-005</c:v>
                </c:pt>
                <c:pt idx="3">
                  <c:v>3.9181224357288E-005</c:v>
                </c:pt>
                <c:pt idx="4">
                  <c:v>3.86147243460321E-005</c:v>
                </c:pt>
                <c:pt idx="5">
                  <c:v>3.80316967026519E-005</c:v>
                </c:pt>
                <c:pt idx="6">
                  <c:v>3.74485750817181E-005</c:v>
                </c:pt>
                <c:pt idx="7">
                  <c:v>3.68793728399225E-005</c:v>
                </c:pt>
                <c:pt idx="8">
                  <c:v>3.63243871556967E-005</c:v>
                </c:pt>
                <c:pt idx="9">
                  <c:v>3.57834792788095E-005</c:v>
                </c:pt>
                <c:pt idx="10">
                  <c:v>3.52559582569454E-005</c:v>
                </c:pt>
                <c:pt idx="11">
                  <c:v>3.474273008373E-005</c:v>
                </c:pt>
                <c:pt idx="12">
                  <c:v>3.91330082032568E-005</c:v>
                </c:pt>
                <c:pt idx="13">
                  <c:v>3.85757821239826E-005</c:v>
                </c:pt>
                <c:pt idx="14">
                  <c:v>3.80320324793557E-005</c:v>
                </c:pt>
                <c:pt idx="15">
                  <c:v>3.75023438964935E-005</c:v>
                </c:pt>
                <c:pt idx="16">
                  <c:v>3.69860100417017E-005</c:v>
                </c:pt>
                <c:pt idx="17">
                  <c:v>3.64792091307461E-005</c:v>
                </c:pt>
                <c:pt idx="18">
                  <c:v>3.59256697892061E-005</c:v>
                </c:pt>
                <c:pt idx="19">
                  <c:v>3.54305251689593E-005</c:v>
                </c:pt>
                <c:pt idx="20">
                  <c:v>3.49402957696037E-005</c:v>
                </c:pt>
                <c:pt idx="21">
                  <c:v>3.86754101742112E-005</c:v>
                </c:pt>
                <c:pt idx="22">
                  <c:v>3.81409264854831E-005</c:v>
                </c:pt>
                <c:pt idx="23">
                  <c:v>3.76403672026934E-005</c:v>
                </c:pt>
                <c:pt idx="24">
                  <c:v>3.69347445141645E-005</c:v>
                </c:pt>
                <c:pt idx="25">
                  <c:v>3.60348817655491E-005</c:v>
                </c:pt>
                <c:pt idx="26">
                  <c:v>3.51274345263651E-005</c:v>
                </c:pt>
                <c:pt idx="27">
                  <c:v>3.42289919561869E-005</c:v>
                </c:pt>
              </c:numCache>
            </c:numRef>
          </c:val>
        </c:ser>
        <c:ser>
          <c:idx val="9"/>
          <c:order val="9"/>
          <c:tx>
            <c:strRef>
              <c:f>T4_elec_generation!K138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T4_elec_generation!$K$139:$K$166</c:f>
              <c:numCache>
                <c:formatCode>0.0%</c:formatCode>
                <c:ptCount val="28"/>
                <c:pt idx="0">
                  <c:v>0.000206908375059856</c:v>
                </c:pt>
                <c:pt idx="1">
                  <c:v>0.000202902079456454</c:v>
                </c:pt>
                <c:pt idx="2">
                  <c:v>0.000204609394981386</c:v>
                </c:pt>
                <c:pt idx="3">
                  <c:v>0.000207100757317094</c:v>
                </c:pt>
                <c:pt idx="4">
                  <c:v>0.000209622789307031</c:v>
                </c:pt>
                <c:pt idx="5">
                  <c:v>0.00020645778210011</c:v>
                </c:pt>
                <c:pt idx="6">
                  <c:v>0.000208642061169572</c:v>
                </c:pt>
                <c:pt idx="7">
                  <c:v>0.000210739273370985</c:v>
                </c:pt>
                <c:pt idx="8">
                  <c:v>0.000212757124769081</c:v>
                </c:pt>
                <c:pt idx="9">
                  <c:v>0.000214700875672857</c:v>
                </c:pt>
                <c:pt idx="10">
                  <c:v>0.00021657231500695</c:v>
                </c:pt>
                <c:pt idx="11">
                  <c:v>0.000218382874812017</c:v>
                </c:pt>
                <c:pt idx="12">
                  <c:v>0.00022012317114332</c:v>
                </c:pt>
                <c:pt idx="13">
                  <c:v>0.000216988774447402</c:v>
                </c:pt>
                <c:pt idx="14">
                  <c:v>0.000218684186756296</c:v>
                </c:pt>
                <c:pt idx="15">
                  <c:v>0.000220326270391899</c:v>
                </c:pt>
                <c:pt idx="16">
                  <c:v>0.00022191606025021</c:v>
                </c:pt>
                <c:pt idx="17">
                  <c:v>0.00022343515592582</c:v>
                </c:pt>
                <c:pt idx="18">
                  <c:v>0.000224535436182538</c:v>
                </c:pt>
                <c:pt idx="19">
                  <c:v>0.000225869597952116</c:v>
                </c:pt>
                <c:pt idx="20">
                  <c:v>0.000227111922502424</c:v>
                </c:pt>
                <c:pt idx="21">
                  <c:v>0.000232052461045267</c:v>
                </c:pt>
                <c:pt idx="22">
                  <c:v>0.000233083439633508</c:v>
                </c:pt>
                <c:pt idx="23">
                  <c:v>0.000234206729261203</c:v>
                </c:pt>
                <c:pt idx="24">
                  <c:v>0.000233920048589708</c:v>
                </c:pt>
                <c:pt idx="25">
                  <c:v>0.000232224793600205</c:v>
                </c:pt>
                <c:pt idx="26">
                  <c:v>0.000234182896842434</c:v>
                </c:pt>
                <c:pt idx="27">
                  <c:v>0.000231996501036378</c:v>
                </c:pt>
              </c:numCache>
            </c:numRef>
          </c:val>
        </c:ser>
        <c:axId val="83065921"/>
        <c:axId val="14230107"/>
      </c:areaChart>
      <c:catAx>
        <c:axId val="830659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230107"/>
        <c:crosses val="autoZero"/>
        <c:auto val="1"/>
        <c:lblAlgn val="ctr"/>
        <c:lblOffset val="100"/>
        <c:noMultiLvlLbl val="0"/>
      </c:catAx>
      <c:valAx>
        <c:axId val="142301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6592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Electricity generation mix (% of total)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T4_elec_generation!B170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T4_elec_generation!$B$171:$B$198</c:f>
              <c:numCache>
                <c:formatCode>0.0%</c:formatCode>
                <c:ptCount val="28"/>
                <c:pt idx="0">
                  <c:v>0.149961007130125</c:v>
                </c:pt>
                <c:pt idx="1">
                  <c:v>0.158971984009113</c:v>
                </c:pt>
                <c:pt idx="2">
                  <c:v>0.169754280614324</c:v>
                </c:pt>
                <c:pt idx="3">
                  <c:v>0.179575546856308</c:v>
                </c:pt>
                <c:pt idx="4">
                  <c:v>0.204676474890174</c:v>
                </c:pt>
                <c:pt idx="5">
                  <c:v>0.241670160308239</c:v>
                </c:pt>
                <c:pt idx="6">
                  <c:v>0.319228680065182</c:v>
                </c:pt>
                <c:pt idx="7">
                  <c:v>0.396668794614358</c:v>
                </c:pt>
                <c:pt idx="8">
                  <c:v>0.43891431976387</c:v>
                </c:pt>
                <c:pt idx="9">
                  <c:v>0.458145491573475</c:v>
                </c:pt>
                <c:pt idx="10">
                  <c:v>0.469346716685255</c:v>
                </c:pt>
                <c:pt idx="11">
                  <c:v>0.478228957965523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1"/>
          <c:order val="1"/>
          <c:tx>
            <c:strRef>
              <c:f>T4_elec_generation!C170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T4_elec_generation!$C$171:$C$198</c:f>
              <c:numCache>
                <c:formatCode>0.0%</c:formatCode>
                <c:ptCount val="28"/>
                <c:pt idx="0">
                  <c:v>0.619841800356506</c:v>
                </c:pt>
                <c:pt idx="1">
                  <c:v>0.603932778656106</c:v>
                </c:pt>
                <c:pt idx="2">
                  <c:v>0.586894278241221</c:v>
                </c:pt>
                <c:pt idx="3">
                  <c:v>0.565426769360775</c:v>
                </c:pt>
                <c:pt idx="4">
                  <c:v>0.529280926418149</c:v>
                </c:pt>
                <c:pt idx="5">
                  <c:v>0.451243736399752</c:v>
                </c:pt>
                <c:pt idx="6">
                  <c:v>0.309253864006716</c:v>
                </c:pt>
                <c:pt idx="7">
                  <c:v>0.167430793337589</c:v>
                </c:pt>
                <c:pt idx="8">
                  <c:v>0.0897219745855486</c:v>
                </c:pt>
                <c:pt idx="9">
                  <c:v>0.0539145101311192</c:v>
                </c:pt>
                <c:pt idx="10">
                  <c:v>0.0327613302240698</c:v>
                </c:pt>
                <c:pt idx="11">
                  <c:v>0.0158060740711353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T4_elec_generation!D170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T4_elec_generation!$D$171:$D$198</c:f>
              <c:numCache>
                <c:formatCode>0.0%</c:formatCode>
                <c:ptCount val="28"/>
                <c:pt idx="0">
                  <c:v>0.040274064171123</c:v>
                </c:pt>
                <c:pt idx="1">
                  <c:v>0.0515285562954801</c:v>
                </c:pt>
                <c:pt idx="2">
                  <c:v>0.0638932309803497</c:v>
                </c:pt>
                <c:pt idx="3">
                  <c:v>0.0792553489342856</c:v>
                </c:pt>
                <c:pt idx="4">
                  <c:v>0.105245903293001</c:v>
                </c:pt>
                <c:pt idx="5">
                  <c:v>0.16161086821984</c:v>
                </c:pt>
                <c:pt idx="6">
                  <c:v>0.264362253715866</c:v>
                </c:pt>
                <c:pt idx="7">
                  <c:v>0.366964579343431</c:v>
                </c:pt>
                <c:pt idx="8">
                  <c:v>0.42299217981348</c:v>
                </c:pt>
                <c:pt idx="9">
                  <c:v>0.448581822749151</c:v>
                </c:pt>
                <c:pt idx="10">
                  <c:v>0.463533745648721</c:v>
                </c:pt>
                <c:pt idx="11">
                  <c:v>0.475424014599988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3"/>
          <c:order val="3"/>
          <c:tx>
            <c:strRef>
              <c:f>T4_elec_generation!E170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T4_elec_generation!$E$171:$E$198</c:f>
              <c:numCache>
                <c:formatCode>0.0%</c:formatCode>
                <c:ptCount val="28"/>
                <c:pt idx="0">
                  <c:v>0.0999721479500891</c:v>
                </c:pt>
                <c:pt idx="1">
                  <c:v>0.0974091995507221</c:v>
                </c:pt>
                <c:pt idx="2">
                  <c:v>0.0946610331254288</c:v>
                </c:pt>
                <c:pt idx="3">
                  <c:v>0.0911978660259314</c:v>
                </c:pt>
                <c:pt idx="4">
                  <c:v>0.0853688675486334</c:v>
                </c:pt>
                <c:pt idx="5">
                  <c:v>0.0727825357848715</c:v>
                </c:pt>
                <c:pt idx="6">
                  <c:v>0.049879018320083</c:v>
                </c:pt>
                <c:pt idx="7">
                  <c:v>0.0270055906989341</c:v>
                </c:pt>
                <c:pt idx="8">
                  <c:v>0.0144717332360237</c:v>
                </c:pt>
                <c:pt idx="9">
                  <c:v>0.00869342879059064</c:v>
                </c:pt>
                <c:pt idx="10">
                  <c:v>0.00528490317347663</c:v>
                </c:pt>
                <c:pt idx="11">
                  <c:v>0.0025510305290512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4"/>
          <c:order val="4"/>
          <c:tx>
            <c:strRef>
              <c:f>T4_elec_generation!F170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T4_elec_generation!$F$171:$F$198</c:f>
              <c:numCache>
                <c:formatCode>0.0%</c:formatCode>
                <c:ptCount val="28"/>
                <c:pt idx="0">
                  <c:v>0.0499888591800357</c:v>
                </c:pt>
                <c:pt idx="1">
                  <c:v>0.0487019381763788</c:v>
                </c:pt>
                <c:pt idx="2">
                  <c:v>0.0473279371024407</c:v>
                </c:pt>
                <c:pt idx="3">
                  <c:v>0.0455963877194679</c:v>
                </c:pt>
                <c:pt idx="4">
                  <c:v>0.0426844337743167</c:v>
                </c:pt>
                <c:pt idx="5">
                  <c:v>0.0363887724341698</c:v>
                </c:pt>
                <c:pt idx="6">
                  <c:v>0.0249419781739173</c:v>
                </c:pt>
                <c:pt idx="7">
                  <c:v>0.013502795349467</c:v>
                </c:pt>
                <c:pt idx="8">
                  <c:v>0.00723355705318004</c:v>
                </c:pt>
                <c:pt idx="9">
                  <c:v>0.00434671439529532</c:v>
                </c:pt>
                <c:pt idx="10">
                  <c:v>0.00264033931528609</c:v>
                </c:pt>
                <c:pt idx="11">
                  <c:v>0.00127353157049057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5"/>
          <c:order val="5"/>
          <c:tx>
            <c:strRef>
              <c:f>T4_elec_generation!G170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T4_elec_generation!$G$171:$G$198</c:f>
              <c:numCache>
                <c:formatCode>0.0%</c:formatCode>
                <c:ptCount val="28"/>
                <c:pt idx="0">
                  <c:v>0.00999888591800357</c:v>
                </c:pt>
                <c:pt idx="1">
                  <c:v>0.0103270040509537</c:v>
                </c:pt>
                <c:pt idx="2">
                  <c:v>0.00999798802098649</c:v>
                </c:pt>
                <c:pt idx="3">
                  <c:v>0.00999282227233622</c:v>
                </c:pt>
                <c:pt idx="4">
                  <c:v>0.00998643257392734</c:v>
                </c:pt>
                <c:pt idx="5">
                  <c:v>0.00998183306382384</c:v>
                </c:pt>
                <c:pt idx="6">
                  <c:v>0.00997481605846625</c:v>
                </c:pt>
                <c:pt idx="7">
                  <c:v>0.00996750043526203</c:v>
                </c:pt>
                <c:pt idx="8">
                  <c:v>0.00996346268436101</c:v>
                </c:pt>
                <c:pt idx="9">
                  <c:v>0.00995393110749259</c:v>
                </c:pt>
                <c:pt idx="10">
                  <c:v>0.00994457399709352</c:v>
                </c:pt>
                <c:pt idx="11">
                  <c:v>0.0109499910733768</c:v>
                </c:pt>
                <c:pt idx="12">
                  <c:v>0.0170604257334873</c:v>
                </c:pt>
                <c:pt idx="13">
                  <c:v>0.0169696713008552</c:v>
                </c:pt>
                <c:pt idx="14">
                  <c:v>0.0168539703450779</c:v>
                </c:pt>
                <c:pt idx="15">
                  <c:v>0.0167625228930373</c:v>
                </c:pt>
                <c:pt idx="16">
                  <c:v>0.0167123947944088</c:v>
                </c:pt>
                <c:pt idx="17">
                  <c:v>0.0166956313297777</c:v>
                </c:pt>
                <c:pt idx="18">
                  <c:v>0.0166999010183852</c:v>
                </c:pt>
                <c:pt idx="19">
                  <c:v>0.0167134831460674</c:v>
                </c:pt>
                <c:pt idx="20">
                  <c:v>0.0167275502669937</c:v>
                </c:pt>
                <c:pt idx="21">
                  <c:v>0.0167429548039961</c:v>
                </c:pt>
                <c:pt idx="22">
                  <c:v>0.0167662149717143</c:v>
                </c:pt>
                <c:pt idx="23">
                  <c:v>0.016780013914883</c:v>
                </c:pt>
                <c:pt idx="24">
                  <c:v>0.0167972815387895</c:v>
                </c:pt>
                <c:pt idx="25">
                  <c:v>0.0168150055167341</c:v>
                </c:pt>
                <c:pt idx="26">
                  <c:v>0.01683449162955</c:v>
                </c:pt>
                <c:pt idx="27">
                  <c:v>0.0168558206871591</c:v>
                </c:pt>
              </c:numCache>
            </c:numRef>
          </c:val>
        </c:ser>
        <c:ser>
          <c:idx val="6"/>
          <c:order val="6"/>
          <c:tx>
            <c:strRef>
              <c:f>T4_elec_generation!H170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T4_elec_generation!$H$171:$H$198</c:f>
              <c:numCache>
                <c:formatCode>0.0%</c:formatCode>
                <c:ptCount val="28"/>
                <c:pt idx="0">
                  <c:v>0.019992201426025</c:v>
                </c:pt>
                <c:pt idx="1">
                  <c:v>0.0194829045497373</c:v>
                </c:pt>
                <c:pt idx="2">
                  <c:v>0.0189332384091953</c:v>
                </c:pt>
                <c:pt idx="3">
                  <c:v>0.0182395732051863</c:v>
                </c:pt>
                <c:pt idx="4">
                  <c:v>0.0170727647791637</c:v>
                </c:pt>
                <c:pt idx="5">
                  <c:v>0.0218402507436466</c:v>
                </c:pt>
                <c:pt idx="6">
                  <c:v>0.0199595081724359</c:v>
                </c:pt>
                <c:pt idx="7">
                  <c:v>0.0154082757820208</c:v>
                </c:pt>
                <c:pt idx="8">
                  <c:v>0.0130398030403111</c:v>
                </c:pt>
                <c:pt idx="9">
                  <c:v>0.0119994437641022</c:v>
                </c:pt>
                <c:pt idx="10">
                  <c:v>0.0115330021291696</c:v>
                </c:pt>
                <c:pt idx="11">
                  <c:v>0.0102437959969054</c:v>
                </c:pt>
                <c:pt idx="12">
                  <c:v>0.00394869289753382</c:v>
                </c:pt>
                <c:pt idx="13">
                  <c:v>0.00408006240095437</c:v>
                </c:pt>
                <c:pt idx="14">
                  <c:v>0.00396227936926159</c:v>
                </c:pt>
                <c:pt idx="15">
                  <c:v>0.00390707836648138</c:v>
                </c:pt>
                <c:pt idx="16">
                  <c:v>0.00362426309740091</c:v>
                </c:pt>
                <c:pt idx="17">
                  <c:v>0.00360759872954995</c:v>
                </c:pt>
                <c:pt idx="18">
                  <c:v>0.00371397487656156</c:v>
                </c:pt>
                <c:pt idx="19">
                  <c:v>0.00375</c:v>
                </c:pt>
                <c:pt idx="20">
                  <c:v>0.00371661887234907</c:v>
                </c:pt>
                <c:pt idx="21">
                  <c:v>0.00390606045902276</c:v>
                </c:pt>
                <c:pt idx="22">
                  <c:v>0.0043810024996711</c:v>
                </c:pt>
                <c:pt idx="23">
                  <c:v>0.00438755259800108</c:v>
                </c:pt>
                <c:pt idx="24">
                  <c:v>0.0043886597033266</c:v>
                </c:pt>
                <c:pt idx="25">
                  <c:v>0.0043839646929018</c:v>
                </c:pt>
                <c:pt idx="26">
                  <c:v>0.00437240823222239</c:v>
                </c:pt>
                <c:pt idx="27">
                  <c:v>0.00435966918219187</c:v>
                </c:pt>
              </c:numCache>
            </c:numRef>
          </c:val>
        </c:ser>
        <c:ser>
          <c:idx val="7"/>
          <c:order val="7"/>
          <c:tx>
            <c:strRef>
              <c:f>T4_elec_generation!I170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T4_elec_generation!$I$171:$I$198</c:f>
              <c:numCache>
                <c:formatCode>0.0%</c:formatCode>
                <c:ptCount val="28"/>
                <c:pt idx="0">
                  <c:v>0.00971479500891266</c:v>
                </c:pt>
                <c:pt idx="1">
                  <c:v>0.00937947481328883</c:v>
                </c:pt>
                <c:pt idx="2">
                  <c:v>0.0082594317964909</c:v>
                </c:pt>
                <c:pt idx="3">
                  <c:v>0.00999282227233622</c:v>
                </c:pt>
                <c:pt idx="4">
                  <c:v>0.0044585890885615</c:v>
                </c:pt>
                <c:pt idx="5">
                  <c:v>0.00270008584376435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0.000258774818857627</c:v>
                </c:pt>
                <c:pt idx="15">
                  <c:v>0.000430549754201073</c:v>
                </c:pt>
                <c:pt idx="16">
                  <c:v>0.000794062758765588</c:v>
                </c:pt>
                <c:pt idx="17">
                  <c:v>0.000847965482111823</c:v>
                </c:pt>
                <c:pt idx="18">
                  <c:v>0.000816670466252464</c:v>
                </c:pt>
                <c:pt idx="19">
                  <c:v>0.000794943820224719</c:v>
                </c:pt>
                <c:pt idx="20">
                  <c:v>0.000782591622674693</c:v>
                </c:pt>
                <c:pt idx="21">
                  <c:v>0.000601139739380314</c:v>
                </c:pt>
                <c:pt idx="22">
                  <c:v>0.000128930403894224</c:v>
                </c:pt>
                <c:pt idx="23">
                  <c:v>0.000125798757929815</c:v>
                </c:pt>
                <c:pt idx="24">
                  <c:v>0.000122882471693145</c:v>
                </c:pt>
                <c:pt idx="25">
                  <c:v>0.000120142209145519</c:v>
                </c:pt>
                <c:pt idx="26">
                  <c:v>0.000117589463984027</c:v>
                </c:pt>
                <c:pt idx="27">
                  <c:v>0.000115161072737144</c:v>
                </c:pt>
              </c:numCache>
            </c:numRef>
          </c:val>
        </c:ser>
        <c:ser>
          <c:idx val="8"/>
          <c:order val="8"/>
          <c:tx>
            <c:strRef>
              <c:f>T4_elec_generation!J170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T4_elec_generation!$J$171:$J$198</c:f>
              <c:numCache>
                <c:formatCode>0.0%</c:formatCode>
                <c:ptCount val="28"/>
                <c:pt idx="0">
                  <c:v>6.68449197860963E-005</c:v>
                </c:pt>
                <c:pt idx="1">
                  <c:v>8.51711674305456E-005</c:v>
                </c:pt>
                <c:pt idx="2">
                  <c:v>0.000103178410949293</c:v>
                </c:pt>
                <c:pt idx="3">
                  <c:v>0.000549783395523338</c:v>
                </c:pt>
                <c:pt idx="4">
                  <c:v>0.001054123438359</c:v>
                </c:pt>
                <c:pt idx="5">
                  <c:v>0.00161206603980755</c:v>
                </c:pt>
                <c:pt idx="6">
                  <c:v>0.00223198854377562</c:v>
                </c:pt>
                <c:pt idx="7">
                  <c:v>0.00288723811734664</c:v>
                </c:pt>
                <c:pt idx="8">
                  <c:v>0.0035013002850003</c:v>
                </c:pt>
                <c:pt idx="9">
                  <c:v>0.00420765542083283</c:v>
                </c:pt>
                <c:pt idx="10">
                  <c:v>0.00480330528236845</c:v>
                </c:pt>
                <c:pt idx="11">
                  <c:v>0.00537977822300688</c:v>
                </c:pt>
                <c:pt idx="12">
                  <c:v>0.0059137874885277</c:v>
                </c:pt>
                <c:pt idx="13">
                  <c:v>0.00578479435567838</c:v>
                </c:pt>
                <c:pt idx="14">
                  <c:v>0.00564935675973598</c:v>
                </c:pt>
                <c:pt idx="15">
                  <c:v>0.00553931176300485</c:v>
                </c:pt>
                <c:pt idx="16">
                  <c:v>0.00545956768380854</c:v>
                </c:pt>
                <c:pt idx="17">
                  <c:v>0.00542338347216396</c:v>
                </c:pt>
                <c:pt idx="18">
                  <c:v>0.00535308733179619</c:v>
                </c:pt>
                <c:pt idx="19">
                  <c:v>0.00533707865168539</c:v>
                </c:pt>
                <c:pt idx="20">
                  <c:v>0.0053813544089221</c:v>
                </c:pt>
                <c:pt idx="21">
                  <c:v>0.0053725179398429</c:v>
                </c:pt>
                <c:pt idx="22">
                  <c:v>0.00537034600710433</c:v>
                </c:pt>
                <c:pt idx="23">
                  <c:v>0.00536826944553556</c:v>
                </c:pt>
                <c:pt idx="24">
                  <c:v>0.00536921167132701</c:v>
                </c:pt>
                <c:pt idx="25">
                  <c:v>0.00537697682971681</c:v>
                </c:pt>
                <c:pt idx="26">
                  <c:v>0.00538991706343112</c:v>
                </c:pt>
                <c:pt idx="27">
                  <c:v>0.00540551974072307</c:v>
                </c:pt>
              </c:numCache>
            </c:numRef>
          </c:val>
        </c:ser>
        <c:ser>
          <c:idx val="9"/>
          <c:order val="9"/>
          <c:tx>
            <c:strRef>
              <c:f>T4_elec_generation!K170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T4_elec_generation!$K$171:$K$198</c:f>
              <c:numCache>
                <c:formatCode>0.0%</c:formatCode>
                <c:ptCount val="28"/>
                <c:pt idx="0">
                  <c:v>0.000189393939393939</c:v>
                </c:pt>
                <c:pt idx="1">
                  <c:v>0.000180988730789909</c:v>
                </c:pt>
                <c:pt idx="2">
                  <c:v>0.000175403298613798</c:v>
                </c:pt>
                <c:pt idx="3">
                  <c:v>0.00017307995784994</c:v>
                </c:pt>
                <c:pt idx="4">
                  <c:v>0.000171484195713904</c:v>
                </c:pt>
                <c:pt idx="5">
                  <c:v>0.000169691162085005</c:v>
                </c:pt>
                <c:pt idx="6">
                  <c:v>0.000167892943558343</c:v>
                </c:pt>
                <c:pt idx="7">
                  <c:v>0.000164432321590931</c:v>
                </c:pt>
                <c:pt idx="8">
                  <c:v>0.000161669538225608</c:v>
                </c:pt>
                <c:pt idx="9">
                  <c:v>0.000157002067941523</c:v>
                </c:pt>
                <c:pt idx="10">
                  <c:v>0.000152083544560479</c:v>
                </c:pt>
                <c:pt idx="11">
                  <c:v>0.000142825970522307</c:v>
                </c:pt>
                <c:pt idx="12">
                  <c:v>0.000136927495041004</c:v>
                </c:pt>
                <c:pt idx="13">
                  <c:v>0.000134119698301268</c:v>
                </c:pt>
                <c:pt idx="14">
                  <c:v>0.000127707053462205</c:v>
                </c:pt>
                <c:pt idx="15">
                  <c:v>0.000125309256819715</c:v>
                </c:pt>
                <c:pt idx="16">
                  <c:v>0.000123589534438224</c:v>
                </c:pt>
                <c:pt idx="17">
                  <c:v>0.000122850122850123</c:v>
                </c:pt>
                <c:pt idx="18">
                  <c:v>0.000118316215958838</c:v>
                </c:pt>
                <c:pt idx="19">
                  <c:v>0.000117977528089888</c:v>
                </c:pt>
                <c:pt idx="20">
                  <c:v>0.000118909681183787</c:v>
                </c:pt>
                <c:pt idx="21">
                  <c:v>0.000118610531536923</c:v>
                </c:pt>
                <c:pt idx="22">
                  <c:v>0.000118405472964084</c:v>
                </c:pt>
                <c:pt idx="23">
                  <c:v>0.000118096793158601</c:v>
                </c:pt>
                <c:pt idx="24">
                  <c:v>0.000117866860603629</c:v>
                </c:pt>
                <c:pt idx="25">
                  <c:v>0.000117690327326223</c:v>
                </c:pt>
                <c:pt idx="26">
                  <c:v>0.000119989248963293</c:v>
                </c:pt>
                <c:pt idx="27">
                  <c:v>0.000119861524685599</c:v>
                </c:pt>
              </c:numCache>
            </c:numRef>
          </c:val>
        </c:ser>
        <c:axId val="54036295"/>
        <c:axId val="3291891"/>
      </c:areaChart>
      <c:catAx>
        <c:axId val="540362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91891"/>
        <c:crosses val="autoZero"/>
        <c:auto val="1"/>
        <c:lblAlgn val="ctr"/>
        <c:lblOffset val="100"/>
        <c:noMultiLvlLbl val="0"/>
      </c:catAx>
      <c:valAx>
        <c:axId val="32918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03629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image" Target="../media/image1.png"/><Relationship Id="rId11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56</xdr:row>
      <xdr:rowOff>0</xdr:rowOff>
    </xdr:from>
    <xdr:to>
      <xdr:col>11</xdr:col>
      <xdr:colOff>473040</xdr:colOff>
      <xdr:row>71</xdr:row>
      <xdr:rowOff>21960</xdr:rowOff>
    </xdr:to>
    <xdr:graphicFrame>
      <xdr:nvGraphicFramePr>
        <xdr:cNvPr id="1" name="Chart 1"/>
        <xdr:cNvGraphicFramePr/>
      </xdr:nvGraphicFramePr>
      <xdr:xfrm>
        <a:off x="0" y="10667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73</xdr:row>
      <xdr:rowOff>0</xdr:rowOff>
    </xdr:from>
    <xdr:to>
      <xdr:col>11</xdr:col>
      <xdr:colOff>473040</xdr:colOff>
      <xdr:row>88</xdr:row>
      <xdr:rowOff>21960</xdr:rowOff>
    </xdr:to>
    <xdr:graphicFrame>
      <xdr:nvGraphicFramePr>
        <xdr:cNvPr id="2" name="Chart 2"/>
        <xdr:cNvGraphicFramePr/>
      </xdr:nvGraphicFramePr>
      <xdr:xfrm>
        <a:off x="0" y="13906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90</xdr:row>
      <xdr:rowOff>0</xdr:rowOff>
    </xdr:from>
    <xdr:to>
      <xdr:col>11</xdr:col>
      <xdr:colOff>473040</xdr:colOff>
      <xdr:row>105</xdr:row>
      <xdr:rowOff>21960</xdr:rowOff>
    </xdr:to>
    <xdr:graphicFrame>
      <xdr:nvGraphicFramePr>
        <xdr:cNvPr id="3" name="Chart 3"/>
        <xdr:cNvGraphicFramePr/>
      </xdr:nvGraphicFramePr>
      <xdr:xfrm>
        <a:off x="0" y="171450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110</xdr:row>
      <xdr:rowOff>0</xdr:rowOff>
    </xdr:from>
    <xdr:to>
      <xdr:col>11</xdr:col>
      <xdr:colOff>473040</xdr:colOff>
      <xdr:row>125</xdr:row>
      <xdr:rowOff>21960</xdr:rowOff>
    </xdr:to>
    <xdr:graphicFrame>
      <xdr:nvGraphicFramePr>
        <xdr:cNvPr id="4" name="Chart 4"/>
        <xdr:cNvGraphicFramePr/>
      </xdr:nvGraphicFramePr>
      <xdr:xfrm>
        <a:off x="0" y="20954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127</xdr:row>
      <xdr:rowOff>0</xdr:rowOff>
    </xdr:from>
    <xdr:to>
      <xdr:col>11</xdr:col>
      <xdr:colOff>473040</xdr:colOff>
      <xdr:row>142</xdr:row>
      <xdr:rowOff>21960</xdr:rowOff>
    </xdr:to>
    <xdr:graphicFrame>
      <xdr:nvGraphicFramePr>
        <xdr:cNvPr id="5" name="Chart 5"/>
        <xdr:cNvGraphicFramePr/>
      </xdr:nvGraphicFramePr>
      <xdr:xfrm>
        <a:off x="0" y="24193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144</xdr:row>
      <xdr:rowOff>0</xdr:rowOff>
    </xdr:from>
    <xdr:to>
      <xdr:col>11</xdr:col>
      <xdr:colOff>473040</xdr:colOff>
      <xdr:row>159</xdr:row>
      <xdr:rowOff>21960</xdr:rowOff>
    </xdr:to>
    <xdr:graphicFrame>
      <xdr:nvGraphicFramePr>
        <xdr:cNvPr id="6" name="Chart 6"/>
        <xdr:cNvGraphicFramePr/>
      </xdr:nvGraphicFramePr>
      <xdr:xfrm>
        <a:off x="0" y="274320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164</xdr:row>
      <xdr:rowOff>0</xdr:rowOff>
    </xdr:from>
    <xdr:to>
      <xdr:col>11</xdr:col>
      <xdr:colOff>473040</xdr:colOff>
      <xdr:row>179</xdr:row>
      <xdr:rowOff>21960</xdr:rowOff>
    </xdr:to>
    <xdr:graphicFrame>
      <xdr:nvGraphicFramePr>
        <xdr:cNvPr id="7" name="Chart 7"/>
        <xdr:cNvGraphicFramePr/>
      </xdr:nvGraphicFramePr>
      <xdr:xfrm>
        <a:off x="0" y="31241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181</xdr:row>
      <xdr:rowOff>0</xdr:rowOff>
    </xdr:from>
    <xdr:to>
      <xdr:col>11</xdr:col>
      <xdr:colOff>473040</xdr:colOff>
      <xdr:row>196</xdr:row>
      <xdr:rowOff>21960</xdr:rowOff>
    </xdr:to>
    <xdr:graphicFrame>
      <xdr:nvGraphicFramePr>
        <xdr:cNvPr id="8" name="Chart 8"/>
        <xdr:cNvGraphicFramePr/>
      </xdr:nvGraphicFramePr>
      <xdr:xfrm>
        <a:off x="0" y="34480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198</xdr:row>
      <xdr:rowOff>0</xdr:rowOff>
    </xdr:from>
    <xdr:to>
      <xdr:col>11</xdr:col>
      <xdr:colOff>473040</xdr:colOff>
      <xdr:row>213</xdr:row>
      <xdr:rowOff>21960</xdr:rowOff>
    </xdr:to>
    <xdr:graphicFrame>
      <xdr:nvGraphicFramePr>
        <xdr:cNvPr id="9" name="Chart 9"/>
        <xdr:cNvGraphicFramePr/>
      </xdr:nvGraphicFramePr>
      <xdr:xfrm>
        <a:off x="0" y="377190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4</xdr:row>
      <xdr:rowOff>0</xdr:rowOff>
    </xdr:from>
    <xdr:to>
      <xdr:col>15</xdr:col>
      <xdr:colOff>352080</xdr:colOff>
      <xdr:row>20</xdr:row>
      <xdr:rowOff>28440</xdr:rowOff>
    </xdr:to>
    <xdr:pic>
      <xdr:nvPicPr>
        <xdr:cNvPr id="10" name="Image 10" descr="Picture"/>
        <xdr:cNvPicPr/>
      </xdr:nvPicPr>
      <xdr:blipFill>
        <a:blip r:embed="rId10"/>
        <a:stretch/>
      </xdr:blipFill>
      <xdr:spPr>
        <a:xfrm>
          <a:off x="0" y="762120"/>
          <a:ext cx="9524520" cy="3076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15</xdr:col>
      <xdr:colOff>352080</xdr:colOff>
      <xdr:row>55</xdr:row>
      <xdr:rowOff>75960</xdr:rowOff>
    </xdr:to>
    <xdr:pic>
      <xdr:nvPicPr>
        <xdr:cNvPr id="11" name="Image 11" descr="Picture"/>
        <xdr:cNvPicPr/>
      </xdr:nvPicPr>
      <xdr:blipFill>
        <a:blip r:embed="rId11"/>
        <a:stretch/>
      </xdr:blipFill>
      <xdr:spPr>
        <a:xfrm>
          <a:off x="0" y="5143680"/>
          <a:ext cx="9524520" cy="5409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29</xdr:row>
      <xdr:rowOff>0</xdr:rowOff>
    </xdr:from>
    <xdr:to>
      <xdr:col>14</xdr:col>
      <xdr:colOff>78480</xdr:colOff>
      <xdr:row>46</xdr:row>
      <xdr:rowOff>1080</xdr:rowOff>
    </xdr:to>
    <xdr:graphicFrame>
      <xdr:nvGraphicFramePr>
        <xdr:cNvPr id="12" name="Chart 1"/>
        <xdr:cNvGraphicFramePr/>
      </xdr:nvGraphicFramePr>
      <xdr:xfrm>
        <a:off x="0" y="55245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48</xdr:row>
      <xdr:rowOff>0</xdr:rowOff>
    </xdr:from>
    <xdr:to>
      <xdr:col>14</xdr:col>
      <xdr:colOff>78480</xdr:colOff>
      <xdr:row>65</xdr:row>
      <xdr:rowOff>1080</xdr:rowOff>
    </xdr:to>
    <xdr:graphicFrame>
      <xdr:nvGraphicFramePr>
        <xdr:cNvPr id="13" name="Chart 2"/>
        <xdr:cNvGraphicFramePr/>
      </xdr:nvGraphicFramePr>
      <xdr:xfrm>
        <a:off x="0" y="91440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67</xdr:row>
      <xdr:rowOff>0</xdr:rowOff>
    </xdr:from>
    <xdr:to>
      <xdr:col>14</xdr:col>
      <xdr:colOff>78480</xdr:colOff>
      <xdr:row>84</xdr:row>
      <xdr:rowOff>1080</xdr:rowOff>
    </xdr:to>
    <xdr:graphicFrame>
      <xdr:nvGraphicFramePr>
        <xdr:cNvPr id="14" name="Chart 3"/>
        <xdr:cNvGraphicFramePr/>
      </xdr:nvGraphicFramePr>
      <xdr:xfrm>
        <a:off x="0" y="1276344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</xdr:row>
      <xdr:rowOff>0</xdr:rowOff>
    </xdr:from>
    <xdr:to>
      <xdr:col>17</xdr:col>
      <xdr:colOff>81360</xdr:colOff>
      <xdr:row>23</xdr:row>
      <xdr:rowOff>133200</xdr:rowOff>
    </xdr:to>
    <xdr:pic>
      <xdr:nvPicPr>
        <xdr:cNvPr id="15" name="Image 4" descr="Picture"/>
        <xdr:cNvPicPr/>
      </xdr:nvPicPr>
      <xdr:blipFill>
        <a:blip r:embed="rId4"/>
        <a:stretch/>
      </xdr:blipFill>
      <xdr:spPr>
        <a:xfrm>
          <a:off x="0" y="762120"/>
          <a:ext cx="10477080" cy="3752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3" t="s">
        <v>226</v>
      </c>
    </row>
    <row r="12" customFormat="false" ht="15" hidden="false" customHeight="false" outlineLevel="0" collapsed="false">
      <c r="A12" s="10" t="s">
        <v>227</v>
      </c>
      <c r="B12" s="12"/>
      <c r="C12" s="12"/>
      <c r="D12" s="12"/>
      <c r="E12" s="12"/>
    </row>
    <row r="13" customFormat="false" ht="26.85" hidden="false" customHeight="false" outlineLevel="0" collapsed="false">
      <c r="A13" s="3" t="s">
        <v>113</v>
      </c>
      <c r="B13" s="3" t="s">
        <v>228</v>
      </c>
      <c r="C13" s="3" t="s">
        <v>229</v>
      </c>
      <c r="D13" s="3" t="s">
        <v>230</v>
      </c>
      <c r="E13" s="3" t="s">
        <v>231</v>
      </c>
    </row>
    <row r="14" customFormat="false" ht="15" hidden="false" customHeight="false" outlineLevel="0" collapsed="false">
      <c r="A14" s="4" t="n">
        <v>2023</v>
      </c>
      <c r="B14" s="24" t="n">
        <v>0</v>
      </c>
      <c r="C14" s="24" t="n">
        <v>25765981851.3</v>
      </c>
      <c r="D14" s="24" t="n">
        <v>32956488414.5</v>
      </c>
      <c r="E14" s="24" t="n">
        <v>1198417760.5</v>
      </c>
    </row>
    <row r="15" customFormat="false" ht="15" hidden="false" customHeight="false" outlineLevel="0" collapsed="false">
      <c r="A15" s="4" t="n">
        <v>2024</v>
      </c>
      <c r="B15" s="24" t="n">
        <v>0</v>
      </c>
      <c r="C15" s="24" t="n">
        <v>26830722063.8</v>
      </c>
      <c r="D15" s="24" t="n">
        <v>34318365430.5</v>
      </c>
      <c r="E15" s="24" t="n">
        <v>1247940561.1</v>
      </c>
    </row>
    <row r="16" customFormat="false" ht="15" hidden="false" customHeight="false" outlineLevel="0" collapsed="false">
      <c r="A16" s="4" t="n">
        <v>2025</v>
      </c>
      <c r="B16" s="24" t="n">
        <v>0</v>
      </c>
      <c r="C16" s="24" t="n">
        <v>27999779219.9</v>
      </c>
      <c r="D16" s="24" t="n">
        <v>35813671095.3</v>
      </c>
      <c r="E16" s="24" t="n">
        <v>1302315312.6</v>
      </c>
    </row>
    <row r="17" customFormat="false" ht="15" hidden="false" customHeight="false" outlineLevel="0" collapsed="false">
      <c r="A17" s="4" t="n">
        <v>2026</v>
      </c>
      <c r="B17" s="24" t="n">
        <v>0</v>
      </c>
      <c r="C17" s="24" t="n">
        <v>29252411444.8</v>
      </c>
      <c r="D17" s="24" t="n">
        <v>37415875103.9</v>
      </c>
      <c r="E17" s="24" t="n">
        <v>1360577276.5</v>
      </c>
    </row>
    <row r="18" customFormat="false" ht="15" hidden="false" customHeight="false" outlineLevel="0" collapsed="false">
      <c r="A18" s="4" t="n">
        <v>2027</v>
      </c>
      <c r="B18" s="24" t="n">
        <v>0</v>
      </c>
      <c r="C18" s="24" t="n">
        <v>30568011010.1</v>
      </c>
      <c r="D18" s="24" t="n">
        <v>39098618733.8</v>
      </c>
      <c r="E18" s="24" t="n">
        <v>1421767954</v>
      </c>
    </row>
    <row r="19" customFormat="false" ht="15" hidden="false" customHeight="false" outlineLevel="0" collapsed="false">
      <c r="A19" s="4" t="n">
        <v>2028</v>
      </c>
      <c r="B19" s="24" t="n">
        <v>0</v>
      </c>
      <c r="C19" s="24" t="n">
        <v>31937726583.8</v>
      </c>
      <c r="D19" s="24" t="n">
        <v>40850580514.1</v>
      </c>
      <c r="E19" s="24" t="n">
        <v>1485475655.1</v>
      </c>
    </row>
    <row r="20" customFormat="false" ht="15" hidden="false" customHeight="false" outlineLevel="0" collapsed="false">
      <c r="A20" s="4" t="n">
        <v>2029</v>
      </c>
      <c r="B20" s="24" t="n">
        <v>0</v>
      </c>
      <c r="C20" s="24" t="n">
        <v>33384208370.4</v>
      </c>
      <c r="D20" s="24" t="n">
        <v>42700731636.6</v>
      </c>
      <c r="E20" s="24" t="n">
        <v>1552753877.7</v>
      </c>
    </row>
    <row r="21" customFormat="false" ht="15" hidden="false" customHeight="false" outlineLevel="0" collapsed="false">
      <c r="A21" s="4" t="n">
        <v>2030</v>
      </c>
      <c r="B21" s="24" t="n">
        <v>0</v>
      </c>
      <c r="C21" s="24" t="n">
        <v>34880968030.9</v>
      </c>
      <c r="D21" s="24" t="n">
        <v>44615191667.4</v>
      </c>
      <c r="E21" s="24" t="n">
        <v>1622370606.1</v>
      </c>
    </row>
    <row r="22" customFormat="false" ht="15" hidden="false" customHeight="false" outlineLevel="0" collapsed="false">
      <c r="A22" s="4" t="n">
        <v>2031</v>
      </c>
      <c r="B22" s="24" t="n">
        <v>0</v>
      </c>
      <c r="C22" s="24" t="n">
        <v>36428968179.2</v>
      </c>
      <c r="D22" s="24" t="n">
        <v>46595191857.1</v>
      </c>
      <c r="E22" s="24" t="n">
        <v>1694370613</v>
      </c>
    </row>
    <row r="23" customFormat="false" ht="15" hidden="false" customHeight="false" outlineLevel="0" collapsed="false">
      <c r="A23" s="4" t="n">
        <v>2032</v>
      </c>
      <c r="B23" s="24" t="n">
        <v>0</v>
      </c>
      <c r="C23" s="24" t="n">
        <v>38029113911.7</v>
      </c>
      <c r="D23" s="24" t="n">
        <v>48641889887</v>
      </c>
      <c r="E23" s="24" t="n">
        <v>1768795995.9</v>
      </c>
    </row>
    <row r="24" customFormat="false" ht="15" hidden="false" customHeight="false" outlineLevel="0" collapsed="false">
      <c r="A24" s="4" t="n">
        <v>2033</v>
      </c>
      <c r="B24" s="24" t="n">
        <v>0</v>
      </c>
      <c r="C24" s="24" t="n">
        <v>39682237533.6</v>
      </c>
      <c r="D24" s="24" t="n">
        <v>50756350333.7</v>
      </c>
      <c r="E24" s="24" t="n">
        <v>1845685466.7</v>
      </c>
    </row>
    <row r="25" customFormat="false" ht="15" hidden="false" customHeight="false" outlineLevel="0" collapsed="false">
      <c r="A25" s="4" t="n">
        <v>2034</v>
      </c>
      <c r="B25" s="24" t="n">
        <v>0</v>
      </c>
      <c r="C25" s="24" t="n">
        <v>41389096816.7</v>
      </c>
      <c r="D25" s="24" t="n">
        <v>52939542440</v>
      </c>
      <c r="E25" s="24" t="n">
        <v>1925074270.5</v>
      </c>
    </row>
    <row r="26" customFormat="false" ht="15" hidden="false" customHeight="false" outlineLevel="0" collapsed="false">
      <c r="A26" s="4" t="n">
        <v>2035</v>
      </c>
      <c r="B26" s="24" t="n">
        <v>0</v>
      </c>
      <c r="C26" s="24" t="n">
        <v>43150390547.3</v>
      </c>
      <c r="D26" s="24" t="n">
        <v>55192360002.4</v>
      </c>
      <c r="E26" s="24" t="n">
        <v>2006994909.2</v>
      </c>
    </row>
    <row r="27" customFormat="false" ht="15" hidden="false" customHeight="false" outlineLevel="0" collapsed="false">
      <c r="A27" s="4" t="n">
        <v>2036</v>
      </c>
      <c r="B27" s="24" t="n">
        <v>0</v>
      </c>
      <c r="C27" s="24" t="n">
        <v>44966732589.2</v>
      </c>
      <c r="D27" s="24" t="n">
        <v>57515588195.5</v>
      </c>
      <c r="E27" s="24" t="n">
        <v>2091475934.4</v>
      </c>
    </row>
    <row r="28" customFormat="false" ht="15" hidden="false" customHeight="false" outlineLevel="0" collapsed="false">
      <c r="A28" s="4" t="n">
        <v>2037</v>
      </c>
      <c r="B28" s="24" t="n">
        <v>0</v>
      </c>
      <c r="C28" s="24" t="n">
        <v>46838655810.7</v>
      </c>
      <c r="D28" s="24" t="n">
        <v>59909908595.1</v>
      </c>
      <c r="E28" s="24" t="n">
        <v>2178542130.7</v>
      </c>
    </row>
    <row r="29" customFormat="false" ht="15" hidden="false" customHeight="false" outlineLevel="0" collapsed="false">
      <c r="A29" s="4" t="n">
        <v>2038</v>
      </c>
      <c r="B29" s="24" t="n">
        <v>0</v>
      </c>
      <c r="C29" s="24" t="n">
        <v>48766629135.7</v>
      </c>
      <c r="D29" s="24" t="n">
        <v>62375920987.5</v>
      </c>
      <c r="E29" s="24" t="n">
        <v>2268215308.6</v>
      </c>
    </row>
    <row r="30" customFormat="false" ht="15" hidden="false" customHeight="false" outlineLevel="0" collapsed="false">
      <c r="A30" s="4" t="n">
        <v>2039</v>
      </c>
      <c r="B30" s="24" t="n">
        <v>0</v>
      </c>
      <c r="C30" s="24" t="n">
        <v>50751024219.2</v>
      </c>
      <c r="D30" s="24" t="n">
        <v>64914100745.5</v>
      </c>
      <c r="E30" s="24" t="n">
        <v>2360512754.4</v>
      </c>
    </row>
    <row r="31" customFormat="false" ht="15" hidden="false" customHeight="false" outlineLevel="0" collapsed="false">
      <c r="A31" s="4" t="n">
        <v>2040</v>
      </c>
      <c r="B31" s="24" t="n">
        <v>0</v>
      </c>
      <c r="C31" s="24" t="n">
        <v>52792125546.7</v>
      </c>
      <c r="D31" s="24" t="n">
        <v>67524811745.8</v>
      </c>
      <c r="E31" s="24" t="n">
        <v>2455447699.8</v>
      </c>
    </row>
    <row r="32" customFormat="false" ht="15" hidden="false" customHeight="false" outlineLevel="0" collapsed="false">
      <c r="A32" s="4" t="n">
        <v>2041</v>
      </c>
      <c r="B32" s="24" t="n">
        <v>0</v>
      </c>
      <c r="C32" s="24" t="n">
        <v>54917593319.3</v>
      </c>
      <c r="D32" s="24" t="n">
        <v>70243433315.4</v>
      </c>
      <c r="E32" s="24" t="n">
        <v>2554306666</v>
      </c>
    </row>
    <row r="33" customFormat="false" ht="15" hidden="false" customHeight="false" outlineLevel="0" collapsed="false">
      <c r="A33" s="4" t="n">
        <v>2042</v>
      </c>
      <c r="B33" s="24" t="n">
        <v>0</v>
      </c>
      <c r="C33" s="24" t="n">
        <v>57130777247.1</v>
      </c>
      <c r="D33" s="24" t="n">
        <v>73074249967.2</v>
      </c>
      <c r="E33" s="24" t="n">
        <v>2657245453.4</v>
      </c>
    </row>
    <row r="34" customFormat="false" ht="15" hidden="false" customHeight="false" outlineLevel="0" collapsed="false">
      <c r="A34" s="4" t="n">
        <v>2043</v>
      </c>
      <c r="B34" s="24" t="n">
        <v>0</v>
      </c>
      <c r="C34" s="24" t="n">
        <v>59435145937.2</v>
      </c>
      <c r="D34" s="24" t="n">
        <v>76021698291.8</v>
      </c>
      <c r="E34" s="24" t="n">
        <v>2764425392.4</v>
      </c>
    </row>
    <row r="35" customFormat="false" ht="15" hidden="false" customHeight="false" outlineLevel="0" collapsed="false">
      <c r="A35" s="4" t="n">
        <v>2044</v>
      </c>
      <c r="B35" s="24" t="n">
        <v>0</v>
      </c>
      <c r="C35" s="24" t="n">
        <v>61834236823.1</v>
      </c>
      <c r="D35" s="24" t="n">
        <v>79090302913.2</v>
      </c>
      <c r="E35" s="24" t="n">
        <v>2876011015</v>
      </c>
    </row>
    <row r="36" customFormat="false" ht="15" hidden="false" customHeight="false" outlineLevel="0" collapsed="false">
      <c r="A36" s="4" t="n">
        <v>2045</v>
      </c>
      <c r="B36" s="24" t="n">
        <v>0</v>
      </c>
      <c r="C36" s="24" t="n">
        <v>64331690790</v>
      </c>
      <c r="D36" s="24" t="n">
        <v>82284720778</v>
      </c>
      <c r="E36" s="24" t="n">
        <v>2992171664.7</v>
      </c>
    </row>
    <row r="37" customFormat="false" ht="15" hidden="false" customHeight="false" outlineLevel="0" collapsed="false">
      <c r="A37" s="4" t="n">
        <v>2046</v>
      </c>
      <c r="B37" s="24" t="n">
        <v>0</v>
      </c>
      <c r="C37" s="24" t="n">
        <v>66931256604.8</v>
      </c>
      <c r="D37" s="24" t="n">
        <v>85609746820.1</v>
      </c>
      <c r="E37" s="24" t="n">
        <v>3113081702.5</v>
      </c>
    </row>
    <row r="38" customFormat="false" ht="15" hidden="false" customHeight="false" outlineLevel="0" collapsed="false">
      <c r="A38" s="4" t="n">
        <v>2047</v>
      </c>
      <c r="B38" s="24" t="n">
        <v>0</v>
      </c>
      <c r="C38" s="24" t="n">
        <v>69636948461.3</v>
      </c>
      <c r="D38" s="24" t="n">
        <v>89070515473.8</v>
      </c>
      <c r="E38" s="24" t="n">
        <v>3238927835.4</v>
      </c>
    </row>
    <row r="39" customFormat="false" ht="15" hidden="false" customHeight="false" outlineLevel="0" collapsed="false">
      <c r="A39" s="4" t="n">
        <v>2048</v>
      </c>
      <c r="B39" s="24" t="n">
        <v>0</v>
      </c>
      <c r="C39" s="24" t="n">
        <v>72452835146.2</v>
      </c>
      <c r="D39" s="24" t="n">
        <v>92672231001</v>
      </c>
      <c r="E39" s="24" t="n">
        <v>3369899309.1</v>
      </c>
    </row>
    <row r="40" customFormat="false" ht="15" hidden="false" customHeight="false" outlineLevel="0" collapsed="false">
      <c r="A40" s="4" t="n">
        <v>2049</v>
      </c>
      <c r="B40" s="24" t="n">
        <v>0</v>
      </c>
      <c r="C40" s="24" t="n">
        <v>75383122933.8</v>
      </c>
      <c r="D40" s="24" t="n">
        <v>96420273519.9</v>
      </c>
      <c r="E40" s="24" t="n">
        <v>3506191764.4</v>
      </c>
    </row>
    <row r="41" customFormat="false" ht="15" hidden="false" customHeight="false" outlineLevel="0" collapsed="false">
      <c r="A41" s="4" t="n">
        <v>2050</v>
      </c>
      <c r="B41" s="24" t="n">
        <v>0</v>
      </c>
      <c r="C41" s="24" t="n">
        <v>78432202846.8</v>
      </c>
      <c r="D41" s="24" t="n">
        <v>100320259455.3</v>
      </c>
      <c r="E41" s="24" t="n">
        <v>3648009434.7</v>
      </c>
    </row>
    <row r="43" customFormat="false" ht="15" hidden="false" customHeight="false" outlineLevel="0" collapsed="false">
      <c r="A43" s="10" t="s">
        <v>232</v>
      </c>
      <c r="B43" s="12"/>
      <c r="C43" s="12"/>
      <c r="D43" s="12"/>
      <c r="E43" s="12"/>
    </row>
    <row r="44" customFormat="false" ht="26.85" hidden="false" customHeight="false" outlineLevel="0" collapsed="false">
      <c r="A44" s="3" t="s">
        <v>113</v>
      </c>
      <c r="B44" s="3" t="s">
        <v>228</v>
      </c>
      <c r="C44" s="3" t="s">
        <v>229</v>
      </c>
      <c r="D44" s="3" t="s">
        <v>230</v>
      </c>
      <c r="E44" s="3" t="s">
        <v>231</v>
      </c>
    </row>
    <row r="45" customFormat="false" ht="15" hidden="false" customHeight="false" outlineLevel="0" collapsed="false">
      <c r="A45" s="4" t="n">
        <v>2023</v>
      </c>
      <c r="B45" s="24" t="n">
        <v>0</v>
      </c>
      <c r="C45" s="24" t="n">
        <v>25765981851.3</v>
      </c>
      <c r="D45" s="24" t="n">
        <v>32956488414.5</v>
      </c>
      <c r="E45" s="24" t="n">
        <v>1198417760.5</v>
      </c>
    </row>
    <row r="46" customFormat="false" ht="15" hidden="false" customHeight="false" outlineLevel="0" collapsed="false">
      <c r="A46" s="4" t="n">
        <v>2024</v>
      </c>
      <c r="B46" s="24" t="n">
        <v>0</v>
      </c>
      <c r="C46" s="24" t="n">
        <v>26830722063.8</v>
      </c>
      <c r="D46" s="24" t="n">
        <v>34318365430.5</v>
      </c>
      <c r="E46" s="24" t="n">
        <v>1247940561.1</v>
      </c>
    </row>
    <row r="47" customFormat="false" ht="15" hidden="false" customHeight="false" outlineLevel="0" collapsed="false">
      <c r="A47" s="4" t="n">
        <v>2025</v>
      </c>
      <c r="B47" s="24" t="n">
        <v>0</v>
      </c>
      <c r="C47" s="24" t="n">
        <v>27999779219.9</v>
      </c>
      <c r="D47" s="24" t="n">
        <v>35813671095.3</v>
      </c>
      <c r="E47" s="24" t="n">
        <v>1302315312.6</v>
      </c>
    </row>
    <row r="48" customFormat="false" ht="15" hidden="false" customHeight="false" outlineLevel="0" collapsed="false">
      <c r="A48" s="4" t="n">
        <v>2026</v>
      </c>
      <c r="B48" s="24" t="n">
        <v>0</v>
      </c>
      <c r="C48" s="24" t="n">
        <v>29252411444.8</v>
      </c>
      <c r="D48" s="24" t="n">
        <v>37415875103.9</v>
      </c>
      <c r="E48" s="24" t="n">
        <v>1360577276.5</v>
      </c>
    </row>
    <row r="49" customFormat="false" ht="15" hidden="false" customHeight="false" outlineLevel="0" collapsed="false">
      <c r="A49" s="4" t="n">
        <v>2027</v>
      </c>
      <c r="B49" s="24" t="n">
        <v>0</v>
      </c>
      <c r="C49" s="24" t="n">
        <v>30568011010.1</v>
      </c>
      <c r="D49" s="24" t="n">
        <v>39098618733.8</v>
      </c>
      <c r="E49" s="24" t="n">
        <v>1421767954</v>
      </c>
    </row>
    <row r="50" customFormat="false" ht="15" hidden="false" customHeight="false" outlineLevel="0" collapsed="false">
      <c r="A50" s="4" t="n">
        <v>2028</v>
      </c>
      <c r="B50" s="24" t="n">
        <v>0</v>
      </c>
      <c r="C50" s="24" t="n">
        <v>31937726583.8</v>
      </c>
      <c r="D50" s="24" t="n">
        <v>40850580514.1</v>
      </c>
      <c r="E50" s="24" t="n">
        <v>1485475655.1</v>
      </c>
    </row>
    <row r="51" customFormat="false" ht="15" hidden="false" customHeight="false" outlineLevel="0" collapsed="false">
      <c r="A51" s="4" t="n">
        <v>2029</v>
      </c>
      <c r="B51" s="24" t="n">
        <v>0</v>
      </c>
      <c r="C51" s="24" t="n">
        <v>33384208370.4</v>
      </c>
      <c r="D51" s="24" t="n">
        <v>42700731636.6</v>
      </c>
      <c r="E51" s="24" t="n">
        <v>1552753877.7</v>
      </c>
    </row>
    <row r="52" customFormat="false" ht="15" hidden="false" customHeight="false" outlineLevel="0" collapsed="false">
      <c r="A52" s="4" t="n">
        <v>2030</v>
      </c>
      <c r="B52" s="24" t="n">
        <v>0</v>
      </c>
      <c r="C52" s="24" t="n">
        <v>34880968030.9</v>
      </c>
      <c r="D52" s="24" t="n">
        <v>44615191667.4</v>
      </c>
      <c r="E52" s="24" t="n">
        <v>1622370606.1</v>
      </c>
    </row>
    <row r="53" customFormat="false" ht="15" hidden="false" customHeight="false" outlineLevel="0" collapsed="false">
      <c r="A53" s="4" t="n">
        <v>2031</v>
      </c>
      <c r="B53" s="24" t="n">
        <v>0</v>
      </c>
      <c r="C53" s="24" t="n">
        <v>36428968179.2</v>
      </c>
      <c r="D53" s="24" t="n">
        <v>46595191857.1</v>
      </c>
      <c r="E53" s="24" t="n">
        <v>1694370613</v>
      </c>
    </row>
    <row r="54" customFormat="false" ht="15" hidden="false" customHeight="false" outlineLevel="0" collapsed="false">
      <c r="A54" s="4" t="n">
        <v>2032</v>
      </c>
      <c r="B54" s="24" t="n">
        <v>0</v>
      </c>
      <c r="C54" s="24" t="n">
        <v>38029113911.7</v>
      </c>
      <c r="D54" s="24" t="n">
        <v>48641889887</v>
      </c>
      <c r="E54" s="24" t="n">
        <v>1768795995.9</v>
      </c>
    </row>
    <row r="55" customFormat="false" ht="15" hidden="false" customHeight="false" outlineLevel="0" collapsed="false">
      <c r="A55" s="4" t="n">
        <v>2033</v>
      </c>
      <c r="B55" s="24" t="n">
        <v>0</v>
      </c>
      <c r="C55" s="24" t="n">
        <v>39682237533.6</v>
      </c>
      <c r="D55" s="24" t="n">
        <v>50756350333.7</v>
      </c>
      <c r="E55" s="24" t="n">
        <v>1845685466.7</v>
      </c>
    </row>
    <row r="56" customFormat="false" ht="15" hidden="false" customHeight="false" outlineLevel="0" collapsed="false">
      <c r="A56" s="4" t="n">
        <v>2034</v>
      </c>
      <c r="B56" s="24" t="n">
        <v>0</v>
      </c>
      <c r="C56" s="24" t="n">
        <v>41389096816.7</v>
      </c>
      <c r="D56" s="24" t="n">
        <v>52939542440</v>
      </c>
      <c r="E56" s="24" t="n">
        <v>1925074270.5</v>
      </c>
    </row>
    <row r="57" customFormat="false" ht="15" hidden="false" customHeight="false" outlineLevel="0" collapsed="false">
      <c r="A57" s="4" t="n">
        <v>2035</v>
      </c>
      <c r="B57" s="24" t="n">
        <v>0</v>
      </c>
      <c r="C57" s="24" t="n">
        <v>43150390547.3</v>
      </c>
      <c r="D57" s="24" t="n">
        <v>55192360002.4</v>
      </c>
      <c r="E57" s="24" t="n">
        <v>2006994909.2</v>
      </c>
    </row>
    <row r="58" customFormat="false" ht="15" hidden="false" customHeight="false" outlineLevel="0" collapsed="false">
      <c r="A58" s="4" t="n">
        <v>2036</v>
      </c>
      <c r="B58" s="24" t="n">
        <v>0</v>
      </c>
      <c r="C58" s="24" t="n">
        <v>44966732589.2</v>
      </c>
      <c r="D58" s="24" t="n">
        <v>57515588195.5</v>
      </c>
      <c r="E58" s="24" t="n">
        <v>2091475934.4</v>
      </c>
    </row>
    <row r="59" customFormat="false" ht="15" hidden="false" customHeight="false" outlineLevel="0" collapsed="false">
      <c r="A59" s="4" t="n">
        <v>2037</v>
      </c>
      <c r="B59" s="24" t="n">
        <v>0</v>
      </c>
      <c r="C59" s="24" t="n">
        <v>46838655810.7</v>
      </c>
      <c r="D59" s="24" t="n">
        <v>59909908595.1</v>
      </c>
      <c r="E59" s="24" t="n">
        <v>2178542130.7</v>
      </c>
    </row>
    <row r="60" customFormat="false" ht="15" hidden="false" customHeight="false" outlineLevel="0" collapsed="false">
      <c r="A60" s="4" t="n">
        <v>2038</v>
      </c>
      <c r="B60" s="24" t="n">
        <v>0</v>
      </c>
      <c r="C60" s="24" t="n">
        <v>48766629135.7</v>
      </c>
      <c r="D60" s="24" t="n">
        <v>62375920987.5</v>
      </c>
      <c r="E60" s="24" t="n">
        <v>2268215308.6</v>
      </c>
    </row>
    <row r="61" customFormat="false" ht="15" hidden="false" customHeight="false" outlineLevel="0" collapsed="false">
      <c r="A61" s="4" t="n">
        <v>2039</v>
      </c>
      <c r="B61" s="24" t="n">
        <v>0</v>
      </c>
      <c r="C61" s="24" t="n">
        <v>50751024219.2</v>
      </c>
      <c r="D61" s="24" t="n">
        <v>64914100745.5</v>
      </c>
      <c r="E61" s="24" t="n">
        <v>2360512754.4</v>
      </c>
    </row>
    <row r="62" customFormat="false" ht="15" hidden="false" customHeight="false" outlineLevel="0" collapsed="false">
      <c r="A62" s="4" t="n">
        <v>2040</v>
      </c>
      <c r="B62" s="24" t="n">
        <v>0</v>
      </c>
      <c r="C62" s="24" t="n">
        <v>52792125546.7</v>
      </c>
      <c r="D62" s="24" t="n">
        <v>67524811745.8</v>
      </c>
      <c r="E62" s="24" t="n">
        <v>2455447699.8</v>
      </c>
    </row>
    <row r="63" customFormat="false" ht="15" hidden="false" customHeight="false" outlineLevel="0" collapsed="false">
      <c r="A63" s="4" t="n">
        <v>2041</v>
      </c>
      <c r="B63" s="24" t="n">
        <v>0</v>
      </c>
      <c r="C63" s="24" t="n">
        <v>54917593319.3</v>
      </c>
      <c r="D63" s="24" t="n">
        <v>70243433315.4</v>
      </c>
      <c r="E63" s="24" t="n">
        <v>2554306666</v>
      </c>
    </row>
    <row r="64" customFormat="false" ht="15" hidden="false" customHeight="false" outlineLevel="0" collapsed="false">
      <c r="A64" s="4" t="n">
        <v>2042</v>
      </c>
      <c r="B64" s="24" t="n">
        <v>0</v>
      </c>
      <c r="C64" s="24" t="n">
        <v>57130777247.1</v>
      </c>
      <c r="D64" s="24" t="n">
        <v>73074249967.2</v>
      </c>
      <c r="E64" s="24" t="n">
        <v>2657245453.4</v>
      </c>
    </row>
    <row r="65" customFormat="false" ht="15" hidden="false" customHeight="false" outlineLevel="0" collapsed="false">
      <c r="A65" s="4" t="n">
        <v>2043</v>
      </c>
      <c r="B65" s="24" t="n">
        <v>0</v>
      </c>
      <c r="C65" s="24" t="n">
        <v>59435145937.2</v>
      </c>
      <c r="D65" s="24" t="n">
        <v>76021698291.8</v>
      </c>
      <c r="E65" s="24" t="n">
        <v>2764425392.4</v>
      </c>
    </row>
    <row r="66" customFormat="false" ht="15" hidden="false" customHeight="false" outlineLevel="0" collapsed="false">
      <c r="A66" s="4" t="n">
        <v>2044</v>
      </c>
      <c r="B66" s="24" t="n">
        <v>0</v>
      </c>
      <c r="C66" s="24" t="n">
        <v>61834236823.1</v>
      </c>
      <c r="D66" s="24" t="n">
        <v>79090302913.2</v>
      </c>
      <c r="E66" s="24" t="n">
        <v>2876011015</v>
      </c>
    </row>
    <row r="67" customFormat="false" ht="15" hidden="false" customHeight="false" outlineLevel="0" collapsed="false">
      <c r="A67" s="4" t="n">
        <v>2045</v>
      </c>
      <c r="B67" s="24" t="n">
        <v>0</v>
      </c>
      <c r="C67" s="24" t="n">
        <v>64331690790</v>
      </c>
      <c r="D67" s="24" t="n">
        <v>82284720778</v>
      </c>
      <c r="E67" s="24" t="n">
        <v>2992171664.7</v>
      </c>
    </row>
    <row r="68" customFormat="false" ht="15" hidden="false" customHeight="false" outlineLevel="0" collapsed="false">
      <c r="A68" s="4" t="n">
        <v>2046</v>
      </c>
      <c r="B68" s="24" t="n">
        <v>0</v>
      </c>
      <c r="C68" s="24" t="n">
        <v>66931256604.8</v>
      </c>
      <c r="D68" s="24" t="n">
        <v>85609746820.1</v>
      </c>
      <c r="E68" s="24" t="n">
        <v>3113081702.5</v>
      </c>
    </row>
    <row r="69" customFormat="false" ht="15" hidden="false" customHeight="false" outlineLevel="0" collapsed="false">
      <c r="A69" s="4" t="n">
        <v>2047</v>
      </c>
      <c r="B69" s="24" t="n">
        <v>0</v>
      </c>
      <c r="C69" s="24" t="n">
        <v>69636948461.3</v>
      </c>
      <c r="D69" s="24" t="n">
        <v>89070515473.8</v>
      </c>
      <c r="E69" s="24" t="n">
        <v>3238927835.4</v>
      </c>
    </row>
    <row r="70" customFormat="false" ht="15" hidden="false" customHeight="false" outlineLevel="0" collapsed="false">
      <c r="A70" s="4" t="n">
        <v>2048</v>
      </c>
      <c r="B70" s="24" t="n">
        <v>0</v>
      </c>
      <c r="C70" s="24" t="n">
        <v>72452835146.2</v>
      </c>
      <c r="D70" s="24" t="n">
        <v>92672231001</v>
      </c>
      <c r="E70" s="24" t="n">
        <v>3369899309.1</v>
      </c>
    </row>
    <row r="71" customFormat="false" ht="15" hidden="false" customHeight="false" outlineLevel="0" collapsed="false">
      <c r="A71" s="4" t="n">
        <v>2049</v>
      </c>
      <c r="B71" s="24" t="n">
        <v>0</v>
      </c>
      <c r="C71" s="24" t="n">
        <v>75383122933.8</v>
      </c>
      <c r="D71" s="24" t="n">
        <v>96420273519.9</v>
      </c>
      <c r="E71" s="24" t="n">
        <v>3506191764.4</v>
      </c>
    </row>
    <row r="72" customFormat="false" ht="15" hidden="false" customHeight="false" outlineLevel="0" collapsed="false">
      <c r="A72" s="4" t="n">
        <v>2050</v>
      </c>
      <c r="B72" s="24" t="n">
        <v>0</v>
      </c>
      <c r="C72" s="24" t="n">
        <v>78432202846.8</v>
      </c>
      <c r="D72" s="24" t="n">
        <v>100320259455.3</v>
      </c>
      <c r="E72" s="24" t="n">
        <v>3648009434.7</v>
      </c>
    </row>
    <row r="74" customFormat="false" ht="15" hidden="false" customHeight="false" outlineLevel="0" collapsed="false">
      <c r="A74" s="10" t="s">
        <v>233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228</v>
      </c>
      <c r="C75" s="3" t="s">
        <v>229</v>
      </c>
      <c r="D75" s="3" t="s">
        <v>230</v>
      </c>
      <c r="E75" s="3" t="s">
        <v>231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28813625273.2</v>
      </c>
      <c r="D79" s="24" t="n">
        <v>36854636977.3</v>
      </c>
      <c r="E79" s="24" t="n">
        <v>1340168617.4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29650970679.8</v>
      </c>
      <c r="D80" s="24" t="n">
        <v>37925660171.8</v>
      </c>
      <c r="E80" s="24" t="n">
        <v>1379114915.3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30500528887.5</v>
      </c>
      <c r="D81" s="24" t="n">
        <v>39012304391</v>
      </c>
      <c r="E81" s="24" t="n">
        <v>1418629250.6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31381155868.2</v>
      </c>
      <c r="D82" s="24" t="n">
        <v>40138687738.4</v>
      </c>
      <c r="E82" s="24" t="n">
        <v>1459588645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32264895428.6</v>
      </c>
      <c r="D83" s="24" t="n">
        <v>41269052292.4</v>
      </c>
      <c r="E83" s="24" t="n">
        <v>1500692810.6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33150361043.1</v>
      </c>
      <c r="D84" s="24" t="n">
        <v>42401624590</v>
      </c>
      <c r="E84" s="24" t="n">
        <v>1541877257.8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34036056951</v>
      </c>
      <c r="D85" s="24" t="n">
        <v>43534491448.9</v>
      </c>
      <c r="E85" s="24" t="n">
        <v>1583072416.3</v>
      </c>
    </row>
    <row r="86" customFormat="false" ht="15" hidden="false" customHeight="false" outlineLevel="0" collapsed="false">
      <c r="A86" s="4" t="n">
        <v>2033</v>
      </c>
      <c r="B86" s="24" t="n">
        <v>4511675585.2</v>
      </c>
      <c r="C86" s="24" t="n">
        <v>32980348527.9</v>
      </c>
      <c r="D86" s="24" t="n">
        <v>42184166721.8</v>
      </c>
      <c r="E86" s="24" t="n">
        <v>1533969699</v>
      </c>
    </row>
    <row r="87" customFormat="false" ht="15" hidden="false" customHeight="false" outlineLevel="0" collapsed="false">
      <c r="A87" s="4" t="n">
        <v>2034</v>
      </c>
      <c r="B87" s="24" t="n">
        <v>9251051355.7</v>
      </c>
      <c r="C87" s="24" t="n">
        <v>31823616663.5</v>
      </c>
      <c r="D87" s="24" t="n">
        <v>40704625965</v>
      </c>
      <c r="E87" s="24" t="n">
        <v>1480168216.9</v>
      </c>
    </row>
    <row r="88" customFormat="false" ht="15" hidden="false" customHeight="false" outlineLevel="0" collapsed="false">
      <c r="A88" s="4" t="n">
        <v>2035</v>
      </c>
      <c r="B88" s="24" t="n">
        <v>14216213940</v>
      </c>
      <c r="C88" s="24" t="n">
        <v>30564859971</v>
      </c>
      <c r="D88" s="24" t="n">
        <v>39094588335</v>
      </c>
      <c r="E88" s="24" t="n">
        <v>1421621394</v>
      </c>
    </row>
    <row r="89" customFormat="false" ht="15" hidden="false" customHeight="false" outlineLevel="0" collapsed="false">
      <c r="A89" s="4" t="n">
        <v>2036</v>
      </c>
      <c r="B89" s="24" t="n">
        <v>19404248946.8</v>
      </c>
      <c r="C89" s="24" t="n">
        <v>29203394664.9</v>
      </c>
      <c r="D89" s="24" t="n">
        <v>37353179222.5</v>
      </c>
      <c r="E89" s="24" t="n">
        <v>1358297426.3</v>
      </c>
    </row>
    <row r="90" customFormat="false" ht="15" hidden="false" customHeight="false" outlineLevel="0" collapsed="false">
      <c r="A90" s="4" t="n">
        <v>2037</v>
      </c>
      <c r="B90" s="24" t="n">
        <v>24811174266.7</v>
      </c>
      <c r="C90" s="24" t="n">
        <v>27738892830.1</v>
      </c>
      <c r="D90" s="24" t="n">
        <v>35479979201.3</v>
      </c>
      <c r="E90" s="24" t="n">
        <v>1290181061.9</v>
      </c>
    </row>
    <row r="91" customFormat="false" ht="15" hidden="false" customHeight="false" outlineLevel="0" collapsed="false">
      <c r="A91" s="4" t="n">
        <v>2038</v>
      </c>
      <c r="B91" s="24" t="n">
        <v>30431888724.2</v>
      </c>
      <c r="C91" s="24" t="n">
        <v>26171424302.8</v>
      </c>
      <c r="D91" s="24" t="n">
        <v>33475077596.6</v>
      </c>
      <c r="E91" s="24" t="n">
        <v>1217275549</v>
      </c>
    </row>
    <row r="92" customFormat="false" ht="15" hidden="false" customHeight="false" outlineLevel="0" collapsed="false">
      <c r="A92" s="4" t="n">
        <v>2039</v>
      </c>
      <c r="B92" s="24" t="n">
        <v>36260098699.3</v>
      </c>
      <c r="C92" s="24" t="n">
        <v>24501466692.5</v>
      </c>
      <c r="D92" s="24" t="n">
        <v>31339085304.4</v>
      </c>
      <c r="E92" s="24" t="n">
        <v>1139603102</v>
      </c>
    </row>
    <row r="93" customFormat="false" ht="15" hidden="false" customHeight="false" outlineLevel="0" collapsed="false">
      <c r="A93" s="4" t="n">
        <v>2040</v>
      </c>
      <c r="B93" s="24" t="n">
        <v>42288265941.8</v>
      </c>
      <c r="C93" s="24" t="n">
        <v>22729942943.7</v>
      </c>
      <c r="D93" s="24" t="n">
        <v>29073182835</v>
      </c>
      <c r="E93" s="24" t="n">
        <v>1057206648.5</v>
      </c>
    </row>
    <row r="94" customFormat="false" ht="15" hidden="false" customHeight="false" outlineLevel="0" collapsed="false">
      <c r="A94" s="4" t="n">
        <v>2041</v>
      </c>
      <c r="B94" s="24" t="n">
        <v>48531826654.3</v>
      </c>
      <c r="C94" s="24" t="n">
        <v>20868685461.4</v>
      </c>
      <c r="D94" s="24" t="n">
        <v>26692504659.9</v>
      </c>
      <c r="E94" s="24" t="n">
        <v>970636533.1</v>
      </c>
    </row>
    <row r="95" customFormat="false" ht="15" hidden="false" customHeight="false" outlineLevel="0" collapsed="false">
      <c r="A95" s="4" t="n">
        <v>2042</v>
      </c>
      <c r="B95" s="24" t="n">
        <v>54990218409.6</v>
      </c>
      <c r="C95" s="24" t="n">
        <v>18916635132.9</v>
      </c>
      <c r="D95" s="24" t="n">
        <v>24195696100.2</v>
      </c>
      <c r="E95" s="24" t="n">
        <v>879843494.6</v>
      </c>
    </row>
    <row r="96" customFormat="false" ht="15" hidden="false" customHeight="false" outlineLevel="0" collapsed="false">
      <c r="A96" s="4" t="n">
        <v>2043</v>
      </c>
      <c r="B96" s="24" t="n">
        <v>61662044170</v>
      </c>
      <c r="C96" s="24" t="n">
        <v>16872977541.1</v>
      </c>
      <c r="D96" s="24" t="n">
        <v>21581715459.5</v>
      </c>
      <c r="E96" s="24" t="n">
        <v>784789653.1</v>
      </c>
    </row>
    <row r="97" customFormat="false" ht="15" hidden="false" customHeight="false" outlineLevel="0" collapsed="false">
      <c r="A97" s="4" t="n">
        <v>2044</v>
      </c>
      <c r="B97" s="24" t="n">
        <v>68544929191.5</v>
      </c>
      <c r="C97" s="24" t="n">
        <v>14737159776.2</v>
      </c>
      <c r="D97" s="24" t="n">
        <v>18849855527.7</v>
      </c>
      <c r="E97" s="24" t="n">
        <v>685449291.9</v>
      </c>
    </row>
    <row r="98" customFormat="false" ht="15" hidden="false" customHeight="false" outlineLevel="0" collapsed="false">
      <c r="A98" s="4" t="n">
        <v>2045</v>
      </c>
      <c r="B98" s="24" t="n">
        <v>75635450412.1</v>
      </c>
      <c r="C98" s="24" t="n">
        <v>12508939875.8</v>
      </c>
      <c r="D98" s="24" t="n">
        <v>15999806817.9</v>
      </c>
      <c r="E98" s="24" t="n">
        <v>581811157</v>
      </c>
    </row>
    <row r="99" customFormat="false" ht="15" hidden="false" customHeight="false" outlineLevel="0" collapsed="false">
      <c r="A99" s="4" t="n">
        <v>2046</v>
      </c>
      <c r="B99" s="24" t="n">
        <v>82929037576.2</v>
      </c>
      <c r="C99" s="24" t="n">
        <v>10188424616.5</v>
      </c>
      <c r="D99" s="24" t="n">
        <v>13031705904.8</v>
      </c>
      <c r="E99" s="24" t="n">
        <v>473880214.7</v>
      </c>
    </row>
    <row r="100" customFormat="false" ht="15" hidden="false" customHeight="false" outlineLevel="0" collapsed="false">
      <c r="A100" s="4" t="n">
        <v>2047</v>
      </c>
      <c r="B100" s="24" t="n">
        <v>90420068738.5</v>
      </c>
      <c r="C100" s="24" t="n">
        <v>7776125911.5</v>
      </c>
      <c r="D100" s="24" t="n">
        <v>9946207561.2</v>
      </c>
      <c r="E100" s="24" t="n">
        <v>361680275</v>
      </c>
    </row>
    <row r="101" customFormat="false" ht="15" hidden="false" customHeight="false" outlineLevel="0" collapsed="false">
      <c r="A101" s="4" t="n">
        <v>2048</v>
      </c>
      <c r="B101" s="24" t="n">
        <v>98101513221.2</v>
      </c>
      <c r="C101" s="24" t="n">
        <v>5272956335.6</v>
      </c>
      <c r="D101" s="24" t="n">
        <v>6744479034</v>
      </c>
      <c r="E101" s="24" t="n">
        <v>245253783.1</v>
      </c>
    </row>
    <row r="102" customFormat="false" ht="15" hidden="false" customHeight="false" outlineLevel="0" collapsed="false">
      <c r="A102" s="4" t="n">
        <v>2049</v>
      </c>
      <c r="B102" s="24" t="n">
        <v>105964906656.2</v>
      </c>
      <c r="C102" s="24" t="n">
        <v>2680288815.4</v>
      </c>
      <c r="D102" s="24" t="n">
        <v>3428276391.8</v>
      </c>
      <c r="E102" s="24" t="n">
        <v>124664596.1</v>
      </c>
    </row>
    <row r="103" customFormat="false" ht="15" hidden="false" customHeight="false" outlineLevel="0" collapsed="false">
      <c r="A103" s="4" t="n">
        <v>2050</v>
      </c>
      <c r="B103" s="24" t="n">
        <v>114000294835.5</v>
      </c>
      <c r="C103" s="24" t="n">
        <v>0</v>
      </c>
      <c r="D103" s="24" t="n">
        <v>0</v>
      </c>
      <c r="E103" s="24" t="n">
        <v>0</v>
      </c>
    </row>
    <row r="106" customFormat="false" ht="15" hidden="false" customHeight="false" outlineLevel="0" collapsed="false">
      <c r="A106" s="13" t="s">
        <v>234</v>
      </c>
    </row>
    <row r="107" customFormat="false" ht="15" hidden="false" customHeight="false" outlineLevel="0" collapsed="false">
      <c r="A107" s="10" t="s">
        <v>235</v>
      </c>
      <c r="B107" s="12"/>
      <c r="C107" s="12"/>
      <c r="D107" s="12"/>
      <c r="E107" s="12"/>
      <c r="F107" s="12"/>
    </row>
    <row r="108" customFormat="false" ht="26.85" hidden="false" customHeight="false" outlineLevel="0" collapsed="false">
      <c r="A108" s="3" t="s">
        <v>113</v>
      </c>
      <c r="B108" s="3" t="s">
        <v>228</v>
      </c>
      <c r="C108" s="3" t="s">
        <v>229</v>
      </c>
      <c r="D108" s="3" t="s">
        <v>230</v>
      </c>
      <c r="E108" s="3" t="s">
        <v>231</v>
      </c>
      <c r="F108" s="3" t="s">
        <v>58</v>
      </c>
    </row>
    <row r="109" customFormat="false" ht="15" hidden="false" customHeight="false" outlineLevel="0" collapsed="false">
      <c r="A109" s="4" t="n">
        <v>2023</v>
      </c>
      <c r="B109" s="25" t="n">
        <f aca="false">B14/12000</f>
        <v>0</v>
      </c>
      <c r="C109" s="25" t="n">
        <f aca="false">C14/12000</f>
        <v>2147165.154275</v>
      </c>
      <c r="D109" s="25" t="n">
        <f aca="false">D14/12000</f>
        <v>2746374.03454167</v>
      </c>
      <c r="E109" s="25" t="n">
        <f aca="false">E14/12000</f>
        <v>99868.1467083333</v>
      </c>
      <c r="F109" s="26" t="n">
        <f aca="false">SUM(B109:E109)</f>
        <v>4993407.335525</v>
      </c>
    </row>
    <row r="110" customFormat="false" ht="15" hidden="false" customHeight="false" outlineLevel="0" collapsed="false">
      <c r="A110" s="4" t="n">
        <v>2024</v>
      </c>
      <c r="B110" s="25" t="n">
        <f aca="false">B15/12000</f>
        <v>0</v>
      </c>
      <c r="C110" s="25" t="n">
        <f aca="false">C15/12000</f>
        <v>2235893.50531667</v>
      </c>
      <c r="D110" s="25" t="n">
        <f aca="false">D15/12000</f>
        <v>2859863.785875</v>
      </c>
      <c r="E110" s="25" t="n">
        <f aca="false">E15/12000</f>
        <v>103995.046758333</v>
      </c>
      <c r="F110" s="26" t="n">
        <f aca="false">SUM(B110:E110)</f>
        <v>5199752.33795</v>
      </c>
    </row>
    <row r="111" customFormat="false" ht="15" hidden="false" customHeight="false" outlineLevel="0" collapsed="false">
      <c r="A111" s="4" t="n">
        <v>2025</v>
      </c>
      <c r="B111" s="25" t="n">
        <f aca="false">B16/12000</f>
        <v>0</v>
      </c>
      <c r="C111" s="25" t="n">
        <f aca="false">C16/12000</f>
        <v>2333314.93499167</v>
      </c>
      <c r="D111" s="25" t="n">
        <f aca="false">D16/12000</f>
        <v>2984472.591275</v>
      </c>
      <c r="E111" s="25" t="n">
        <f aca="false">E16/12000</f>
        <v>108526.27605</v>
      </c>
      <c r="F111" s="26" t="n">
        <f aca="false">SUM(B111:E111)</f>
        <v>5426313.80231667</v>
      </c>
    </row>
    <row r="112" customFormat="false" ht="15" hidden="false" customHeight="false" outlineLevel="0" collapsed="false">
      <c r="A112" s="4" t="n">
        <v>2026</v>
      </c>
      <c r="B112" s="25" t="n">
        <f aca="false">B17/12000</f>
        <v>0</v>
      </c>
      <c r="C112" s="25" t="n">
        <f aca="false">C17/12000</f>
        <v>2437700.95373333</v>
      </c>
      <c r="D112" s="25" t="n">
        <f aca="false">D17/12000</f>
        <v>3117989.59199167</v>
      </c>
      <c r="E112" s="25" t="n">
        <f aca="false">E17/12000</f>
        <v>113381.439708333</v>
      </c>
      <c r="F112" s="26" t="n">
        <f aca="false">SUM(B112:E112)</f>
        <v>5669071.98543333</v>
      </c>
    </row>
    <row r="113" customFormat="false" ht="15" hidden="false" customHeight="false" outlineLevel="0" collapsed="false">
      <c r="A113" s="4" t="n">
        <v>2027</v>
      </c>
      <c r="B113" s="25" t="n">
        <f aca="false">B18/12000</f>
        <v>0</v>
      </c>
      <c r="C113" s="25" t="n">
        <f aca="false">C18/12000</f>
        <v>2547334.25084167</v>
      </c>
      <c r="D113" s="25" t="n">
        <f aca="false">D18/12000</f>
        <v>3258218.22781667</v>
      </c>
      <c r="E113" s="25" t="n">
        <f aca="false">E18/12000</f>
        <v>118480.662833333</v>
      </c>
      <c r="F113" s="26" t="n">
        <f aca="false">SUM(B113:E113)</f>
        <v>5924033.14149167</v>
      </c>
    </row>
    <row r="114" customFormat="false" ht="15" hidden="false" customHeight="false" outlineLevel="0" collapsed="false">
      <c r="A114" s="4" t="n">
        <v>2028</v>
      </c>
      <c r="B114" s="25" t="n">
        <f aca="false">B19/12000</f>
        <v>0</v>
      </c>
      <c r="C114" s="25" t="n">
        <f aca="false">C19/12000</f>
        <v>2661477.21531667</v>
      </c>
      <c r="D114" s="25" t="n">
        <f aca="false">D19/12000</f>
        <v>3404215.04284167</v>
      </c>
      <c r="E114" s="25" t="n">
        <f aca="false">E19/12000</f>
        <v>123789.637925</v>
      </c>
      <c r="F114" s="26" t="n">
        <f aca="false">SUM(B114:E114)</f>
        <v>6189481.89608333</v>
      </c>
    </row>
    <row r="115" customFormat="false" ht="15" hidden="false" customHeight="false" outlineLevel="0" collapsed="false">
      <c r="A115" s="4" t="n">
        <v>2029</v>
      </c>
      <c r="B115" s="25" t="n">
        <f aca="false">B20/12000</f>
        <v>0</v>
      </c>
      <c r="C115" s="25" t="n">
        <f aca="false">C20/12000</f>
        <v>2782017.3642</v>
      </c>
      <c r="D115" s="25" t="n">
        <f aca="false">D20/12000</f>
        <v>3558394.30305</v>
      </c>
      <c r="E115" s="25" t="n">
        <f aca="false">E20/12000</f>
        <v>129396.156475</v>
      </c>
      <c r="F115" s="26" t="n">
        <f aca="false">SUM(B115:E115)</f>
        <v>6469807.823725</v>
      </c>
    </row>
    <row r="116" customFormat="false" ht="15" hidden="false" customHeight="false" outlineLevel="0" collapsed="false">
      <c r="A116" s="4" t="n">
        <v>2030</v>
      </c>
      <c r="B116" s="25" t="n">
        <f aca="false">B21/12000</f>
        <v>0</v>
      </c>
      <c r="C116" s="25" t="n">
        <f aca="false">C21/12000</f>
        <v>2906747.33590833</v>
      </c>
      <c r="D116" s="25" t="n">
        <f aca="false">D21/12000</f>
        <v>3717932.63895</v>
      </c>
      <c r="E116" s="25" t="n">
        <f aca="false">E21/12000</f>
        <v>135197.550508333</v>
      </c>
      <c r="F116" s="26" t="n">
        <f aca="false">SUM(B116:E116)</f>
        <v>6759877.52536667</v>
      </c>
    </row>
    <row r="117" customFormat="false" ht="15" hidden="false" customHeight="false" outlineLevel="0" collapsed="false">
      <c r="A117" s="4" t="n">
        <v>2031</v>
      </c>
      <c r="B117" s="25" t="n">
        <f aca="false">B22/12000</f>
        <v>0</v>
      </c>
      <c r="C117" s="25" t="n">
        <f aca="false">C22/12000</f>
        <v>3035747.34826667</v>
      </c>
      <c r="D117" s="25" t="n">
        <f aca="false">D22/12000</f>
        <v>3882932.65475833</v>
      </c>
      <c r="E117" s="25" t="n">
        <f aca="false">E22/12000</f>
        <v>141197.551083333</v>
      </c>
      <c r="F117" s="26" t="n">
        <f aca="false">SUM(B117:E117)</f>
        <v>7059877.55410833</v>
      </c>
    </row>
    <row r="118" customFormat="false" ht="15" hidden="false" customHeight="false" outlineLevel="0" collapsed="false">
      <c r="A118" s="4" t="n">
        <v>2032</v>
      </c>
      <c r="B118" s="25" t="n">
        <f aca="false">B23/12000</f>
        <v>0</v>
      </c>
      <c r="C118" s="25" t="n">
        <f aca="false">C23/12000</f>
        <v>3169092.825975</v>
      </c>
      <c r="D118" s="25" t="n">
        <f aca="false">D23/12000</f>
        <v>4053490.82391667</v>
      </c>
      <c r="E118" s="25" t="n">
        <f aca="false">E23/12000</f>
        <v>147399.666325</v>
      </c>
      <c r="F118" s="26" t="n">
        <f aca="false">SUM(B118:E118)</f>
        <v>7369983.31621667</v>
      </c>
    </row>
    <row r="119" customFormat="false" ht="15" hidden="false" customHeight="false" outlineLevel="0" collapsed="false">
      <c r="A119" s="4" t="n">
        <v>2033</v>
      </c>
      <c r="B119" s="25" t="n">
        <f aca="false">B24/12000</f>
        <v>0</v>
      </c>
      <c r="C119" s="25" t="n">
        <f aca="false">C24/12000</f>
        <v>3306853.1278</v>
      </c>
      <c r="D119" s="25" t="n">
        <f aca="false">D24/12000</f>
        <v>4229695.86114167</v>
      </c>
      <c r="E119" s="25" t="n">
        <f aca="false">E24/12000</f>
        <v>153807.122225</v>
      </c>
      <c r="F119" s="26" t="n">
        <f aca="false">SUM(B119:E119)</f>
        <v>7690356.11116667</v>
      </c>
    </row>
    <row r="120" customFormat="false" ht="15" hidden="false" customHeight="false" outlineLevel="0" collapsed="false">
      <c r="A120" s="4" t="n">
        <v>2034</v>
      </c>
      <c r="B120" s="25" t="n">
        <f aca="false">B25/12000</f>
        <v>0</v>
      </c>
      <c r="C120" s="25" t="n">
        <f aca="false">C25/12000</f>
        <v>3449091.40139167</v>
      </c>
      <c r="D120" s="25" t="n">
        <f aca="false">D25/12000</f>
        <v>4411628.53666667</v>
      </c>
      <c r="E120" s="25" t="n">
        <f aca="false">E25/12000</f>
        <v>160422.855875</v>
      </c>
      <c r="F120" s="26" t="n">
        <f aca="false">SUM(B120:E120)</f>
        <v>8021142.79393333</v>
      </c>
    </row>
    <row r="121" customFormat="false" ht="15" hidden="false" customHeight="false" outlineLevel="0" collapsed="false">
      <c r="A121" s="4" t="n">
        <v>2035</v>
      </c>
      <c r="B121" s="25" t="n">
        <f aca="false">B26/12000</f>
        <v>0</v>
      </c>
      <c r="C121" s="25" t="n">
        <f aca="false">C26/12000</f>
        <v>3595865.87894167</v>
      </c>
      <c r="D121" s="25" t="n">
        <f aca="false">D26/12000</f>
        <v>4599363.33353333</v>
      </c>
      <c r="E121" s="25" t="n">
        <f aca="false">E26/12000</f>
        <v>167249.575766667</v>
      </c>
      <c r="F121" s="26" t="n">
        <f aca="false">SUM(B121:E121)</f>
        <v>8362478.78824167</v>
      </c>
    </row>
    <row r="122" customFormat="false" ht="15" hidden="false" customHeight="false" outlineLevel="0" collapsed="false">
      <c r="A122" s="4" t="n">
        <v>2036</v>
      </c>
      <c r="B122" s="25" t="n">
        <f aca="false">B27/12000</f>
        <v>0</v>
      </c>
      <c r="C122" s="25" t="n">
        <f aca="false">C27/12000</f>
        <v>3747227.71576667</v>
      </c>
      <c r="D122" s="25" t="n">
        <f aca="false">D27/12000</f>
        <v>4792965.68295833</v>
      </c>
      <c r="E122" s="25" t="n">
        <f aca="false">E27/12000</f>
        <v>174289.6612</v>
      </c>
      <c r="F122" s="26" t="n">
        <f aca="false">SUM(B122:E122)</f>
        <v>8714483.059925</v>
      </c>
    </row>
    <row r="123" customFormat="false" ht="15" hidden="false" customHeight="false" outlineLevel="0" collapsed="false">
      <c r="A123" s="4" t="n">
        <v>2037</v>
      </c>
      <c r="B123" s="25" t="n">
        <f aca="false">B28/12000</f>
        <v>0</v>
      </c>
      <c r="C123" s="25" t="n">
        <f aca="false">C28/12000</f>
        <v>3903221.31755833</v>
      </c>
      <c r="D123" s="25" t="n">
        <f aca="false">D28/12000</f>
        <v>4992492.382925</v>
      </c>
      <c r="E123" s="25" t="n">
        <f aca="false">E28/12000</f>
        <v>181545.177558333</v>
      </c>
      <c r="F123" s="26" t="n">
        <f aca="false">SUM(B123:E123)</f>
        <v>9077258.87804167</v>
      </c>
    </row>
    <row r="124" customFormat="false" ht="15" hidden="false" customHeight="false" outlineLevel="0" collapsed="false">
      <c r="A124" s="4" t="n">
        <v>2038</v>
      </c>
      <c r="B124" s="25" t="n">
        <f aca="false">B29/12000</f>
        <v>0</v>
      </c>
      <c r="C124" s="25" t="n">
        <f aca="false">C29/12000</f>
        <v>4063885.76130833</v>
      </c>
      <c r="D124" s="25" t="n">
        <f aca="false">D29/12000</f>
        <v>5197993.415625</v>
      </c>
      <c r="E124" s="25" t="n">
        <f aca="false">E29/12000</f>
        <v>189017.942383333</v>
      </c>
      <c r="F124" s="26" t="n">
        <f aca="false">SUM(B124:E124)</f>
        <v>9450897.11931667</v>
      </c>
    </row>
    <row r="125" customFormat="false" ht="15" hidden="false" customHeight="false" outlineLevel="0" collapsed="false">
      <c r="A125" s="4" t="n">
        <v>2039</v>
      </c>
      <c r="B125" s="25" t="n">
        <f aca="false">B30/12000</f>
        <v>0</v>
      </c>
      <c r="C125" s="25" t="n">
        <f aca="false">C30/12000</f>
        <v>4229252.01826667</v>
      </c>
      <c r="D125" s="25" t="n">
        <f aca="false">D30/12000</f>
        <v>5409508.39545833</v>
      </c>
      <c r="E125" s="25" t="n">
        <f aca="false">E30/12000</f>
        <v>196709.3962</v>
      </c>
      <c r="F125" s="26" t="n">
        <f aca="false">SUM(B125:E125)</f>
        <v>9835469.809925</v>
      </c>
    </row>
    <row r="126" customFormat="false" ht="15" hidden="false" customHeight="false" outlineLevel="0" collapsed="false">
      <c r="A126" s="4" t="n">
        <v>2040</v>
      </c>
      <c r="B126" s="25" t="n">
        <f aca="false">B31/12000</f>
        <v>0</v>
      </c>
      <c r="C126" s="25" t="n">
        <f aca="false">C31/12000</f>
        <v>4399343.79555833</v>
      </c>
      <c r="D126" s="25" t="n">
        <f aca="false">D31/12000</f>
        <v>5627067.64548333</v>
      </c>
      <c r="E126" s="25" t="n">
        <f aca="false">E31/12000</f>
        <v>204620.64165</v>
      </c>
      <c r="F126" s="26" t="n">
        <f aca="false">SUM(B126:E126)</f>
        <v>10231032.0826917</v>
      </c>
    </row>
    <row r="127" customFormat="false" ht="15" hidden="false" customHeight="false" outlineLevel="0" collapsed="false">
      <c r="A127" s="4" t="n">
        <v>2041</v>
      </c>
      <c r="B127" s="25" t="n">
        <f aca="false">B32/12000</f>
        <v>0</v>
      </c>
      <c r="C127" s="25" t="n">
        <f aca="false">C32/12000</f>
        <v>4576466.10994167</v>
      </c>
      <c r="D127" s="25" t="n">
        <f aca="false">D32/12000</f>
        <v>5853619.44295</v>
      </c>
      <c r="E127" s="25" t="n">
        <f aca="false">E32/12000</f>
        <v>212858.888833333</v>
      </c>
      <c r="F127" s="26" t="n">
        <f aca="false">SUM(B127:E127)</f>
        <v>10642944.441725</v>
      </c>
    </row>
    <row r="128" customFormat="false" ht="15" hidden="false" customHeight="false" outlineLevel="0" collapsed="false">
      <c r="A128" s="4" t="n">
        <v>2042</v>
      </c>
      <c r="B128" s="25" t="n">
        <f aca="false">B33/12000</f>
        <v>0</v>
      </c>
      <c r="C128" s="25" t="n">
        <f aca="false">C33/12000</f>
        <v>4760898.103925</v>
      </c>
      <c r="D128" s="25" t="n">
        <f aca="false">D33/12000</f>
        <v>6089520.8306</v>
      </c>
      <c r="E128" s="25" t="n">
        <f aca="false">E33/12000</f>
        <v>221437.121116667</v>
      </c>
      <c r="F128" s="26" t="n">
        <f aca="false">SUM(B128:E128)</f>
        <v>11071856.0556417</v>
      </c>
    </row>
    <row r="129" customFormat="false" ht="15" hidden="false" customHeight="false" outlineLevel="0" collapsed="false">
      <c r="A129" s="4" t="n">
        <v>2043</v>
      </c>
      <c r="B129" s="25" t="n">
        <f aca="false">B34/12000</f>
        <v>0</v>
      </c>
      <c r="C129" s="25" t="n">
        <f aca="false">C34/12000</f>
        <v>4952928.8281</v>
      </c>
      <c r="D129" s="25" t="n">
        <f aca="false">D34/12000</f>
        <v>6335141.52431667</v>
      </c>
      <c r="E129" s="25" t="n">
        <f aca="false">E34/12000</f>
        <v>230368.7827</v>
      </c>
      <c r="F129" s="26" t="n">
        <f aca="false">SUM(B129:E129)</f>
        <v>11518439.1351167</v>
      </c>
    </row>
    <row r="130" customFormat="false" ht="15" hidden="false" customHeight="false" outlineLevel="0" collapsed="false">
      <c r="A130" s="4" t="n">
        <v>2044</v>
      </c>
      <c r="B130" s="25" t="n">
        <f aca="false">B35/12000</f>
        <v>0</v>
      </c>
      <c r="C130" s="25" t="n">
        <f aca="false">C35/12000</f>
        <v>5152853.06859167</v>
      </c>
      <c r="D130" s="25" t="n">
        <f aca="false">D35/12000</f>
        <v>6590858.5761</v>
      </c>
      <c r="E130" s="25" t="n">
        <f aca="false">E35/12000</f>
        <v>239667.584583333</v>
      </c>
      <c r="F130" s="26" t="n">
        <f aca="false">SUM(B130:E130)</f>
        <v>11983379.229275</v>
      </c>
    </row>
    <row r="131" customFormat="false" ht="15" hidden="false" customHeight="false" outlineLevel="0" collapsed="false">
      <c r="A131" s="4" t="n">
        <v>2045</v>
      </c>
      <c r="B131" s="25" t="n">
        <f aca="false">B36/12000</f>
        <v>0</v>
      </c>
      <c r="C131" s="25" t="n">
        <f aca="false">C36/12000</f>
        <v>5360974.2325</v>
      </c>
      <c r="D131" s="25" t="n">
        <f aca="false">D36/12000</f>
        <v>6857060.06483333</v>
      </c>
      <c r="E131" s="25" t="n">
        <f aca="false">E36/12000</f>
        <v>249347.638725</v>
      </c>
      <c r="F131" s="26" t="n">
        <f aca="false">SUM(B131:E131)</f>
        <v>12467381.9360583</v>
      </c>
    </row>
    <row r="132" customFormat="false" ht="15" hidden="false" customHeight="false" outlineLevel="0" collapsed="false">
      <c r="A132" s="4" t="n">
        <v>2046</v>
      </c>
      <c r="B132" s="25" t="n">
        <f aca="false">B37/12000</f>
        <v>0</v>
      </c>
      <c r="C132" s="25" t="n">
        <f aca="false">C37/12000</f>
        <v>5577604.71706667</v>
      </c>
      <c r="D132" s="25" t="n">
        <f aca="false">D37/12000</f>
        <v>7134145.56834167</v>
      </c>
      <c r="E132" s="25" t="n">
        <f aca="false">E37/12000</f>
        <v>259423.475208333</v>
      </c>
      <c r="F132" s="26" t="n">
        <f aca="false">SUM(B132:E132)</f>
        <v>12971173.7606167</v>
      </c>
    </row>
    <row r="133" customFormat="false" ht="15" hidden="false" customHeight="false" outlineLevel="0" collapsed="false">
      <c r="A133" s="4" t="n">
        <v>2047</v>
      </c>
      <c r="B133" s="25" t="n">
        <f aca="false">B38/12000</f>
        <v>0</v>
      </c>
      <c r="C133" s="25" t="n">
        <f aca="false">C38/12000</f>
        <v>5803079.03844167</v>
      </c>
      <c r="D133" s="25" t="n">
        <f aca="false">D38/12000</f>
        <v>7422542.95615</v>
      </c>
      <c r="E133" s="25" t="n">
        <f aca="false">E38/12000</f>
        <v>269910.65295</v>
      </c>
      <c r="F133" s="26" t="n">
        <f aca="false">SUM(B133:E133)</f>
        <v>13495532.6475417</v>
      </c>
    </row>
    <row r="134" customFormat="false" ht="15" hidden="false" customHeight="false" outlineLevel="0" collapsed="false">
      <c r="A134" s="4" t="n">
        <v>2048</v>
      </c>
      <c r="B134" s="25" t="n">
        <f aca="false">B39/12000</f>
        <v>0</v>
      </c>
      <c r="C134" s="25" t="n">
        <f aca="false">C39/12000</f>
        <v>6037736.26218333</v>
      </c>
      <c r="D134" s="25" t="n">
        <f aca="false">D39/12000</f>
        <v>7722685.91675</v>
      </c>
      <c r="E134" s="25" t="n">
        <f aca="false">E39/12000</f>
        <v>280824.942425</v>
      </c>
      <c r="F134" s="26" t="n">
        <f aca="false">SUM(B134:E134)</f>
        <v>14041247.1213583</v>
      </c>
    </row>
    <row r="135" customFormat="false" ht="15" hidden="false" customHeight="false" outlineLevel="0" collapsed="false">
      <c r="A135" s="4" t="n">
        <v>2049</v>
      </c>
      <c r="B135" s="25" t="n">
        <f aca="false">B40/12000</f>
        <v>0</v>
      </c>
      <c r="C135" s="25" t="n">
        <f aca="false">C40/12000</f>
        <v>6281926.91115</v>
      </c>
      <c r="D135" s="25" t="n">
        <f aca="false">D40/12000</f>
        <v>8035022.793325</v>
      </c>
      <c r="E135" s="25" t="n">
        <f aca="false">E40/12000</f>
        <v>292182.647033333</v>
      </c>
      <c r="F135" s="26" t="n">
        <f aca="false">SUM(B135:E135)</f>
        <v>14609132.3515083</v>
      </c>
    </row>
    <row r="136" customFormat="false" ht="15" hidden="false" customHeight="false" outlineLevel="0" collapsed="false">
      <c r="A136" s="4" t="n">
        <v>2050</v>
      </c>
      <c r="B136" s="25" t="n">
        <f aca="false">B41/12000</f>
        <v>0</v>
      </c>
      <c r="C136" s="25" t="n">
        <f aca="false">C41/12000</f>
        <v>6536016.9039</v>
      </c>
      <c r="D136" s="25" t="n">
        <f aca="false">D41/12000</f>
        <v>8360021.621275</v>
      </c>
      <c r="E136" s="25" t="n">
        <f aca="false">E41/12000</f>
        <v>304000.786225</v>
      </c>
      <c r="F136" s="26" t="n">
        <f aca="false">SUM(B136:E136)</f>
        <v>15200039.3114</v>
      </c>
    </row>
    <row r="139" customFormat="false" ht="15" hidden="false" customHeight="false" outlineLevel="0" collapsed="false">
      <c r="A139" s="10" t="s">
        <v>236</v>
      </c>
      <c r="B139" s="12"/>
      <c r="C139" s="12"/>
      <c r="D139" s="12"/>
      <c r="E139" s="12"/>
      <c r="F139" s="12"/>
    </row>
    <row r="140" customFormat="false" ht="26.85" hidden="false" customHeight="false" outlineLevel="0" collapsed="false">
      <c r="A140" s="3" t="s">
        <v>113</v>
      </c>
      <c r="B140" s="3" t="s">
        <v>228</v>
      </c>
      <c r="C140" s="3" t="s">
        <v>229</v>
      </c>
      <c r="D140" s="3" t="s">
        <v>230</v>
      </c>
      <c r="E140" s="3" t="s">
        <v>231</v>
      </c>
      <c r="F140" s="3" t="s">
        <v>58</v>
      </c>
    </row>
    <row r="141" customFormat="false" ht="15" hidden="false" customHeight="false" outlineLevel="0" collapsed="false">
      <c r="A141" s="4" t="n">
        <v>2023</v>
      </c>
      <c r="B141" s="25" t="n">
        <f aca="false">B45/12000</f>
        <v>0</v>
      </c>
      <c r="C141" s="25" t="n">
        <f aca="false">C45/12000</f>
        <v>2147165.154275</v>
      </c>
      <c r="D141" s="25" t="n">
        <f aca="false">D45/12000</f>
        <v>2746374.03454167</v>
      </c>
      <c r="E141" s="25" t="n">
        <f aca="false">E45/12000</f>
        <v>99868.1467083333</v>
      </c>
      <c r="F141" s="26" t="n">
        <f aca="false">SUM(B141:E141)</f>
        <v>4993407.335525</v>
      </c>
    </row>
    <row r="142" customFormat="false" ht="15" hidden="false" customHeight="false" outlineLevel="0" collapsed="false">
      <c r="A142" s="4" t="n">
        <v>2024</v>
      </c>
      <c r="B142" s="25" t="n">
        <f aca="false">B46/12000</f>
        <v>0</v>
      </c>
      <c r="C142" s="25" t="n">
        <f aca="false">C46/12000</f>
        <v>2235893.50531667</v>
      </c>
      <c r="D142" s="25" t="n">
        <f aca="false">D46/12000</f>
        <v>2859863.785875</v>
      </c>
      <c r="E142" s="25" t="n">
        <f aca="false">E46/12000</f>
        <v>103995.046758333</v>
      </c>
      <c r="F142" s="26" t="n">
        <f aca="false">SUM(B142:E142)</f>
        <v>5199752.33795</v>
      </c>
    </row>
    <row r="143" customFormat="false" ht="15" hidden="false" customHeight="false" outlineLevel="0" collapsed="false">
      <c r="A143" s="4" t="n">
        <v>2025</v>
      </c>
      <c r="B143" s="25" t="n">
        <f aca="false">B47/12000</f>
        <v>0</v>
      </c>
      <c r="C143" s="25" t="n">
        <f aca="false">C47/12000</f>
        <v>2333314.93499167</v>
      </c>
      <c r="D143" s="25" t="n">
        <f aca="false">D47/12000</f>
        <v>2984472.591275</v>
      </c>
      <c r="E143" s="25" t="n">
        <f aca="false">E47/12000</f>
        <v>108526.27605</v>
      </c>
      <c r="F143" s="26" t="n">
        <f aca="false">SUM(B143:E143)</f>
        <v>5426313.80231667</v>
      </c>
    </row>
    <row r="144" customFormat="false" ht="15" hidden="false" customHeight="false" outlineLevel="0" collapsed="false">
      <c r="A144" s="4" t="n">
        <v>2026</v>
      </c>
      <c r="B144" s="25" t="n">
        <f aca="false">B48/12000</f>
        <v>0</v>
      </c>
      <c r="C144" s="25" t="n">
        <f aca="false">C48/12000</f>
        <v>2437700.95373333</v>
      </c>
      <c r="D144" s="25" t="n">
        <f aca="false">D48/12000</f>
        <v>3117989.59199167</v>
      </c>
      <c r="E144" s="25" t="n">
        <f aca="false">E48/12000</f>
        <v>113381.439708333</v>
      </c>
      <c r="F144" s="26" t="n">
        <f aca="false">SUM(B144:E144)</f>
        <v>5669071.98543333</v>
      </c>
    </row>
    <row r="145" customFormat="false" ht="15" hidden="false" customHeight="false" outlineLevel="0" collapsed="false">
      <c r="A145" s="4" t="n">
        <v>2027</v>
      </c>
      <c r="B145" s="25" t="n">
        <f aca="false">B49/12000</f>
        <v>0</v>
      </c>
      <c r="C145" s="25" t="n">
        <f aca="false">C49/12000</f>
        <v>2547334.25084167</v>
      </c>
      <c r="D145" s="25" t="n">
        <f aca="false">D49/12000</f>
        <v>3258218.22781667</v>
      </c>
      <c r="E145" s="25" t="n">
        <f aca="false">E49/12000</f>
        <v>118480.662833333</v>
      </c>
      <c r="F145" s="26" t="n">
        <f aca="false">SUM(B145:E145)</f>
        <v>5924033.14149167</v>
      </c>
    </row>
    <row r="146" customFormat="false" ht="15" hidden="false" customHeight="false" outlineLevel="0" collapsed="false">
      <c r="A146" s="4" t="n">
        <v>2028</v>
      </c>
      <c r="B146" s="25" t="n">
        <f aca="false">B50/12000</f>
        <v>0</v>
      </c>
      <c r="C146" s="25" t="n">
        <f aca="false">C50/12000</f>
        <v>2661477.21531667</v>
      </c>
      <c r="D146" s="25" t="n">
        <f aca="false">D50/12000</f>
        <v>3404215.04284167</v>
      </c>
      <c r="E146" s="25" t="n">
        <f aca="false">E50/12000</f>
        <v>123789.637925</v>
      </c>
      <c r="F146" s="26" t="n">
        <f aca="false">SUM(B146:E146)</f>
        <v>6189481.89608333</v>
      </c>
    </row>
    <row r="147" customFormat="false" ht="15" hidden="false" customHeight="false" outlineLevel="0" collapsed="false">
      <c r="A147" s="4" t="n">
        <v>2029</v>
      </c>
      <c r="B147" s="25" t="n">
        <f aca="false">B51/12000</f>
        <v>0</v>
      </c>
      <c r="C147" s="25" t="n">
        <f aca="false">C51/12000</f>
        <v>2782017.3642</v>
      </c>
      <c r="D147" s="25" t="n">
        <f aca="false">D51/12000</f>
        <v>3558394.30305</v>
      </c>
      <c r="E147" s="25" t="n">
        <f aca="false">E51/12000</f>
        <v>129396.156475</v>
      </c>
      <c r="F147" s="26" t="n">
        <f aca="false">SUM(B147:E147)</f>
        <v>6469807.823725</v>
      </c>
    </row>
    <row r="148" customFormat="false" ht="15" hidden="false" customHeight="false" outlineLevel="0" collapsed="false">
      <c r="A148" s="4" t="n">
        <v>2030</v>
      </c>
      <c r="B148" s="25" t="n">
        <f aca="false">B52/12000</f>
        <v>0</v>
      </c>
      <c r="C148" s="25" t="n">
        <f aca="false">C52/12000</f>
        <v>2906747.33590833</v>
      </c>
      <c r="D148" s="25" t="n">
        <f aca="false">D52/12000</f>
        <v>3717932.63895</v>
      </c>
      <c r="E148" s="25" t="n">
        <f aca="false">E52/12000</f>
        <v>135197.550508333</v>
      </c>
      <c r="F148" s="26" t="n">
        <f aca="false">SUM(B148:E148)</f>
        <v>6759877.52536667</v>
      </c>
    </row>
    <row r="149" customFormat="false" ht="15" hidden="false" customHeight="false" outlineLevel="0" collapsed="false">
      <c r="A149" s="4" t="n">
        <v>2031</v>
      </c>
      <c r="B149" s="25" t="n">
        <f aca="false">B53/12000</f>
        <v>0</v>
      </c>
      <c r="C149" s="25" t="n">
        <f aca="false">C53/12000</f>
        <v>3035747.34826667</v>
      </c>
      <c r="D149" s="25" t="n">
        <f aca="false">D53/12000</f>
        <v>3882932.65475833</v>
      </c>
      <c r="E149" s="25" t="n">
        <f aca="false">E53/12000</f>
        <v>141197.551083333</v>
      </c>
      <c r="F149" s="26" t="n">
        <f aca="false">SUM(B149:E149)</f>
        <v>7059877.55410833</v>
      </c>
    </row>
    <row r="150" customFormat="false" ht="15" hidden="false" customHeight="false" outlineLevel="0" collapsed="false">
      <c r="A150" s="4" t="n">
        <v>2032</v>
      </c>
      <c r="B150" s="25" t="n">
        <f aca="false">B54/12000</f>
        <v>0</v>
      </c>
      <c r="C150" s="25" t="n">
        <f aca="false">C54/12000</f>
        <v>3169092.825975</v>
      </c>
      <c r="D150" s="25" t="n">
        <f aca="false">D54/12000</f>
        <v>4053490.82391667</v>
      </c>
      <c r="E150" s="25" t="n">
        <f aca="false">E54/12000</f>
        <v>147399.666325</v>
      </c>
      <c r="F150" s="26" t="n">
        <f aca="false">SUM(B150:E150)</f>
        <v>7369983.31621667</v>
      </c>
    </row>
    <row r="151" customFormat="false" ht="15" hidden="false" customHeight="false" outlineLevel="0" collapsed="false">
      <c r="A151" s="4" t="n">
        <v>2033</v>
      </c>
      <c r="B151" s="25" t="n">
        <f aca="false">B55/12000</f>
        <v>0</v>
      </c>
      <c r="C151" s="25" t="n">
        <f aca="false">C55/12000</f>
        <v>3306853.1278</v>
      </c>
      <c r="D151" s="25" t="n">
        <f aca="false">D55/12000</f>
        <v>4229695.86114167</v>
      </c>
      <c r="E151" s="25" t="n">
        <f aca="false">E55/12000</f>
        <v>153807.122225</v>
      </c>
      <c r="F151" s="26" t="n">
        <f aca="false">SUM(B151:E151)</f>
        <v>7690356.11116667</v>
      </c>
    </row>
    <row r="152" customFormat="false" ht="15" hidden="false" customHeight="false" outlineLevel="0" collapsed="false">
      <c r="A152" s="4" t="n">
        <v>2034</v>
      </c>
      <c r="B152" s="25" t="n">
        <f aca="false">B56/12000</f>
        <v>0</v>
      </c>
      <c r="C152" s="25" t="n">
        <f aca="false">C56/12000</f>
        <v>3449091.40139167</v>
      </c>
      <c r="D152" s="25" t="n">
        <f aca="false">D56/12000</f>
        <v>4411628.53666667</v>
      </c>
      <c r="E152" s="25" t="n">
        <f aca="false">E56/12000</f>
        <v>160422.855875</v>
      </c>
      <c r="F152" s="26" t="n">
        <f aca="false">SUM(B152:E152)</f>
        <v>8021142.79393333</v>
      </c>
    </row>
    <row r="153" customFormat="false" ht="15" hidden="false" customHeight="false" outlineLevel="0" collapsed="false">
      <c r="A153" s="4" t="n">
        <v>2035</v>
      </c>
      <c r="B153" s="25" t="n">
        <f aca="false">B57/12000</f>
        <v>0</v>
      </c>
      <c r="C153" s="25" t="n">
        <f aca="false">C57/12000</f>
        <v>3595865.87894167</v>
      </c>
      <c r="D153" s="25" t="n">
        <f aca="false">D57/12000</f>
        <v>4599363.33353333</v>
      </c>
      <c r="E153" s="25" t="n">
        <f aca="false">E57/12000</f>
        <v>167249.575766667</v>
      </c>
      <c r="F153" s="26" t="n">
        <f aca="false">SUM(B153:E153)</f>
        <v>8362478.78824167</v>
      </c>
    </row>
    <row r="154" customFormat="false" ht="15" hidden="false" customHeight="false" outlineLevel="0" collapsed="false">
      <c r="A154" s="4" t="n">
        <v>2036</v>
      </c>
      <c r="B154" s="25" t="n">
        <f aca="false">B58/12000</f>
        <v>0</v>
      </c>
      <c r="C154" s="25" t="n">
        <f aca="false">C58/12000</f>
        <v>3747227.71576667</v>
      </c>
      <c r="D154" s="25" t="n">
        <f aca="false">D58/12000</f>
        <v>4792965.68295833</v>
      </c>
      <c r="E154" s="25" t="n">
        <f aca="false">E58/12000</f>
        <v>174289.6612</v>
      </c>
      <c r="F154" s="26" t="n">
        <f aca="false">SUM(B154:E154)</f>
        <v>8714483.059925</v>
      </c>
    </row>
    <row r="155" customFormat="false" ht="15" hidden="false" customHeight="false" outlineLevel="0" collapsed="false">
      <c r="A155" s="4" t="n">
        <v>2037</v>
      </c>
      <c r="B155" s="25" t="n">
        <f aca="false">B59/12000</f>
        <v>0</v>
      </c>
      <c r="C155" s="25" t="n">
        <f aca="false">C59/12000</f>
        <v>3903221.31755833</v>
      </c>
      <c r="D155" s="25" t="n">
        <f aca="false">D59/12000</f>
        <v>4992492.382925</v>
      </c>
      <c r="E155" s="25" t="n">
        <f aca="false">E59/12000</f>
        <v>181545.177558333</v>
      </c>
      <c r="F155" s="26" t="n">
        <f aca="false">SUM(B155:E155)</f>
        <v>9077258.87804167</v>
      </c>
    </row>
    <row r="156" customFormat="false" ht="15" hidden="false" customHeight="false" outlineLevel="0" collapsed="false">
      <c r="A156" s="4" t="n">
        <v>2038</v>
      </c>
      <c r="B156" s="25" t="n">
        <f aca="false">B60/12000</f>
        <v>0</v>
      </c>
      <c r="C156" s="25" t="n">
        <f aca="false">C60/12000</f>
        <v>4063885.76130833</v>
      </c>
      <c r="D156" s="25" t="n">
        <f aca="false">D60/12000</f>
        <v>5197993.415625</v>
      </c>
      <c r="E156" s="25" t="n">
        <f aca="false">E60/12000</f>
        <v>189017.942383333</v>
      </c>
      <c r="F156" s="26" t="n">
        <f aca="false">SUM(B156:E156)</f>
        <v>9450897.11931667</v>
      </c>
    </row>
    <row r="157" customFormat="false" ht="15" hidden="false" customHeight="false" outlineLevel="0" collapsed="false">
      <c r="A157" s="4" t="n">
        <v>2039</v>
      </c>
      <c r="B157" s="25" t="n">
        <f aca="false">B61/12000</f>
        <v>0</v>
      </c>
      <c r="C157" s="25" t="n">
        <f aca="false">C61/12000</f>
        <v>4229252.01826667</v>
      </c>
      <c r="D157" s="25" t="n">
        <f aca="false">D61/12000</f>
        <v>5409508.39545833</v>
      </c>
      <c r="E157" s="25" t="n">
        <f aca="false">E61/12000</f>
        <v>196709.3962</v>
      </c>
      <c r="F157" s="26" t="n">
        <f aca="false">SUM(B157:E157)</f>
        <v>9835469.809925</v>
      </c>
    </row>
    <row r="158" customFormat="false" ht="15" hidden="false" customHeight="false" outlineLevel="0" collapsed="false">
      <c r="A158" s="4" t="n">
        <v>2040</v>
      </c>
      <c r="B158" s="25" t="n">
        <f aca="false">B62/12000</f>
        <v>0</v>
      </c>
      <c r="C158" s="25" t="n">
        <f aca="false">C62/12000</f>
        <v>4399343.79555833</v>
      </c>
      <c r="D158" s="25" t="n">
        <f aca="false">D62/12000</f>
        <v>5627067.64548333</v>
      </c>
      <c r="E158" s="25" t="n">
        <f aca="false">E62/12000</f>
        <v>204620.64165</v>
      </c>
      <c r="F158" s="26" t="n">
        <f aca="false">SUM(B158:E158)</f>
        <v>10231032.0826917</v>
      </c>
    </row>
    <row r="159" customFormat="false" ht="15" hidden="false" customHeight="false" outlineLevel="0" collapsed="false">
      <c r="A159" s="4" t="n">
        <v>2041</v>
      </c>
      <c r="B159" s="25" t="n">
        <f aca="false">B63/12000</f>
        <v>0</v>
      </c>
      <c r="C159" s="25" t="n">
        <f aca="false">C63/12000</f>
        <v>4576466.10994167</v>
      </c>
      <c r="D159" s="25" t="n">
        <f aca="false">D63/12000</f>
        <v>5853619.44295</v>
      </c>
      <c r="E159" s="25" t="n">
        <f aca="false">E63/12000</f>
        <v>212858.888833333</v>
      </c>
      <c r="F159" s="26" t="n">
        <f aca="false">SUM(B159:E159)</f>
        <v>10642944.441725</v>
      </c>
    </row>
    <row r="160" customFormat="false" ht="15" hidden="false" customHeight="false" outlineLevel="0" collapsed="false">
      <c r="A160" s="4" t="n">
        <v>2042</v>
      </c>
      <c r="B160" s="25" t="n">
        <f aca="false">B64/12000</f>
        <v>0</v>
      </c>
      <c r="C160" s="25" t="n">
        <f aca="false">C64/12000</f>
        <v>4760898.103925</v>
      </c>
      <c r="D160" s="25" t="n">
        <f aca="false">D64/12000</f>
        <v>6089520.8306</v>
      </c>
      <c r="E160" s="25" t="n">
        <f aca="false">E64/12000</f>
        <v>221437.121116667</v>
      </c>
      <c r="F160" s="26" t="n">
        <f aca="false">SUM(B160:E160)</f>
        <v>11071856.0556417</v>
      </c>
    </row>
    <row r="161" customFormat="false" ht="15" hidden="false" customHeight="false" outlineLevel="0" collapsed="false">
      <c r="A161" s="4" t="n">
        <v>2043</v>
      </c>
      <c r="B161" s="25" t="n">
        <f aca="false">B65/12000</f>
        <v>0</v>
      </c>
      <c r="C161" s="25" t="n">
        <f aca="false">C65/12000</f>
        <v>4952928.8281</v>
      </c>
      <c r="D161" s="25" t="n">
        <f aca="false">D65/12000</f>
        <v>6335141.52431667</v>
      </c>
      <c r="E161" s="25" t="n">
        <f aca="false">E65/12000</f>
        <v>230368.7827</v>
      </c>
      <c r="F161" s="26" t="n">
        <f aca="false">SUM(B161:E161)</f>
        <v>11518439.1351167</v>
      </c>
    </row>
    <row r="162" customFormat="false" ht="15" hidden="false" customHeight="false" outlineLevel="0" collapsed="false">
      <c r="A162" s="4" t="n">
        <v>2044</v>
      </c>
      <c r="B162" s="25" t="n">
        <f aca="false">B66/12000</f>
        <v>0</v>
      </c>
      <c r="C162" s="25" t="n">
        <f aca="false">C66/12000</f>
        <v>5152853.06859167</v>
      </c>
      <c r="D162" s="25" t="n">
        <f aca="false">D66/12000</f>
        <v>6590858.5761</v>
      </c>
      <c r="E162" s="25" t="n">
        <f aca="false">E66/12000</f>
        <v>239667.584583333</v>
      </c>
      <c r="F162" s="26" t="n">
        <f aca="false">SUM(B162:E162)</f>
        <v>11983379.229275</v>
      </c>
    </row>
    <row r="163" customFormat="false" ht="15" hidden="false" customHeight="false" outlineLevel="0" collapsed="false">
      <c r="A163" s="4" t="n">
        <v>2045</v>
      </c>
      <c r="B163" s="25" t="n">
        <f aca="false">B67/12000</f>
        <v>0</v>
      </c>
      <c r="C163" s="25" t="n">
        <f aca="false">C67/12000</f>
        <v>5360974.2325</v>
      </c>
      <c r="D163" s="25" t="n">
        <f aca="false">D67/12000</f>
        <v>6857060.06483333</v>
      </c>
      <c r="E163" s="25" t="n">
        <f aca="false">E67/12000</f>
        <v>249347.638725</v>
      </c>
      <c r="F163" s="26" t="n">
        <f aca="false">SUM(B163:E163)</f>
        <v>12467381.9360583</v>
      </c>
    </row>
    <row r="164" customFormat="false" ht="15" hidden="false" customHeight="false" outlineLevel="0" collapsed="false">
      <c r="A164" s="4" t="n">
        <v>2046</v>
      </c>
      <c r="B164" s="25" t="n">
        <f aca="false">B68/12000</f>
        <v>0</v>
      </c>
      <c r="C164" s="25" t="n">
        <f aca="false">C68/12000</f>
        <v>5577604.71706667</v>
      </c>
      <c r="D164" s="25" t="n">
        <f aca="false">D68/12000</f>
        <v>7134145.56834167</v>
      </c>
      <c r="E164" s="25" t="n">
        <f aca="false">E68/12000</f>
        <v>259423.475208333</v>
      </c>
      <c r="F164" s="26" t="n">
        <f aca="false">SUM(B164:E164)</f>
        <v>12971173.7606167</v>
      </c>
    </row>
    <row r="165" customFormat="false" ht="15" hidden="false" customHeight="false" outlineLevel="0" collapsed="false">
      <c r="A165" s="4" t="n">
        <v>2047</v>
      </c>
      <c r="B165" s="25" t="n">
        <f aca="false">B69/12000</f>
        <v>0</v>
      </c>
      <c r="C165" s="25" t="n">
        <f aca="false">C69/12000</f>
        <v>5803079.03844167</v>
      </c>
      <c r="D165" s="25" t="n">
        <f aca="false">D69/12000</f>
        <v>7422542.95615</v>
      </c>
      <c r="E165" s="25" t="n">
        <f aca="false">E69/12000</f>
        <v>269910.65295</v>
      </c>
      <c r="F165" s="26" t="n">
        <f aca="false">SUM(B165:E165)</f>
        <v>13495532.6475417</v>
      </c>
    </row>
    <row r="166" customFormat="false" ht="15" hidden="false" customHeight="false" outlineLevel="0" collapsed="false">
      <c r="A166" s="4" t="n">
        <v>2048</v>
      </c>
      <c r="B166" s="25" t="n">
        <f aca="false">B70/12000</f>
        <v>0</v>
      </c>
      <c r="C166" s="25" t="n">
        <f aca="false">C70/12000</f>
        <v>6037736.26218333</v>
      </c>
      <c r="D166" s="25" t="n">
        <f aca="false">D70/12000</f>
        <v>7722685.91675</v>
      </c>
      <c r="E166" s="25" t="n">
        <f aca="false">E70/12000</f>
        <v>280824.942425</v>
      </c>
      <c r="F166" s="26" t="n">
        <f aca="false">SUM(B166:E166)</f>
        <v>14041247.1213583</v>
      </c>
    </row>
    <row r="167" customFormat="false" ht="15" hidden="false" customHeight="false" outlineLevel="0" collapsed="false">
      <c r="A167" s="4" t="n">
        <v>2049</v>
      </c>
      <c r="B167" s="25" t="n">
        <f aca="false">B71/12000</f>
        <v>0</v>
      </c>
      <c r="C167" s="25" t="n">
        <f aca="false">C71/12000</f>
        <v>6281926.91115</v>
      </c>
      <c r="D167" s="25" t="n">
        <f aca="false">D71/12000</f>
        <v>8035022.793325</v>
      </c>
      <c r="E167" s="25" t="n">
        <f aca="false">E71/12000</f>
        <v>292182.647033333</v>
      </c>
      <c r="F167" s="26" t="n">
        <f aca="false">SUM(B167:E167)</f>
        <v>14609132.3515083</v>
      </c>
    </row>
    <row r="168" customFormat="false" ht="15" hidden="false" customHeight="false" outlineLevel="0" collapsed="false">
      <c r="A168" s="4" t="n">
        <v>2050</v>
      </c>
      <c r="B168" s="25" t="n">
        <f aca="false">B72/12000</f>
        <v>0</v>
      </c>
      <c r="C168" s="25" t="n">
        <f aca="false">C72/12000</f>
        <v>6536016.9039</v>
      </c>
      <c r="D168" s="25" t="n">
        <f aca="false">D72/12000</f>
        <v>8360021.621275</v>
      </c>
      <c r="E168" s="25" t="n">
        <f aca="false">E72/12000</f>
        <v>304000.786225</v>
      </c>
      <c r="F168" s="26" t="n">
        <f aca="false">SUM(B168:E168)</f>
        <v>15200039.3114</v>
      </c>
    </row>
    <row r="171" customFormat="false" ht="15" hidden="false" customHeight="false" outlineLevel="0" collapsed="false">
      <c r="A171" s="10" t="s">
        <v>237</v>
      </c>
      <c r="B171" s="12"/>
      <c r="C171" s="12"/>
      <c r="D171" s="12"/>
      <c r="E171" s="12"/>
      <c r="F171" s="12"/>
    </row>
    <row r="172" customFormat="false" ht="26.85" hidden="false" customHeight="false" outlineLevel="0" collapsed="false">
      <c r="A172" s="3" t="s">
        <v>113</v>
      </c>
      <c r="B172" s="3" t="s">
        <v>228</v>
      </c>
      <c r="C172" s="3" t="s">
        <v>229</v>
      </c>
      <c r="D172" s="3" t="s">
        <v>230</v>
      </c>
      <c r="E172" s="3" t="s">
        <v>231</v>
      </c>
      <c r="F172" s="3" t="s">
        <v>58</v>
      </c>
    </row>
    <row r="173" customFormat="false" ht="15" hidden="false" customHeight="false" outlineLevel="0" collapsed="false">
      <c r="A173" s="4" t="n">
        <v>2023</v>
      </c>
      <c r="B173" s="25" t="n">
        <f aca="false">B76/12000</f>
        <v>0</v>
      </c>
      <c r="C173" s="25" t="n">
        <f aca="false">C76/12000</f>
        <v>2147165.154275</v>
      </c>
      <c r="D173" s="25" t="n">
        <f aca="false">D76/12000</f>
        <v>2746374.03454167</v>
      </c>
      <c r="E173" s="25" t="n">
        <f aca="false">E76/12000</f>
        <v>99868.1467083333</v>
      </c>
      <c r="F173" s="26" t="n">
        <f aca="false">SUM(B173:E173)</f>
        <v>4993407.335525</v>
      </c>
    </row>
    <row r="174" customFormat="false" ht="15" hidden="false" customHeight="false" outlineLevel="0" collapsed="false">
      <c r="A174" s="4" t="n">
        <v>2024</v>
      </c>
      <c r="B174" s="25" t="n">
        <f aca="false">B77/12000</f>
        <v>0</v>
      </c>
      <c r="C174" s="25" t="n">
        <f aca="false">C77/12000</f>
        <v>2235893.50531667</v>
      </c>
      <c r="D174" s="25" t="n">
        <f aca="false">D77/12000</f>
        <v>2859863.785875</v>
      </c>
      <c r="E174" s="25" t="n">
        <f aca="false">E77/12000</f>
        <v>103995.046758333</v>
      </c>
      <c r="F174" s="26" t="n">
        <f aca="false">SUM(B174:E174)</f>
        <v>5199752.33795</v>
      </c>
    </row>
    <row r="175" customFormat="false" ht="15" hidden="false" customHeight="false" outlineLevel="0" collapsed="false">
      <c r="A175" s="4" t="n">
        <v>2025</v>
      </c>
      <c r="B175" s="25" t="n">
        <f aca="false">B78/12000</f>
        <v>0</v>
      </c>
      <c r="C175" s="25" t="n">
        <f aca="false">C78/12000</f>
        <v>2333314.93499167</v>
      </c>
      <c r="D175" s="25" t="n">
        <f aca="false">D78/12000</f>
        <v>2984472.591275</v>
      </c>
      <c r="E175" s="25" t="n">
        <f aca="false">E78/12000</f>
        <v>108526.27605</v>
      </c>
      <c r="F175" s="26" t="n">
        <f aca="false">SUM(B175:E175)</f>
        <v>5426313.80231667</v>
      </c>
    </row>
    <row r="176" customFormat="false" ht="15" hidden="false" customHeight="false" outlineLevel="0" collapsed="false">
      <c r="A176" s="4" t="n">
        <v>2026</v>
      </c>
      <c r="B176" s="25" t="n">
        <f aca="false">B79/12000</f>
        <v>0</v>
      </c>
      <c r="C176" s="25" t="n">
        <f aca="false">C79/12000</f>
        <v>2401135.43943333</v>
      </c>
      <c r="D176" s="25" t="n">
        <f aca="false">D79/12000</f>
        <v>3071219.74810833</v>
      </c>
      <c r="E176" s="25" t="n">
        <f aca="false">E79/12000</f>
        <v>111680.718116667</v>
      </c>
      <c r="F176" s="26" t="n">
        <f aca="false">SUM(B176:E176)</f>
        <v>5584035.90565833</v>
      </c>
    </row>
    <row r="177" customFormat="false" ht="15" hidden="false" customHeight="false" outlineLevel="0" collapsed="false">
      <c r="A177" s="4" t="n">
        <v>2027</v>
      </c>
      <c r="B177" s="25" t="n">
        <f aca="false">B80/12000</f>
        <v>0</v>
      </c>
      <c r="C177" s="25" t="n">
        <f aca="false">C80/12000</f>
        <v>2470914.22331667</v>
      </c>
      <c r="D177" s="25" t="n">
        <f aca="false">D80/12000</f>
        <v>3160471.68098333</v>
      </c>
      <c r="E177" s="25" t="n">
        <f aca="false">E80/12000</f>
        <v>114926.242941667</v>
      </c>
      <c r="F177" s="26" t="n">
        <f aca="false">SUM(B177:E177)</f>
        <v>5746312.14724167</v>
      </c>
    </row>
    <row r="178" customFormat="false" ht="15" hidden="false" customHeight="false" outlineLevel="0" collapsed="false">
      <c r="A178" s="4" t="n">
        <v>2028</v>
      </c>
      <c r="B178" s="25" t="n">
        <f aca="false">B81/12000</f>
        <v>0</v>
      </c>
      <c r="C178" s="25" t="n">
        <f aca="false">C81/12000</f>
        <v>2541710.740625</v>
      </c>
      <c r="D178" s="25" t="n">
        <f aca="false">D81/12000</f>
        <v>3251025.36591667</v>
      </c>
      <c r="E178" s="25" t="n">
        <f aca="false">E81/12000</f>
        <v>118219.104216667</v>
      </c>
      <c r="F178" s="26" t="n">
        <f aca="false">SUM(B178:E178)</f>
        <v>5910955.21075833</v>
      </c>
    </row>
    <row r="179" customFormat="false" ht="15" hidden="false" customHeight="false" outlineLevel="0" collapsed="false">
      <c r="A179" s="4" t="n">
        <v>2029</v>
      </c>
      <c r="B179" s="25" t="n">
        <f aca="false">B82/12000</f>
        <v>0</v>
      </c>
      <c r="C179" s="25" t="n">
        <f aca="false">C82/12000</f>
        <v>2615096.32235</v>
      </c>
      <c r="D179" s="25" t="n">
        <f aca="false">D82/12000</f>
        <v>3344890.64486667</v>
      </c>
      <c r="E179" s="25" t="n">
        <f aca="false">E82/12000</f>
        <v>121632.387083333</v>
      </c>
      <c r="F179" s="26" t="n">
        <f aca="false">SUM(B179:E179)</f>
        <v>6081619.3543</v>
      </c>
    </row>
    <row r="180" customFormat="false" ht="15" hidden="false" customHeight="false" outlineLevel="0" collapsed="false">
      <c r="A180" s="4" t="n">
        <v>2030</v>
      </c>
      <c r="B180" s="25" t="n">
        <f aca="false">B83/12000</f>
        <v>0</v>
      </c>
      <c r="C180" s="25" t="n">
        <f aca="false">C83/12000</f>
        <v>2688741.28571667</v>
      </c>
      <c r="D180" s="25" t="n">
        <f aca="false">D83/12000</f>
        <v>3439087.69103333</v>
      </c>
      <c r="E180" s="25" t="n">
        <f aca="false">E83/12000</f>
        <v>125057.734216667</v>
      </c>
      <c r="F180" s="26" t="n">
        <f aca="false">SUM(B180:E180)</f>
        <v>6252886.71096667</v>
      </c>
    </row>
    <row r="181" customFormat="false" ht="15" hidden="false" customHeight="false" outlineLevel="0" collapsed="false">
      <c r="A181" s="4" t="n">
        <v>2031</v>
      </c>
      <c r="B181" s="25" t="n">
        <f aca="false">B84/12000</f>
        <v>0</v>
      </c>
      <c r="C181" s="25" t="n">
        <f aca="false">C84/12000</f>
        <v>2762530.086925</v>
      </c>
      <c r="D181" s="25" t="n">
        <f aca="false">D84/12000</f>
        <v>3533468.71583333</v>
      </c>
      <c r="E181" s="25" t="n">
        <f aca="false">E84/12000</f>
        <v>128489.771483333</v>
      </c>
      <c r="F181" s="26" t="n">
        <f aca="false">SUM(B181:E181)</f>
        <v>6424488.57424167</v>
      </c>
    </row>
    <row r="182" customFormat="false" ht="15" hidden="false" customHeight="false" outlineLevel="0" collapsed="false">
      <c r="A182" s="4" t="n">
        <v>2032</v>
      </c>
      <c r="B182" s="25" t="n">
        <f aca="false">B85/12000</f>
        <v>0</v>
      </c>
      <c r="C182" s="25" t="n">
        <f aca="false">C85/12000</f>
        <v>2836338.07925</v>
      </c>
      <c r="D182" s="25" t="n">
        <f aca="false">D85/12000</f>
        <v>3627874.28740833</v>
      </c>
      <c r="E182" s="25" t="n">
        <f aca="false">E85/12000</f>
        <v>131922.701358333</v>
      </c>
      <c r="F182" s="26" t="n">
        <f aca="false">SUM(B182:E182)</f>
        <v>6596135.06801667</v>
      </c>
    </row>
    <row r="183" customFormat="false" ht="15" hidden="false" customHeight="false" outlineLevel="0" collapsed="false">
      <c r="A183" s="4" t="n">
        <v>2033</v>
      </c>
      <c r="B183" s="25" t="n">
        <f aca="false">B86/12000</f>
        <v>375972.965433333</v>
      </c>
      <c r="C183" s="25" t="n">
        <f aca="false">C86/12000</f>
        <v>2748362.377325</v>
      </c>
      <c r="D183" s="25" t="n">
        <f aca="false">D86/12000</f>
        <v>3515347.22681667</v>
      </c>
      <c r="E183" s="25" t="n">
        <f aca="false">E86/12000</f>
        <v>127830.80825</v>
      </c>
      <c r="F183" s="26" t="n">
        <f aca="false">SUM(B183:E183)</f>
        <v>6767513.377825</v>
      </c>
    </row>
    <row r="184" customFormat="false" ht="15" hidden="false" customHeight="false" outlineLevel="0" collapsed="false">
      <c r="A184" s="4" t="n">
        <v>2034</v>
      </c>
      <c r="B184" s="25" t="n">
        <f aca="false">B87/12000</f>
        <v>770920.946308333</v>
      </c>
      <c r="C184" s="25" t="n">
        <f aca="false">C87/12000</f>
        <v>2651968.05529167</v>
      </c>
      <c r="D184" s="25" t="n">
        <f aca="false">D87/12000</f>
        <v>3392052.16375</v>
      </c>
      <c r="E184" s="25" t="n">
        <f aca="false">E87/12000</f>
        <v>123347.351408333</v>
      </c>
      <c r="F184" s="26" t="n">
        <f aca="false">SUM(B184:E184)</f>
        <v>6938288.51675833</v>
      </c>
    </row>
    <row r="185" customFormat="false" ht="15" hidden="false" customHeight="false" outlineLevel="0" collapsed="false">
      <c r="A185" s="4" t="n">
        <v>2035</v>
      </c>
      <c r="B185" s="25" t="n">
        <f aca="false">B88/12000</f>
        <v>1184684.495</v>
      </c>
      <c r="C185" s="25" t="n">
        <f aca="false">C88/12000</f>
        <v>2547071.66425</v>
      </c>
      <c r="D185" s="25" t="n">
        <f aca="false">D88/12000</f>
        <v>3257882.36125</v>
      </c>
      <c r="E185" s="25" t="n">
        <f aca="false">E88/12000</f>
        <v>118468.4495</v>
      </c>
      <c r="F185" s="26" t="n">
        <f aca="false">SUM(B185:E185)</f>
        <v>7108106.97</v>
      </c>
    </row>
    <row r="186" customFormat="false" ht="15" hidden="false" customHeight="false" outlineLevel="0" collapsed="false">
      <c r="A186" s="4" t="n">
        <v>2036</v>
      </c>
      <c r="B186" s="25" t="n">
        <f aca="false">B89/12000</f>
        <v>1617020.74556667</v>
      </c>
      <c r="C186" s="25" t="n">
        <f aca="false">C89/12000</f>
        <v>2433616.222075</v>
      </c>
      <c r="D186" s="25" t="n">
        <f aca="false">D89/12000</f>
        <v>3112764.93520833</v>
      </c>
      <c r="E186" s="25" t="n">
        <f aca="false">E89/12000</f>
        <v>113191.452191667</v>
      </c>
      <c r="F186" s="26" t="n">
        <f aca="false">SUM(B186:E186)</f>
        <v>7276593.35504167</v>
      </c>
    </row>
    <row r="187" customFormat="false" ht="15" hidden="false" customHeight="false" outlineLevel="0" collapsed="false">
      <c r="A187" s="4" t="n">
        <v>2037</v>
      </c>
      <c r="B187" s="25" t="n">
        <f aca="false">B90/12000</f>
        <v>2067597.85555833</v>
      </c>
      <c r="C187" s="25" t="n">
        <f aca="false">C90/12000</f>
        <v>2311574.40250833</v>
      </c>
      <c r="D187" s="25" t="n">
        <f aca="false">D90/12000</f>
        <v>2956664.93344167</v>
      </c>
      <c r="E187" s="25" t="n">
        <f aca="false">E90/12000</f>
        <v>107515.088491667</v>
      </c>
      <c r="F187" s="26" t="n">
        <f aca="false">SUM(B187:E187)</f>
        <v>7443352.28</v>
      </c>
    </row>
    <row r="188" customFormat="false" ht="15" hidden="false" customHeight="false" outlineLevel="0" collapsed="false">
      <c r="A188" s="4" t="n">
        <v>2038</v>
      </c>
      <c r="B188" s="25" t="n">
        <f aca="false">B91/12000</f>
        <v>2535990.72701667</v>
      </c>
      <c r="C188" s="25" t="n">
        <f aca="false">C91/12000</f>
        <v>2180952.02523333</v>
      </c>
      <c r="D188" s="25" t="n">
        <f aca="false">D91/12000</f>
        <v>2789589.79971667</v>
      </c>
      <c r="E188" s="25" t="n">
        <f aca="false">E91/12000</f>
        <v>101439.629083333</v>
      </c>
      <c r="F188" s="26" t="n">
        <f aca="false">SUM(B188:E188)</f>
        <v>7607972.18105</v>
      </c>
    </row>
    <row r="189" customFormat="false" ht="15" hidden="false" customHeight="false" outlineLevel="0" collapsed="false">
      <c r="A189" s="4" t="n">
        <v>2039</v>
      </c>
      <c r="B189" s="25" t="n">
        <f aca="false">B92/12000</f>
        <v>3021674.89160833</v>
      </c>
      <c r="C189" s="25" t="n">
        <f aca="false">C92/12000</f>
        <v>2041788.89104167</v>
      </c>
      <c r="D189" s="25" t="n">
        <f aca="false">D92/12000</f>
        <v>2611590.44203333</v>
      </c>
      <c r="E189" s="25" t="n">
        <f aca="false">E92/12000</f>
        <v>94966.9251666667</v>
      </c>
      <c r="F189" s="26" t="n">
        <f aca="false">SUM(B189:E189)</f>
        <v>7770021.14985</v>
      </c>
    </row>
    <row r="190" customFormat="false" ht="15" hidden="false" customHeight="false" outlineLevel="0" collapsed="false">
      <c r="A190" s="4" t="n">
        <v>2040</v>
      </c>
      <c r="B190" s="25" t="n">
        <f aca="false">B93/12000</f>
        <v>3524022.16181667</v>
      </c>
      <c r="C190" s="25" t="n">
        <f aca="false">C93/12000</f>
        <v>1894161.911975</v>
      </c>
      <c r="D190" s="25" t="n">
        <f aca="false">D93/12000</f>
        <v>2422765.23625</v>
      </c>
      <c r="E190" s="25" t="n">
        <f aca="false">E93/12000</f>
        <v>88100.5540416667</v>
      </c>
      <c r="F190" s="26" t="n">
        <f aca="false">SUM(B190:E190)</f>
        <v>7929049.86408333</v>
      </c>
    </row>
    <row r="191" customFormat="false" ht="15" hidden="false" customHeight="false" outlineLevel="0" collapsed="false">
      <c r="A191" s="4" t="n">
        <v>2041</v>
      </c>
      <c r="B191" s="25" t="n">
        <f aca="false">B94/12000</f>
        <v>4044318.88785833</v>
      </c>
      <c r="C191" s="25" t="n">
        <f aca="false">C94/12000</f>
        <v>1739057.12178333</v>
      </c>
      <c r="D191" s="25" t="n">
        <f aca="false">D94/12000</f>
        <v>2224375.388325</v>
      </c>
      <c r="E191" s="25" t="n">
        <f aca="false">E94/12000</f>
        <v>80886.3777583333</v>
      </c>
      <c r="F191" s="26" t="n">
        <f aca="false">SUM(B191:E191)</f>
        <v>8088637.775725</v>
      </c>
    </row>
    <row r="192" customFormat="false" ht="15" hidden="false" customHeight="false" outlineLevel="0" collapsed="false">
      <c r="A192" s="4" t="n">
        <v>2042</v>
      </c>
      <c r="B192" s="25" t="n">
        <f aca="false">B95/12000</f>
        <v>4582518.2008</v>
      </c>
      <c r="C192" s="25" t="n">
        <f aca="false">C95/12000</f>
        <v>1576386.261075</v>
      </c>
      <c r="D192" s="25" t="n">
        <f aca="false">D95/12000</f>
        <v>2016308.00835</v>
      </c>
      <c r="E192" s="25" t="n">
        <f aca="false">E95/12000</f>
        <v>73320.2912166667</v>
      </c>
      <c r="F192" s="26" t="n">
        <f aca="false">SUM(B192:E192)</f>
        <v>8248532.76144167</v>
      </c>
    </row>
    <row r="193" customFormat="false" ht="15" hidden="false" customHeight="false" outlineLevel="0" collapsed="false">
      <c r="A193" s="4" t="n">
        <v>2043</v>
      </c>
      <c r="B193" s="25" t="n">
        <f aca="false">B96/12000</f>
        <v>5138503.68083333</v>
      </c>
      <c r="C193" s="25" t="n">
        <f aca="false">C96/12000</f>
        <v>1406081.46175833</v>
      </c>
      <c r="D193" s="25" t="n">
        <f aca="false">D96/12000</f>
        <v>1798476.28829167</v>
      </c>
      <c r="E193" s="25" t="n">
        <f aca="false">E96/12000</f>
        <v>65399.1377583333</v>
      </c>
      <c r="F193" s="26" t="n">
        <f aca="false">SUM(B193:E193)</f>
        <v>8408460.56864167</v>
      </c>
    </row>
    <row r="194" customFormat="false" ht="15" hidden="false" customHeight="false" outlineLevel="0" collapsed="false">
      <c r="A194" s="4" t="n">
        <v>2044</v>
      </c>
      <c r="B194" s="25" t="n">
        <f aca="false">B97/12000</f>
        <v>5712077.432625</v>
      </c>
      <c r="C194" s="25" t="n">
        <f aca="false">C97/12000</f>
        <v>1228096.64801667</v>
      </c>
      <c r="D194" s="25" t="n">
        <f aca="false">D97/12000</f>
        <v>1570821.293975</v>
      </c>
      <c r="E194" s="25" t="n">
        <f aca="false">E97/12000</f>
        <v>57120.774325</v>
      </c>
      <c r="F194" s="26" t="n">
        <f aca="false">SUM(B194:E194)</f>
        <v>8568116.14894167</v>
      </c>
    </row>
    <row r="195" customFormat="false" ht="15" hidden="false" customHeight="false" outlineLevel="0" collapsed="false">
      <c r="A195" s="4" t="n">
        <v>2045</v>
      </c>
      <c r="B195" s="25" t="n">
        <f aca="false">B98/12000</f>
        <v>6302954.20100833</v>
      </c>
      <c r="C195" s="25" t="n">
        <f aca="false">C98/12000</f>
        <v>1042411.65631667</v>
      </c>
      <c r="D195" s="25" t="n">
        <f aca="false">D98/12000</f>
        <v>1333317.234825</v>
      </c>
      <c r="E195" s="25" t="n">
        <f aca="false">E98/12000</f>
        <v>48484.2630833333</v>
      </c>
      <c r="F195" s="26" t="n">
        <f aca="false">SUM(B195:E195)</f>
        <v>8727167.35523333</v>
      </c>
    </row>
    <row r="196" customFormat="false" ht="15" hidden="false" customHeight="false" outlineLevel="0" collapsed="false">
      <c r="A196" s="4" t="n">
        <v>2046</v>
      </c>
      <c r="B196" s="25" t="n">
        <f aca="false">B99/12000</f>
        <v>6910753.13135</v>
      </c>
      <c r="C196" s="25" t="n">
        <f aca="false">C99/12000</f>
        <v>849035.384708333</v>
      </c>
      <c r="D196" s="25" t="n">
        <f aca="false">D99/12000</f>
        <v>1085975.49206667</v>
      </c>
      <c r="E196" s="25" t="n">
        <f aca="false">E99/12000</f>
        <v>39490.0178916667</v>
      </c>
      <c r="F196" s="26" t="n">
        <f aca="false">SUM(B196:E196)</f>
        <v>8885254.02601667</v>
      </c>
    </row>
    <row r="197" customFormat="false" ht="15" hidden="false" customHeight="false" outlineLevel="0" collapsed="false">
      <c r="A197" s="4" t="n">
        <v>2047</v>
      </c>
      <c r="B197" s="25" t="n">
        <f aca="false">B100/12000</f>
        <v>7535005.72820833</v>
      </c>
      <c r="C197" s="25" t="n">
        <f aca="false">C100/12000</f>
        <v>648010.492625</v>
      </c>
      <c r="D197" s="25" t="n">
        <f aca="false">D100/12000</f>
        <v>828850.6301</v>
      </c>
      <c r="E197" s="25" t="n">
        <f aca="false">E100/12000</f>
        <v>30140.0229166667</v>
      </c>
      <c r="F197" s="26" t="n">
        <f aca="false">SUM(B197:E197)</f>
        <v>9042006.87385</v>
      </c>
    </row>
    <row r="198" customFormat="false" ht="15" hidden="false" customHeight="false" outlineLevel="0" collapsed="false">
      <c r="A198" s="4" t="n">
        <v>2048</v>
      </c>
      <c r="B198" s="25" t="n">
        <f aca="false">B101/12000</f>
        <v>8175126.10176667</v>
      </c>
      <c r="C198" s="25" t="n">
        <f aca="false">C101/12000</f>
        <v>439413.027966667</v>
      </c>
      <c r="D198" s="25" t="n">
        <f aca="false">D101/12000</f>
        <v>562039.9195</v>
      </c>
      <c r="E198" s="25" t="n">
        <f aca="false">E101/12000</f>
        <v>20437.8152583333</v>
      </c>
      <c r="F198" s="26" t="n">
        <f aca="false">SUM(B198:E198)</f>
        <v>9197016.86449167</v>
      </c>
    </row>
    <row r="199" customFormat="false" ht="15" hidden="false" customHeight="false" outlineLevel="0" collapsed="false">
      <c r="A199" s="4" t="n">
        <v>2049</v>
      </c>
      <c r="B199" s="25" t="n">
        <f aca="false">B102/12000</f>
        <v>8830408.88801667</v>
      </c>
      <c r="C199" s="25" t="n">
        <f aca="false">C102/12000</f>
        <v>223357.401283333</v>
      </c>
      <c r="D199" s="25" t="n">
        <f aca="false">D102/12000</f>
        <v>285689.699316667</v>
      </c>
      <c r="E199" s="25" t="n">
        <f aca="false">E102/12000</f>
        <v>10388.7163416667</v>
      </c>
      <c r="F199" s="26" t="n">
        <f aca="false">SUM(B199:E199)</f>
        <v>9349844.70495834</v>
      </c>
    </row>
    <row r="200" customFormat="false" ht="15" hidden="false" customHeight="false" outlineLevel="0" collapsed="false">
      <c r="A200" s="4" t="n">
        <v>2050</v>
      </c>
      <c r="B200" s="25" t="n">
        <f aca="false">B103/12000</f>
        <v>9500024.569625</v>
      </c>
      <c r="C200" s="25" t="n">
        <f aca="false">C103/12000</f>
        <v>0</v>
      </c>
      <c r="D200" s="25" t="n">
        <f aca="false">D103/12000</f>
        <v>0</v>
      </c>
      <c r="E200" s="25" t="n">
        <f aca="false">E103/12000</f>
        <v>0</v>
      </c>
      <c r="F200" s="26" t="n">
        <f aca="false">SUM(B200:E200)</f>
        <v>9500024.569625</v>
      </c>
    </row>
    <row r="203" customFormat="false" ht="15" hidden="false" customHeight="false" outlineLevel="0" collapsed="false">
      <c r="A203" s="23" t="s">
        <v>238</v>
      </c>
    </row>
    <row r="205" customFormat="false" ht="15" hidden="false" customHeight="false" outlineLevel="0" collapsed="false">
      <c r="A205" s="13" t="s">
        <v>239</v>
      </c>
    </row>
    <row r="206" customFormat="false" ht="15" hidden="false" customHeight="false" outlineLevel="0" collapsed="false">
      <c r="A206" s="10" t="s">
        <v>227</v>
      </c>
      <c r="B206" s="12"/>
      <c r="C206" s="12"/>
      <c r="D206" s="12"/>
    </row>
    <row r="207" customFormat="false" ht="15" hidden="false" customHeight="false" outlineLevel="0" collapsed="false">
      <c r="A207" s="3" t="s">
        <v>113</v>
      </c>
      <c r="B207" s="3" t="s">
        <v>228</v>
      </c>
      <c r="C207" s="3" t="s">
        <v>229</v>
      </c>
      <c r="D207" s="3" t="s">
        <v>230</v>
      </c>
    </row>
    <row r="208" customFormat="false" ht="15" hidden="false" customHeight="false" outlineLevel="0" collapsed="false">
      <c r="A208" s="4" t="n">
        <v>2023</v>
      </c>
      <c r="B208" s="24" t="n">
        <v>20282864.9</v>
      </c>
      <c r="C208" s="24" t="n">
        <v>6240881.5</v>
      </c>
      <c r="D208" s="24" t="n">
        <v>597564405.7</v>
      </c>
    </row>
    <row r="209" customFormat="false" ht="15" hidden="false" customHeight="false" outlineLevel="0" collapsed="false">
      <c r="A209" s="4" t="n">
        <v>2024</v>
      </c>
      <c r="B209" s="24" t="n">
        <v>22745717.8</v>
      </c>
      <c r="C209" s="24" t="n">
        <v>6498776.5</v>
      </c>
      <c r="D209" s="24" t="n">
        <v>620633156.4</v>
      </c>
    </row>
    <row r="210" customFormat="false" ht="15" hidden="false" customHeight="false" outlineLevel="0" collapsed="false">
      <c r="A210" s="4" t="n">
        <v>2025</v>
      </c>
      <c r="B210" s="24" t="n">
        <v>25432269.4</v>
      </c>
      <c r="C210" s="24" t="n">
        <v>6781938.5</v>
      </c>
      <c r="D210" s="24" t="n">
        <v>645979643.7</v>
      </c>
    </row>
    <row r="211" customFormat="false" ht="15" hidden="false" customHeight="false" outlineLevel="0" collapsed="false">
      <c r="A211" s="4" t="n">
        <v>2026</v>
      </c>
      <c r="B211" s="24" t="n">
        <v>28341374.3</v>
      </c>
      <c r="C211" s="24" t="n">
        <v>7085343.6</v>
      </c>
      <c r="D211" s="24" t="n">
        <v>673107639.9</v>
      </c>
    </row>
    <row r="212" customFormat="false" ht="15" hidden="false" customHeight="false" outlineLevel="0" collapsed="false">
      <c r="A212" s="4" t="n">
        <v>2027</v>
      </c>
      <c r="B212" s="24" t="n">
        <v>31467000.9</v>
      </c>
      <c r="C212" s="24" t="n">
        <v>7404000.2</v>
      </c>
      <c r="D212" s="24" t="n">
        <v>701529020</v>
      </c>
    </row>
    <row r="213" customFormat="false" ht="15" hidden="false" customHeight="false" outlineLevel="0" collapsed="false">
      <c r="A213" s="4" t="n">
        <v>2028</v>
      </c>
      <c r="B213" s="24" t="n">
        <v>34810940.2</v>
      </c>
      <c r="C213" s="24" t="n">
        <v>7735764.5</v>
      </c>
      <c r="D213" s="24" t="n">
        <v>731029745.1</v>
      </c>
    </row>
    <row r="214" customFormat="false" ht="15" hidden="false" customHeight="false" outlineLevel="0" collapsed="false">
      <c r="A214" s="4" t="n">
        <v>2029</v>
      </c>
      <c r="B214" s="24" t="n">
        <v>38409082.5</v>
      </c>
      <c r="C214" s="24" t="n">
        <v>8086122.6</v>
      </c>
      <c r="D214" s="24" t="n">
        <v>762117058.6</v>
      </c>
    </row>
    <row r="215" customFormat="false" ht="15" hidden="false" customHeight="false" outlineLevel="0" collapsed="false">
      <c r="A215" s="4" t="n">
        <v>2030</v>
      </c>
      <c r="B215" s="24" t="n">
        <v>42243293.9</v>
      </c>
      <c r="C215" s="24" t="n">
        <v>8448658.8</v>
      </c>
      <c r="D215" s="24" t="n">
        <v>794173925.5</v>
      </c>
    </row>
    <row r="216" customFormat="false" ht="15" hidden="false" customHeight="false" outlineLevel="0" collapsed="false">
      <c r="A216" s="4" t="n">
        <v>2031</v>
      </c>
      <c r="B216" s="24" t="n">
        <v>46323932</v>
      </c>
      <c r="C216" s="24" t="n">
        <v>8823606.1</v>
      </c>
      <c r="D216" s="24" t="n">
        <v>827213070.9</v>
      </c>
    </row>
    <row r="217" customFormat="false" ht="15" hidden="false" customHeight="false" outlineLevel="0" collapsed="false">
      <c r="A217" s="4" t="n">
        <v>2032</v>
      </c>
      <c r="B217" s="24" t="n">
        <v>50661510.8</v>
      </c>
      <c r="C217" s="24" t="n">
        <v>9211183.8</v>
      </c>
      <c r="D217" s="24" t="n">
        <v>861245684.1</v>
      </c>
    </row>
    <row r="218" customFormat="false" ht="15" hidden="false" customHeight="false" outlineLevel="0" collapsed="false">
      <c r="A218" s="4" t="n">
        <v>2033</v>
      </c>
      <c r="B218" s="24" t="n">
        <v>55266662.5</v>
      </c>
      <c r="C218" s="24" t="n">
        <v>9611593.5</v>
      </c>
      <c r="D218" s="24" t="n">
        <v>896281091.3</v>
      </c>
    </row>
    <row r="219" customFormat="false" ht="15" hidden="false" customHeight="false" outlineLevel="0" collapsed="false">
      <c r="A219" s="4" t="n">
        <v>2034</v>
      </c>
      <c r="B219" s="24" t="n">
        <v>60150112.1</v>
      </c>
      <c r="C219" s="24" t="n">
        <v>10025018.7</v>
      </c>
      <c r="D219" s="24" t="n">
        <v>932326737.8</v>
      </c>
    </row>
    <row r="220" customFormat="false" ht="15" hidden="false" customHeight="false" outlineLevel="0" collapsed="false">
      <c r="A220" s="4" t="n">
        <v>2035</v>
      </c>
      <c r="B220" s="24" t="n">
        <v>65322679.3</v>
      </c>
      <c r="C220" s="24" t="n">
        <v>10451628.7</v>
      </c>
      <c r="D220" s="24" t="n">
        <v>969388560.6</v>
      </c>
    </row>
    <row r="221" customFormat="false" ht="15" hidden="false" customHeight="false" outlineLevel="0" collapsed="false">
      <c r="A221" s="4" t="n">
        <v>2036</v>
      </c>
      <c r="B221" s="24" t="n">
        <v>70795219</v>
      </c>
      <c r="C221" s="24" t="n">
        <v>10891572.2</v>
      </c>
      <c r="D221" s="24" t="n">
        <v>1007470424.4</v>
      </c>
    </row>
    <row r="222" customFormat="false" ht="15" hidden="false" customHeight="false" outlineLevel="0" collapsed="false">
      <c r="A222" s="4" t="n">
        <v>2037</v>
      </c>
      <c r="B222" s="24" t="n">
        <v>76578602.6</v>
      </c>
      <c r="C222" s="24" t="n">
        <v>11344978.2</v>
      </c>
      <c r="D222" s="24" t="n">
        <v>1046574235.9</v>
      </c>
    </row>
    <row r="223" customFormat="false" ht="15" hidden="false" customHeight="false" outlineLevel="0" collapsed="false">
      <c r="A223" s="4" t="n">
        <v>2038</v>
      </c>
      <c r="B223" s="24" t="n">
        <v>82683722.1</v>
      </c>
      <c r="C223" s="24" t="n">
        <v>11811960.3</v>
      </c>
      <c r="D223" s="24" t="n">
        <v>1086700347.3</v>
      </c>
    </row>
    <row r="224" customFormat="false" ht="15" hidden="false" customHeight="false" outlineLevel="0" collapsed="false">
      <c r="A224" s="4" t="n">
        <v>2039</v>
      </c>
      <c r="B224" s="24" t="n">
        <v>89121412.1</v>
      </c>
      <c r="C224" s="24" t="n">
        <v>12292608.6</v>
      </c>
      <c r="D224" s="24" t="n">
        <v>1127846836.1</v>
      </c>
    </row>
    <row r="225" customFormat="false" ht="15" hidden="false" customHeight="false" outlineLevel="0" collapsed="false">
      <c r="A225" s="4" t="n">
        <v>2040</v>
      </c>
      <c r="B225" s="24" t="n">
        <v>95902439.1</v>
      </c>
      <c r="C225" s="24" t="n">
        <v>12786991.9</v>
      </c>
      <c r="D225" s="24" t="n">
        <v>1170009757.4</v>
      </c>
    </row>
    <row r="226" customFormat="false" ht="15" hidden="false" customHeight="false" outlineLevel="0" collapsed="false">
      <c r="A226" s="4" t="n">
        <v>2041</v>
      </c>
      <c r="B226" s="24" t="n">
        <v>103089027</v>
      </c>
      <c r="C226" s="24" t="n">
        <v>13301809.9</v>
      </c>
      <c r="D226" s="24" t="n">
        <v>1213790156.5</v>
      </c>
    </row>
    <row r="227" customFormat="false" ht="15" hidden="false" customHeight="false" outlineLevel="0" collapsed="false">
      <c r="A227" s="4" t="n">
        <v>2042</v>
      </c>
      <c r="B227" s="24" t="n">
        <v>110702992.5</v>
      </c>
      <c r="C227" s="24" t="n">
        <v>13837874.1</v>
      </c>
      <c r="D227" s="24" t="n">
        <v>1259246540</v>
      </c>
    </row>
    <row r="228" customFormat="false" ht="15" hidden="false" customHeight="false" outlineLevel="0" collapsed="false">
      <c r="A228" s="4" t="n">
        <v>2043</v>
      </c>
      <c r="B228" s="24" t="n">
        <v>118767201.5</v>
      </c>
      <c r="C228" s="24" t="n">
        <v>14396024.4</v>
      </c>
      <c r="D228" s="24" t="n">
        <v>1306439216.4</v>
      </c>
    </row>
    <row r="229" customFormat="false" ht="15" hidden="false" customHeight="false" outlineLevel="0" collapsed="false">
      <c r="A229" s="4" t="n">
        <v>2044</v>
      </c>
      <c r="B229" s="24" t="n">
        <v>127305501.5</v>
      </c>
      <c r="C229" s="24" t="n">
        <v>14977117.8</v>
      </c>
      <c r="D229" s="24" t="n">
        <v>1355429162.9</v>
      </c>
    </row>
    <row r="230" customFormat="false" ht="15" hidden="false" customHeight="false" outlineLevel="0" collapsed="false">
      <c r="A230" s="4" t="n">
        <v>2045</v>
      </c>
      <c r="B230" s="24" t="n">
        <v>136342816.2</v>
      </c>
      <c r="C230" s="24" t="n">
        <v>15582036.1</v>
      </c>
      <c r="D230" s="24" t="n">
        <v>1406278761.4</v>
      </c>
    </row>
    <row r="231" customFormat="false" ht="15" hidden="false" customHeight="false" outlineLevel="0" collapsed="false">
      <c r="A231" s="4" t="n">
        <v>2046</v>
      </c>
      <c r="B231" s="24" t="n">
        <v>145905186.3</v>
      </c>
      <c r="C231" s="24" t="n">
        <v>16211687.4</v>
      </c>
      <c r="D231" s="24" t="n">
        <v>1459051863.3</v>
      </c>
    </row>
    <row r="232" customFormat="false" ht="15" hidden="false" customHeight="false" outlineLevel="0" collapsed="false">
      <c r="A232" s="4" t="n">
        <v>2047</v>
      </c>
      <c r="B232" s="24" t="n">
        <v>156020155.3</v>
      </c>
      <c r="C232" s="24" t="n">
        <v>16867043.8</v>
      </c>
      <c r="D232" s="24" t="n">
        <v>1513817182.6</v>
      </c>
    </row>
    <row r="233" customFormat="false" ht="15" hidden="false" customHeight="false" outlineLevel="0" collapsed="false">
      <c r="A233" s="4" t="n">
        <v>2048</v>
      </c>
      <c r="B233" s="24" t="n">
        <v>166716364.4</v>
      </c>
      <c r="C233" s="24" t="n">
        <v>17549091</v>
      </c>
      <c r="D233" s="24" t="n">
        <v>1570643644</v>
      </c>
    </row>
    <row r="234" customFormat="false" ht="15" hidden="false" customHeight="false" outlineLevel="0" collapsed="false">
      <c r="A234" s="4" t="n">
        <v>2049</v>
      </c>
      <c r="B234" s="24" t="n">
        <v>178023765.3</v>
      </c>
      <c r="C234" s="24" t="n">
        <v>18258847.7</v>
      </c>
      <c r="D234" s="24" t="n">
        <v>1629602159</v>
      </c>
    </row>
    <row r="235" customFormat="false" ht="15" hidden="false" customHeight="false" outlineLevel="0" collapsed="false">
      <c r="A235" s="4" t="n">
        <v>2050</v>
      </c>
      <c r="B235" s="24" t="n">
        <v>189973775.6</v>
      </c>
      <c r="C235" s="24" t="n">
        <v>18997377.6</v>
      </c>
      <c r="D235" s="24" t="n">
        <v>1690766602.9</v>
      </c>
    </row>
    <row r="237" customFormat="false" ht="15" hidden="false" customHeight="false" outlineLevel="0" collapsed="false">
      <c r="A237" s="10" t="s">
        <v>232</v>
      </c>
      <c r="B237" s="12"/>
      <c r="C237" s="12"/>
      <c r="D237" s="12"/>
    </row>
    <row r="238" customFormat="false" ht="15" hidden="false" customHeight="false" outlineLevel="0" collapsed="false">
      <c r="A238" s="3" t="s">
        <v>113</v>
      </c>
      <c r="B238" s="3" t="s">
        <v>228</v>
      </c>
      <c r="C238" s="3" t="s">
        <v>229</v>
      </c>
      <c r="D238" s="3" t="s">
        <v>230</v>
      </c>
    </row>
    <row r="239" customFormat="false" ht="15" hidden="false" customHeight="false" outlineLevel="0" collapsed="false">
      <c r="A239" s="4" t="n">
        <v>2023</v>
      </c>
      <c r="B239" s="24" t="n">
        <v>20282864.9</v>
      </c>
      <c r="C239" s="24" t="n">
        <v>6240881.5</v>
      </c>
      <c r="D239" s="24" t="n">
        <v>597564405.7</v>
      </c>
    </row>
    <row r="240" customFormat="false" ht="15" hidden="false" customHeight="false" outlineLevel="0" collapsed="false">
      <c r="A240" s="4" t="n">
        <v>2024</v>
      </c>
      <c r="B240" s="24" t="n">
        <v>22745717.8</v>
      </c>
      <c r="C240" s="24" t="n">
        <v>6498776.5</v>
      </c>
      <c r="D240" s="24" t="n">
        <v>620633156.4</v>
      </c>
    </row>
    <row r="241" customFormat="false" ht="15" hidden="false" customHeight="false" outlineLevel="0" collapsed="false">
      <c r="A241" s="4" t="n">
        <v>2025</v>
      </c>
      <c r="B241" s="24" t="n">
        <v>25432269.4</v>
      </c>
      <c r="C241" s="24" t="n">
        <v>6781938.5</v>
      </c>
      <c r="D241" s="24" t="n">
        <v>645979643.7</v>
      </c>
    </row>
    <row r="242" customFormat="false" ht="15" hidden="false" customHeight="false" outlineLevel="0" collapsed="false">
      <c r="A242" s="4" t="n">
        <v>2026</v>
      </c>
      <c r="B242" s="24" t="n">
        <v>28341374.3</v>
      </c>
      <c r="C242" s="24" t="n">
        <v>7085343.6</v>
      </c>
      <c r="D242" s="24" t="n">
        <v>673107639.9</v>
      </c>
    </row>
    <row r="243" customFormat="false" ht="15" hidden="false" customHeight="false" outlineLevel="0" collapsed="false">
      <c r="A243" s="4" t="n">
        <v>2027</v>
      </c>
      <c r="B243" s="24" t="n">
        <v>31467000.9</v>
      </c>
      <c r="C243" s="24" t="n">
        <v>7404000.2</v>
      </c>
      <c r="D243" s="24" t="n">
        <v>701529020</v>
      </c>
    </row>
    <row r="244" customFormat="false" ht="15" hidden="false" customHeight="false" outlineLevel="0" collapsed="false">
      <c r="A244" s="4" t="n">
        <v>2028</v>
      </c>
      <c r="B244" s="24" t="n">
        <v>34810940.2</v>
      </c>
      <c r="C244" s="24" t="n">
        <v>7735764.5</v>
      </c>
      <c r="D244" s="24" t="n">
        <v>731029745.1</v>
      </c>
    </row>
    <row r="245" customFormat="false" ht="15" hidden="false" customHeight="false" outlineLevel="0" collapsed="false">
      <c r="A245" s="4" t="n">
        <v>2029</v>
      </c>
      <c r="B245" s="24" t="n">
        <v>38409082.5</v>
      </c>
      <c r="C245" s="24" t="n">
        <v>8086122.6</v>
      </c>
      <c r="D245" s="24" t="n">
        <v>762117058.6</v>
      </c>
    </row>
    <row r="246" customFormat="false" ht="15" hidden="false" customHeight="false" outlineLevel="0" collapsed="false">
      <c r="A246" s="4" t="n">
        <v>2030</v>
      </c>
      <c r="B246" s="24" t="n">
        <v>42243293.9</v>
      </c>
      <c r="C246" s="24" t="n">
        <v>8448658.8</v>
      </c>
      <c r="D246" s="24" t="n">
        <v>794173925.5</v>
      </c>
    </row>
    <row r="247" customFormat="false" ht="15" hidden="false" customHeight="false" outlineLevel="0" collapsed="false">
      <c r="A247" s="4" t="n">
        <v>2031</v>
      </c>
      <c r="B247" s="24" t="n">
        <v>46323932</v>
      </c>
      <c r="C247" s="24" t="n">
        <v>8823606.1</v>
      </c>
      <c r="D247" s="24" t="n">
        <v>827213070.9</v>
      </c>
    </row>
    <row r="248" customFormat="false" ht="15" hidden="false" customHeight="false" outlineLevel="0" collapsed="false">
      <c r="A248" s="4" t="n">
        <v>2032</v>
      </c>
      <c r="B248" s="24" t="n">
        <v>50661510.8</v>
      </c>
      <c r="C248" s="24" t="n">
        <v>9211183.8</v>
      </c>
      <c r="D248" s="24" t="n">
        <v>861245684.1</v>
      </c>
    </row>
    <row r="249" customFormat="false" ht="15" hidden="false" customHeight="false" outlineLevel="0" collapsed="false">
      <c r="A249" s="4" t="n">
        <v>2033</v>
      </c>
      <c r="B249" s="24" t="n">
        <v>55266662.5</v>
      </c>
      <c r="C249" s="24" t="n">
        <v>9611593.5</v>
      </c>
      <c r="D249" s="24" t="n">
        <v>896281091.3</v>
      </c>
    </row>
    <row r="250" customFormat="false" ht="15" hidden="false" customHeight="false" outlineLevel="0" collapsed="false">
      <c r="A250" s="4" t="n">
        <v>2034</v>
      </c>
      <c r="B250" s="24" t="n">
        <v>60150112.1</v>
      </c>
      <c r="C250" s="24" t="n">
        <v>10025018.7</v>
      </c>
      <c r="D250" s="24" t="n">
        <v>932326737.8</v>
      </c>
    </row>
    <row r="251" customFormat="false" ht="15" hidden="false" customHeight="false" outlineLevel="0" collapsed="false">
      <c r="A251" s="4" t="n">
        <v>2035</v>
      </c>
      <c r="B251" s="24" t="n">
        <v>65322679.3</v>
      </c>
      <c r="C251" s="24" t="n">
        <v>10451628.7</v>
      </c>
      <c r="D251" s="24" t="n">
        <v>969388560.6</v>
      </c>
    </row>
    <row r="252" customFormat="false" ht="15" hidden="false" customHeight="false" outlineLevel="0" collapsed="false">
      <c r="A252" s="4" t="n">
        <v>2036</v>
      </c>
      <c r="B252" s="24" t="n">
        <v>70795219</v>
      </c>
      <c r="C252" s="24" t="n">
        <v>10891572.2</v>
      </c>
      <c r="D252" s="24" t="n">
        <v>1007470424.4</v>
      </c>
    </row>
    <row r="253" customFormat="false" ht="15" hidden="false" customHeight="false" outlineLevel="0" collapsed="false">
      <c r="A253" s="4" t="n">
        <v>2037</v>
      </c>
      <c r="B253" s="24" t="n">
        <v>76578602.6</v>
      </c>
      <c r="C253" s="24" t="n">
        <v>11344978.2</v>
      </c>
      <c r="D253" s="24" t="n">
        <v>1046574235.9</v>
      </c>
    </row>
    <row r="254" customFormat="false" ht="15" hidden="false" customHeight="false" outlineLevel="0" collapsed="false">
      <c r="A254" s="4" t="n">
        <v>2038</v>
      </c>
      <c r="B254" s="24" t="n">
        <v>82683722.1</v>
      </c>
      <c r="C254" s="24" t="n">
        <v>11811960.3</v>
      </c>
      <c r="D254" s="24" t="n">
        <v>1086700347.3</v>
      </c>
    </row>
    <row r="255" customFormat="false" ht="15" hidden="false" customHeight="false" outlineLevel="0" collapsed="false">
      <c r="A255" s="4" t="n">
        <v>2039</v>
      </c>
      <c r="B255" s="24" t="n">
        <v>89121412.1</v>
      </c>
      <c r="C255" s="24" t="n">
        <v>12292608.6</v>
      </c>
      <c r="D255" s="24" t="n">
        <v>1127846836.1</v>
      </c>
    </row>
    <row r="256" customFormat="false" ht="15" hidden="false" customHeight="false" outlineLevel="0" collapsed="false">
      <c r="A256" s="4" t="n">
        <v>2040</v>
      </c>
      <c r="B256" s="24" t="n">
        <v>95902439.1</v>
      </c>
      <c r="C256" s="24" t="n">
        <v>12786991.9</v>
      </c>
      <c r="D256" s="24" t="n">
        <v>1170009757.4</v>
      </c>
    </row>
    <row r="257" customFormat="false" ht="15" hidden="false" customHeight="false" outlineLevel="0" collapsed="false">
      <c r="A257" s="4" t="n">
        <v>2041</v>
      </c>
      <c r="B257" s="24" t="n">
        <v>103089027</v>
      </c>
      <c r="C257" s="24" t="n">
        <v>13301809.9</v>
      </c>
      <c r="D257" s="24" t="n">
        <v>1213790156.5</v>
      </c>
    </row>
    <row r="258" customFormat="false" ht="15" hidden="false" customHeight="false" outlineLevel="0" collapsed="false">
      <c r="A258" s="4" t="n">
        <v>2042</v>
      </c>
      <c r="B258" s="24" t="n">
        <v>110702992.5</v>
      </c>
      <c r="C258" s="24" t="n">
        <v>13837874.1</v>
      </c>
      <c r="D258" s="24" t="n">
        <v>1259246540</v>
      </c>
    </row>
    <row r="259" customFormat="false" ht="15" hidden="false" customHeight="false" outlineLevel="0" collapsed="false">
      <c r="A259" s="4" t="n">
        <v>2043</v>
      </c>
      <c r="B259" s="24" t="n">
        <v>118767201.5</v>
      </c>
      <c r="C259" s="24" t="n">
        <v>14396024.4</v>
      </c>
      <c r="D259" s="24" t="n">
        <v>1306439216.4</v>
      </c>
    </row>
    <row r="260" customFormat="false" ht="15" hidden="false" customHeight="false" outlineLevel="0" collapsed="false">
      <c r="A260" s="4" t="n">
        <v>2044</v>
      </c>
      <c r="B260" s="24" t="n">
        <v>127305501.5</v>
      </c>
      <c r="C260" s="24" t="n">
        <v>14977117.8</v>
      </c>
      <c r="D260" s="24" t="n">
        <v>1355429162.9</v>
      </c>
    </row>
    <row r="261" customFormat="false" ht="15" hidden="false" customHeight="false" outlineLevel="0" collapsed="false">
      <c r="A261" s="4" t="n">
        <v>2045</v>
      </c>
      <c r="B261" s="24" t="n">
        <v>136342816.2</v>
      </c>
      <c r="C261" s="24" t="n">
        <v>15582036.1</v>
      </c>
      <c r="D261" s="24" t="n">
        <v>1406278761.4</v>
      </c>
    </row>
    <row r="262" customFormat="false" ht="15" hidden="false" customHeight="false" outlineLevel="0" collapsed="false">
      <c r="A262" s="4" t="n">
        <v>2046</v>
      </c>
      <c r="B262" s="24" t="n">
        <v>145905186.3</v>
      </c>
      <c r="C262" s="24" t="n">
        <v>16211687.4</v>
      </c>
      <c r="D262" s="24" t="n">
        <v>1459051863.3</v>
      </c>
    </row>
    <row r="263" customFormat="false" ht="15" hidden="false" customHeight="false" outlineLevel="0" collapsed="false">
      <c r="A263" s="4" t="n">
        <v>2047</v>
      </c>
      <c r="B263" s="24" t="n">
        <v>156020155.3</v>
      </c>
      <c r="C263" s="24" t="n">
        <v>16867043.8</v>
      </c>
      <c r="D263" s="24" t="n">
        <v>1513817182.6</v>
      </c>
    </row>
    <row r="264" customFormat="false" ht="15" hidden="false" customHeight="false" outlineLevel="0" collapsed="false">
      <c r="A264" s="4" t="n">
        <v>2048</v>
      </c>
      <c r="B264" s="24" t="n">
        <v>166716364.4</v>
      </c>
      <c r="C264" s="24" t="n">
        <v>17549091</v>
      </c>
      <c r="D264" s="24" t="n">
        <v>1570643644</v>
      </c>
    </row>
    <row r="265" customFormat="false" ht="15" hidden="false" customHeight="false" outlineLevel="0" collapsed="false">
      <c r="A265" s="4" t="n">
        <v>2049</v>
      </c>
      <c r="B265" s="24" t="n">
        <v>178023765.3</v>
      </c>
      <c r="C265" s="24" t="n">
        <v>18258847.7</v>
      </c>
      <c r="D265" s="24" t="n">
        <v>1629602159</v>
      </c>
    </row>
    <row r="266" customFormat="false" ht="15" hidden="false" customHeight="false" outlineLevel="0" collapsed="false">
      <c r="A266" s="4" t="n">
        <v>2050</v>
      </c>
      <c r="B266" s="24" t="n">
        <v>189973775.6</v>
      </c>
      <c r="C266" s="24" t="n">
        <v>18997377.6</v>
      </c>
      <c r="D266" s="24" t="n">
        <v>1690766602.9</v>
      </c>
    </row>
    <row r="268" customFormat="false" ht="15" hidden="false" customHeight="false" outlineLevel="0" collapsed="false">
      <c r="A268" s="10" t="s">
        <v>233</v>
      </c>
      <c r="B268" s="12"/>
      <c r="C268" s="12"/>
      <c r="D268" s="12"/>
    </row>
    <row r="269" customFormat="false" ht="15" hidden="false" customHeight="false" outlineLevel="0" collapsed="false">
      <c r="A269" s="3" t="s">
        <v>113</v>
      </c>
      <c r="B269" s="3" t="s">
        <v>228</v>
      </c>
      <c r="C269" s="3" t="s">
        <v>229</v>
      </c>
      <c r="D269" s="3" t="s">
        <v>230</v>
      </c>
    </row>
    <row r="270" customFormat="false" ht="15" hidden="false" customHeight="false" outlineLevel="0" collapsed="false">
      <c r="A270" s="4" t="n">
        <v>2023</v>
      </c>
      <c r="B270" s="24" t="n">
        <v>20282864.9</v>
      </c>
      <c r="C270" s="24" t="n">
        <v>6240881.5</v>
      </c>
      <c r="D270" s="24" t="n">
        <v>597564405.7</v>
      </c>
    </row>
    <row r="271" customFormat="false" ht="15" hidden="false" customHeight="false" outlineLevel="0" collapsed="false">
      <c r="A271" s="4" t="n">
        <v>2024</v>
      </c>
      <c r="B271" s="24" t="n">
        <v>22745717.8</v>
      </c>
      <c r="C271" s="24" t="n">
        <v>6498776.5</v>
      </c>
      <c r="D271" s="24" t="n">
        <v>620633156.4</v>
      </c>
    </row>
    <row r="272" customFormat="false" ht="15" hidden="false" customHeight="false" outlineLevel="0" collapsed="false">
      <c r="A272" s="4" t="n">
        <v>2025</v>
      </c>
      <c r="B272" s="24" t="n">
        <v>25432269.4</v>
      </c>
      <c r="C272" s="24" t="n">
        <v>6781938.5</v>
      </c>
      <c r="D272" s="24" t="n">
        <v>645979643.7</v>
      </c>
    </row>
    <row r="273" customFormat="false" ht="15" hidden="false" customHeight="false" outlineLevel="0" collapsed="false">
      <c r="A273" s="4" t="n">
        <v>2026</v>
      </c>
      <c r="B273" s="24" t="n">
        <v>27916253.7</v>
      </c>
      <c r="C273" s="24" t="n">
        <v>6979063.4</v>
      </c>
      <c r="D273" s="24" t="n">
        <v>663011025.3</v>
      </c>
    </row>
    <row r="274" customFormat="false" ht="15" hidden="false" customHeight="false" outlineLevel="0" collapsed="false">
      <c r="A274" s="4" t="n">
        <v>2027</v>
      </c>
      <c r="B274" s="24" t="n">
        <v>30522990.9</v>
      </c>
      <c r="C274" s="24" t="n">
        <v>7181880.2</v>
      </c>
      <c r="D274" s="24" t="n">
        <v>680483149.4</v>
      </c>
    </row>
    <row r="275" customFormat="false" ht="15" hidden="false" customHeight="false" outlineLevel="0" collapsed="false">
      <c r="A275" s="4" t="n">
        <v>2028</v>
      </c>
      <c r="B275" s="24" t="n">
        <v>33244447.9</v>
      </c>
      <c r="C275" s="24" t="n">
        <v>7387655.1</v>
      </c>
      <c r="D275" s="24" t="n">
        <v>698133406.6</v>
      </c>
    </row>
    <row r="276" customFormat="false" ht="15" hidden="false" customHeight="false" outlineLevel="0" collapsed="false">
      <c r="A276" s="4" t="n">
        <v>2029</v>
      </c>
      <c r="B276" s="24" t="n">
        <v>36104537.6</v>
      </c>
      <c r="C276" s="24" t="n">
        <v>7600955.3</v>
      </c>
      <c r="D276" s="24" t="n">
        <v>716390035.1</v>
      </c>
    </row>
    <row r="277" customFormat="false" ht="15" hidden="false" customHeight="false" outlineLevel="0" collapsed="false">
      <c r="A277" s="4" t="n">
        <v>2030</v>
      </c>
      <c r="B277" s="24" t="n">
        <v>39075046.9</v>
      </c>
      <c r="C277" s="24" t="n">
        <v>7815009.4</v>
      </c>
      <c r="D277" s="24" t="n">
        <v>734610881.1</v>
      </c>
    </row>
    <row r="278" customFormat="false" ht="15" hidden="false" customHeight="false" outlineLevel="0" collapsed="false">
      <c r="A278" s="4" t="n">
        <v>2031</v>
      </c>
      <c r="B278" s="24" t="n">
        <v>42154778.1</v>
      </c>
      <c r="C278" s="24" t="n">
        <v>8029481.5</v>
      </c>
      <c r="D278" s="24" t="n">
        <v>752763894.5</v>
      </c>
    </row>
    <row r="279" customFormat="false" ht="15" hidden="false" customHeight="false" outlineLevel="0" collapsed="false">
      <c r="A279" s="4" t="n">
        <v>2032</v>
      </c>
      <c r="B279" s="24" t="n">
        <v>45342052.2</v>
      </c>
      <c r="C279" s="24" t="n">
        <v>8244009.5</v>
      </c>
      <c r="D279" s="24" t="n">
        <v>770814887.3</v>
      </c>
    </row>
    <row r="280" customFormat="false" ht="15" hidden="false" customHeight="false" outlineLevel="0" collapsed="false">
      <c r="A280" s="4" t="n">
        <v>2033</v>
      </c>
      <c r="B280" s="24" t="n">
        <v>75827308.6</v>
      </c>
      <c r="C280" s="24" t="n">
        <v>8169686.1</v>
      </c>
      <c r="D280" s="24" t="n">
        <v>761823230.8</v>
      </c>
    </row>
    <row r="281" customFormat="false" ht="15" hidden="false" customHeight="false" outlineLevel="0" collapsed="false">
      <c r="A281" s="4" t="n">
        <v>2034</v>
      </c>
      <c r="B281" s="24" t="n">
        <v>107436262.2</v>
      </c>
      <c r="C281" s="24" t="n">
        <v>8082211.2</v>
      </c>
      <c r="D281" s="24" t="n">
        <v>751645642.9</v>
      </c>
    </row>
    <row r="282" customFormat="false" ht="15" hidden="false" customHeight="false" outlineLevel="0" collapsed="false">
      <c r="A282" s="4" t="n">
        <v>2035</v>
      </c>
      <c r="B282" s="24" t="n">
        <v>140155691.5</v>
      </c>
      <c r="C282" s="24" t="n">
        <v>7981149.3</v>
      </c>
      <c r="D282" s="24" t="n">
        <v>740251597.4</v>
      </c>
    </row>
    <row r="283" customFormat="false" ht="15" hidden="false" customHeight="false" outlineLevel="0" collapsed="false">
      <c r="A283" s="4" t="n">
        <v>2036</v>
      </c>
      <c r="B283" s="24" t="n">
        <v>173967947.9</v>
      </c>
      <c r="C283" s="24" t="n">
        <v>7866078.4</v>
      </c>
      <c r="D283" s="24" t="n">
        <v>727612248.8</v>
      </c>
    </row>
    <row r="284" customFormat="false" ht="15" hidden="false" customHeight="false" outlineLevel="0" collapsed="false">
      <c r="A284" s="4" t="n">
        <v>2037</v>
      </c>
      <c r="B284" s="24" t="n">
        <v>208850663.5</v>
      </c>
      <c r="C284" s="24" t="n">
        <v>7736595.7</v>
      </c>
      <c r="D284" s="24" t="n">
        <v>713700950.6</v>
      </c>
    </row>
    <row r="285" customFormat="false" ht="15" hidden="false" customHeight="false" outlineLevel="0" collapsed="false">
      <c r="A285" s="4" t="n">
        <v>2038</v>
      </c>
      <c r="B285" s="24" t="n">
        <v>244776563.4</v>
      </c>
      <c r="C285" s="24" t="n">
        <v>7592325.2</v>
      </c>
      <c r="D285" s="24" t="n">
        <v>698493915.4</v>
      </c>
    </row>
    <row r="286" customFormat="false" ht="15" hidden="false" customHeight="false" outlineLevel="0" collapsed="false">
      <c r="A286" s="4" t="n">
        <v>2039</v>
      </c>
      <c r="B286" s="24" t="n">
        <v>281713073.8</v>
      </c>
      <c r="C286" s="24" t="n">
        <v>7432916.5</v>
      </c>
      <c r="D286" s="24" t="n">
        <v>681970086.5</v>
      </c>
    </row>
    <row r="287" customFormat="false" ht="15" hidden="false" customHeight="false" outlineLevel="0" collapsed="false">
      <c r="A287" s="4" t="n">
        <v>2040</v>
      </c>
      <c r="B287" s="24" t="n">
        <v>319622103.4</v>
      </c>
      <c r="C287" s="24" t="n">
        <v>7258051.5</v>
      </c>
      <c r="D287" s="24" t="n">
        <v>664111716</v>
      </c>
    </row>
    <row r="288" customFormat="false" ht="15" hidden="false" customHeight="false" outlineLevel="0" collapsed="false">
      <c r="A288" s="4" t="n">
        <v>2041</v>
      </c>
      <c r="B288" s="24" t="n">
        <v>358639157.3</v>
      </c>
      <c r="C288" s="24" t="n">
        <v>7070985.3</v>
      </c>
      <c r="D288" s="24" t="n">
        <v>645227412.3</v>
      </c>
    </row>
    <row r="289" customFormat="false" ht="15" hidden="false" customHeight="false" outlineLevel="0" collapsed="false">
      <c r="A289" s="4" t="n">
        <v>2042</v>
      </c>
      <c r="B289" s="24" t="n">
        <v>398774076.4</v>
      </c>
      <c r="C289" s="24" t="n">
        <v>6871168.9</v>
      </c>
      <c r="D289" s="24" t="n">
        <v>625276372.6</v>
      </c>
    </row>
    <row r="290" customFormat="false" ht="15" hidden="false" customHeight="false" outlineLevel="0" collapsed="false">
      <c r="A290" s="4" t="n">
        <v>2043</v>
      </c>
      <c r="B290" s="24" t="n">
        <v>440033270.4</v>
      </c>
      <c r="C290" s="24" t="n">
        <v>6658054.6</v>
      </c>
      <c r="D290" s="24" t="n">
        <v>604218457.9</v>
      </c>
    </row>
    <row r="291" customFormat="false" ht="15" hidden="false" customHeight="false" outlineLevel="0" collapsed="false">
      <c r="A291" s="4" t="n">
        <v>2044</v>
      </c>
      <c r="B291" s="24" t="n">
        <v>482418896.6</v>
      </c>
      <c r="C291" s="24" t="n">
        <v>6431093.2</v>
      </c>
      <c r="D291" s="24" t="n">
        <v>582013934.5</v>
      </c>
    </row>
    <row r="292" customFormat="false" ht="15" hidden="false" customHeight="false" outlineLevel="0" collapsed="false">
      <c r="A292" s="4" t="n">
        <v>2045</v>
      </c>
      <c r="B292" s="24" t="n">
        <v>525928572.8</v>
      </c>
      <c r="C292" s="24" t="n">
        <v>6189742</v>
      </c>
      <c r="D292" s="24" t="n">
        <v>558624214.8</v>
      </c>
    </row>
    <row r="293" customFormat="false" ht="15" hidden="false" customHeight="false" outlineLevel="0" collapsed="false">
      <c r="A293" s="4" t="n">
        <v>2046</v>
      </c>
      <c r="B293" s="24" t="n">
        <v>570554876</v>
      </c>
      <c r="C293" s="24" t="n">
        <v>5933469.3</v>
      </c>
      <c r="D293" s="24" t="n">
        <v>534012239.5</v>
      </c>
    </row>
    <row r="294" customFormat="false" ht="15" hidden="false" customHeight="false" outlineLevel="0" collapsed="false">
      <c r="A294" s="4" t="n">
        <v>2047</v>
      </c>
      <c r="B294" s="24" t="n">
        <v>616286161.2</v>
      </c>
      <c r="C294" s="24" t="n">
        <v>5661771.6</v>
      </c>
      <c r="D294" s="24" t="n">
        <v>508144002.9</v>
      </c>
    </row>
    <row r="295" customFormat="false" ht="15" hidden="false" customHeight="false" outlineLevel="0" collapsed="false">
      <c r="A295" s="4" t="n">
        <v>2048</v>
      </c>
      <c r="B295" s="24" t="n">
        <v>663104245</v>
      </c>
      <c r="C295" s="24" t="n">
        <v>5374157.1</v>
      </c>
      <c r="D295" s="24" t="n">
        <v>480987058.1</v>
      </c>
    </row>
    <row r="296" customFormat="false" ht="15" hidden="false" customHeight="false" outlineLevel="0" collapsed="false">
      <c r="A296" s="4" t="n">
        <v>2049</v>
      </c>
      <c r="B296" s="24" t="n">
        <v>710984400.9</v>
      </c>
      <c r="C296" s="24" t="n">
        <v>5070159</v>
      </c>
      <c r="D296" s="24" t="n">
        <v>452511694.1</v>
      </c>
    </row>
    <row r="297" customFormat="false" ht="15" hidden="false" customHeight="false" outlineLevel="0" collapsed="false">
      <c r="A297" s="4" t="n">
        <v>2050</v>
      </c>
      <c r="B297" s="24" t="n">
        <v>759895102.4</v>
      </c>
      <c r="C297" s="24" t="n">
        <v>4749344.4</v>
      </c>
      <c r="D297" s="24" t="n">
        <v>422691650.7</v>
      </c>
    </row>
    <row r="300" customFormat="false" ht="15" hidden="false" customHeight="false" outlineLevel="0" collapsed="false">
      <c r="A300" s="13" t="s">
        <v>240</v>
      </c>
    </row>
    <row r="301" customFormat="false" ht="15" hidden="false" customHeight="false" outlineLevel="0" collapsed="false">
      <c r="A301" s="10" t="s">
        <v>235</v>
      </c>
      <c r="B301" s="12"/>
      <c r="C301" s="12"/>
      <c r="D301" s="12"/>
      <c r="E301" s="12"/>
    </row>
    <row r="302" customFormat="false" ht="15" hidden="false" customHeight="false" outlineLevel="0" collapsed="false">
      <c r="A302" s="3" t="s">
        <v>113</v>
      </c>
      <c r="B302" s="3" t="s">
        <v>228</v>
      </c>
      <c r="C302" s="3" t="s">
        <v>229</v>
      </c>
      <c r="D302" s="3" t="s">
        <v>230</v>
      </c>
      <c r="E302" s="3" t="s">
        <v>58</v>
      </c>
    </row>
    <row r="303" customFormat="false" ht="15" hidden="false" customHeight="false" outlineLevel="0" collapsed="false">
      <c r="A303" s="4" t="n">
        <v>2023</v>
      </c>
      <c r="B303" s="25" t="n">
        <f aca="false">B208/60000</f>
        <v>338.047748333333</v>
      </c>
      <c r="C303" s="25" t="n">
        <f aca="false">C208/60000</f>
        <v>104.014691666667</v>
      </c>
      <c r="D303" s="25" t="n">
        <f aca="false">D208/60000</f>
        <v>9959.40676166667</v>
      </c>
      <c r="E303" s="26" t="n">
        <f aca="false">SUM(B303:D303)</f>
        <v>10401.4692016667</v>
      </c>
    </row>
    <row r="304" customFormat="false" ht="15" hidden="false" customHeight="false" outlineLevel="0" collapsed="false">
      <c r="A304" s="4" t="n">
        <v>2024</v>
      </c>
      <c r="B304" s="25" t="n">
        <f aca="false">B209/60000</f>
        <v>379.095296666667</v>
      </c>
      <c r="C304" s="25" t="n">
        <f aca="false">C209/60000</f>
        <v>108.312941666667</v>
      </c>
      <c r="D304" s="25" t="n">
        <f aca="false">D209/60000</f>
        <v>10343.88594</v>
      </c>
      <c r="E304" s="26" t="n">
        <f aca="false">SUM(B304:D304)</f>
        <v>10831.2941783333</v>
      </c>
    </row>
    <row r="305" customFormat="false" ht="15" hidden="false" customHeight="false" outlineLevel="0" collapsed="false">
      <c r="A305" s="4" t="n">
        <v>2025</v>
      </c>
      <c r="B305" s="25" t="n">
        <f aca="false">B210/60000</f>
        <v>423.871156666667</v>
      </c>
      <c r="C305" s="25" t="n">
        <f aca="false">C210/60000</f>
        <v>113.032308333333</v>
      </c>
      <c r="D305" s="25" t="n">
        <f aca="false">D210/60000</f>
        <v>10766.327395</v>
      </c>
      <c r="E305" s="26" t="n">
        <f aca="false">SUM(B305:D305)</f>
        <v>11303.23086</v>
      </c>
    </row>
    <row r="306" customFormat="false" ht="15" hidden="false" customHeight="false" outlineLevel="0" collapsed="false">
      <c r="A306" s="4" t="n">
        <v>2026</v>
      </c>
      <c r="B306" s="25" t="n">
        <f aca="false">B211/60000</f>
        <v>472.356238333333</v>
      </c>
      <c r="C306" s="25" t="n">
        <f aca="false">C211/60000</f>
        <v>118.08906</v>
      </c>
      <c r="D306" s="25" t="n">
        <f aca="false">D211/60000</f>
        <v>11218.460665</v>
      </c>
      <c r="E306" s="26" t="n">
        <f aca="false">SUM(B306:D306)</f>
        <v>11808.9059633333</v>
      </c>
    </row>
    <row r="307" customFormat="false" ht="15" hidden="false" customHeight="false" outlineLevel="0" collapsed="false">
      <c r="A307" s="4" t="n">
        <v>2027</v>
      </c>
      <c r="B307" s="25" t="n">
        <f aca="false">B212/60000</f>
        <v>524.450015</v>
      </c>
      <c r="C307" s="25" t="n">
        <f aca="false">C212/60000</f>
        <v>123.400003333333</v>
      </c>
      <c r="D307" s="25" t="n">
        <f aca="false">D212/60000</f>
        <v>11692.1503333333</v>
      </c>
      <c r="E307" s="26" t="n">
        <f aca="false">SUM(B307:D307)</f>
        <v>12340.0003516667</v>
      </c>
    </row>
    <row r="308" customFormat="false" ht="15" hidden="false" customHeight="false" outlineLevel="0" collapsed="false">
      <c r="A308" s="4" t="n">
        <v>2028</v>
      </c>
      <c r="B308" s="25" t="n">
        <f aca="false">B213/60000</f>
        <v>580.182336666667</v>
      </c>
      <c r="C308" s="25" t="n">
        <f aca="false">C213/60000</f>
        <v>128.929408333333</v>
      </c>
      <c r="D308" s="25" t="n">
        <f aca="false">D213/60000</f>
        <v>12183.829085</v>
      </c>
      <c r="E308" s="26" t="n">
        <f aca="false">SUM(B308:D308)</f>
        <v>12892.94083</v>
      </c>
    </row>
    <row r="309" customFormat="false" ht="15" hidden="false" customHeight="false" outlineLevel="0" collapsed="false">
      <c r="A309" s="4" t="n">
        <v>2029</v>
      </c>
      <c r="B309" s="25" t="n">
        <f aca="false">B214/60000</f>
        <v>640.151375</v>
      </c>
      <c r="C309" s="25" t="n">
        <f aca="false">C214/60000</f>
        <v>134.76871</v>
      </c>
      <c r="D309" s="25" t="n">
        <f aca="false">D214/60000</f>
        <v>12701.9509766667</v>
      </c>
      <c r="E309" s="26" t="n">
        <f aca="false">SUM(B309:D309)</f>
        <v>13476.8710616667</v>
      </c>
    </row>
    <row r="310" customFormat="false" ht="15" hidden="false" customHeight="false" outlineLevel="0" collapsed="false">
      <c r="A310" s="4" t="n">
        <v>2030</v>
      </c>
      <c r="B310" s="25" t="n">
        <f aca="false">B215/60000</f>
        <v>704.054898333333</v>
      </c>
      <c r="C310" s="25" t="n">
        <f aca="false">C215/60000</f>
        <v>140.81098</v>
      </c>
      <c r="D310" s="25" t="n">
        <f aca="false">D215/60000</f>
        <v>13236.2320916667</v>
      </c>
      <c r="E310" s="26" t="n">
        <f aca="false">SUM(B310:D310)</f>
        <v>14081.09797</v>
      </c>
    </row>
    <row r="311" customFormat="false" ht="15" hidden="false" customHeight="false" outlineLevel="0" collapsed="false">
      <c r="A311" s="4" t="n">
        <v>2031</v>
      </c>
      <c r="B311" s="25" t="n">
        <f aca="false">B216/60000</f>
        <v>772.065533333333</v>
      </c>
      <c r="C311" s="25" t="n">
        <f aca="false">C216/60000</f>
        <v>147.060101666667</v>
      </c>
      <c r="D311" s="25" t="n">
        <f aca="false">D216/60000</f>
        <v>13786.884515</v>
      </c>
      <c r="E311" s="26" t="n">
        <f aca="false">SUM(B311:D311)</f>
        <v>14706.01015</v>
      </c>
    </row>
    <row r="312" customFormat="false" ht="15" hidden="false" customHeight="false" outlineLevel="0" collapsed="false">
      <c r="A312" s="4" t="n">
        <v>2032</v>
      </c>
      <c r="B312" s="25" t="n">
        <f aca="false">B217/60000</f>
        <v>844.358513333333</v>
      </c>
      <c r="C312" s="25" t="n">
        <f aca="false">C217/60000</f>
        <v>153.51973</v>
      </c>
      <c r="D312" s="25" t="n">
        <f aca="false">D217/60000</f>
        <v>14354.094735</v>
      </c>
      <c r="E312" s="26" t="n">
        <f aca="false">SUM(B312:D312)</f>
        <v>15351.9729783333</v>
      </c>
    </row>
    <row r="313" customFormat="false" ht="15" hidden="false" customHeight="false" outlineLevel="0" collapsed="false">
      <c r="A313" s="4" t="n">
        <v>2033</v>
      </c>
      <c r="B313" s="25" t="n">
        <f aca="false">B218/60000</f>
        <v>921.111041666667</v>
      </c>
      <c r="C313" s="25" t="n">
        <f aca="false">C218/60000</f>
        <v>160.193225</v>
      </c>
      <c r="D313" s="25" t="n">
        <f aca="false">D218/60000</f>
        <v>14938.0181883333</v>
      </c>
      <c r="E313" s="26" t="n">
        <f aca="false">SUM(B313:D313)</f>
        <v>16019.322455</v>
      </c>
    </row>
    <row r="314" customFormat="false" ht="15" hidden="false" customHeight="false" outlineLevel="0" collapsed="false">
      <c r="A314" s="4" t="n">
        <v>2034</v>
      </c>
      <c r="B314" s="25" t="n">
        <f aca="false">B219/60000</f>
        <v>1002.50186833333</v>
      </c>
      <c r="C314" s="25" t="n">
        <f aca="false">C219/60000</f>
        <v>167.083645</v>
      </c>
      <c r="D314" s="25" t="n">
        <f aca="false">D219/60000</f>
        <v>15538.7789633333</v>
      </c>
      <c r="E314" s="26" t="n">
        <f aca="false">SUM(B314:D314)</f>
        <v>16708.3644766667</v>
      </c>
    </row>
    <row r="315" customFormat="false" ht="15" hidden="false" customHeight="false" outlineLevel="0" collapsed="false">
      <c r="A315" s="4" t="n">
        <v>2035</v>
      </c>
      <c r="B315" s="25" t="n">
        <f aca="false">B220/60000</f>
        <v>1088.71132166667</v>
      </c>
      <c r="C315" s="25" t="n">
        <f aca="false">C220/60000</f>
        <v>174.193811666667</v>
      </c>
      <c r="D315" s="25" t="n">
        <f aca="false">D220/60000</f>
        <v>16156.47601</v>
      </c>
      <c r="E315" s="26" t="n">
        <f aca="false">SUM(B315:D315)</f>
        <v>17419.3811433333</v>
      </c>
    </row>
    <row r="316" customFormat="false" ht="15" hidden="false" customHeight="false" outlineLevel="0" collapsed="false">
      <c r="A316" s="4" t="n">
        <v>2036</v>
      </c>
      <c r="B316" s="25" t="n">
        <f aca="false">B221/60000</f>
        <v>1179.92031666667</v>
      </c>
      <c r="C316" s="25" t="n">
        <f aca="false">C221/60000</f>
        <v>181.526203333333</v>
      </c>
      <c r="D316" s="25" t="n">
        <f aca="false">D221/60000</f>
        <v>16791.17374</v>
      </c>
      <c r="E316" s="26" t="n">
        <f aca="false">SUM(B316:D316)</f>
        <v>18152.62026</v>
      </c>
    </row>
    <row r="317" customFormat="false" ht="15" hidden="false" customHeight="false" outlineLevel="0" collapsed="false">
      <c r="A317" s="4" t="n">
        <v>2037</v>
      </c>
      <c r="B317" s="25" t="n">
        <f aca="false">B222/60000</f>
        <v>1276.31004333333</v>
      </c>
      <c r="C317" s="25" t="n">
        <f aca="false">C222/60000</f>
        <v>189.08297</v>
      </c>
      <c r="D317" s="25" t="n">
        <f aca="false">D222/60000</f>
        <v>17442.9039316667</v>
      </c>
      <c r="E317" s="26" t="n">
        <f aca="false">SUM(B317:D317)</f>
        <v>18908.296945</v>
      </c>
    </row>
    <row r="318" customFormat="false" ht="15" hidden="false" customHeight="false" outlineLevel="0" collapsed="false">
      <c r="A318" s="4" t="n">
        <v>2038</v>
      </c>
      <c r="B318" s="25" t="n">
        <f aca="false">B223/60000</f>
        <v>1378.062035</v>
      </c>
      <c r="C318" s="25" t="n">
        <f aca="false">C223/60000</f>
        <v>196.866005</v>
      </c>
      <c r="D318" s="25" t="n">
        <f aca="false">D223/60000</f>
        <v>18111.672455</v>
      </c>
      <c r="E318" s="26" t="n">
        <f aca="false">SUM(B318:D318)</f>
        <v>19686.600495</v>
      </c>
    </row>
    <row r="319" customFormat="false" ht="15" hidden="false" customHeight="false" outlineLevel="0" collapsed="false">
      <c r="A319" s="4" t="n">
        <v>2039</v>
      </c>
      <c r="B319" s="25" t="n">
        <f aca="false">B224/60000</f>
        <v>1485.35686833333</v>
      </c>
      <c r="C319" s="25" t="n">
        <f aca="false">C224/60000</f>
        <v>204.87681</v>
      </c>
      <c r="D319" s="25" t="n">
        <f aca="false">D224/60000</f>
        <v>18797.4472683333</v>
      </c>
      <c r="E319" s="26" t="n">
        <f aca="false">SUM(B319:D319)</f>
        <v>20487.6809466667</v>
      </c>
    </row>
    <row r="320" customFormat="false" ht="15" hidden="false" customHeight="false" outlineLevel="0" collapsed="false">
      <c r="A320" s="4" t="n">
        <v>2040</v>
      </c>
      <c r="B320" s="25" t="n">
        <f aca="false">B225/60000</f>
        <v>1598.373985</v>
      </c>
      <c r="C320" s="25" t="n">
        <f aca="false">C225/60000</f>
        <v>213.116531666667</v>
      </c>
      <c r="D320" s="25" t="n">
        <f aca="false">D225/60000</f>
        <v>19500.1626233333</v>
      </c>
      <c r="E320" s="26" t="n">
        <f aca="false">SUM(B320:D320)</f>
        <v>21311.65314</v>
      </c>
    </row>
    <row r="321" customFormat="false" ht="15" hidden="false" customHeight="false" outlineLevel="0" collapsed="false">
      <c r="A321" s="4" t="n">
        <v>2041</v>
      </c>
      <c r="B321" s="25" t="n">
        <f aca="false">B226/60000</f>
        <v>1718.15045</v>
      </c>
      <c r="C321" s="25" t="n">
        <f aca="false">C226/60000</f>
        <v>221.696831666667</v>
      </c>
      <c r="D321" s="25" t="n">
        <f aca="false">D226/60000</f>
        <v>20229.8359416667</v>
      </c>
      <c r="E321" s="26" t="n">
        <f aca="false">SUM(B321:D321)</f>
        <v>22169.6832233333</v>
      </c>
    </row>
    <row r="322" customFormat="false" ht="15" hidden="false" customHeight="false" outlineLevel="0" collapsed="false">
      <c r="A322" s="4" t="n">
        <v>2042</v>
      </c>
      <c r="B322" s="25" t="n">
        <f aca="false">B227/60000</f>
        <v>1845.049875</v>
      </c>
      <c r="C322" s="25" t="n">
        <f aca="false">C227/60000</f>
        <v>230.631235</v>
      </c>
      <c r="D322" s="25" t="n">
        <f aca="false">D227/60000</f>
        <v>20987.4423333333</v>
      </c>
      <c r="E322" s="26" t="n">
        <f aca="false">SUM(B322:D322)</f>
        <v>23063.1234433333</v>
      </c>
    </row>
    <row r="323" customFormat="false" ht="15" hidden="false" customHeight="false" outlineLevel="0" collapsed="false">
      <c r="A323" s="4" t="n">
        <v>2043</v>
      </c>
      <c r="B323" s="25" t="n">
        <f aca="false">B228/60000</f>
        <v>1979.45335833333</v>
      </c>
      <c r="C323" s="25" t="n">
        <f aca="false">C228/60000</f>
        <v>239.93374</v>
      </c>
      <c r="D323" s="25" t="n">
        <f aca="false">D228/60000</f>
        <v>21773.98694</v>
      </c>
      <c r="E323" s="26" t="n">
        <f aca="false">SUM(B323:D323)</f>
        <v>23993.3740383333</v>
      </c>
    </row>
    <row r="324" customFormat="false" ht="15" hidden="false" customHeight="false" outlineLevel="0" collapsed="false">
      <c r="A324" s="4" t="n">
        <v>2044</v>
      </c>
      <c r="B324" s="25" t="n">
        <f aca="false">B229/60000</f>
        <v>2121.75835833333</v>
      </c>
      <c r="C324" s="25" t="n">
        <f aca="false">C229/60000</f>
        <v>249.61863</v>
      </c>
      <c r="D324" s="25" t="n">
        <f aca="false">D229/60000</f>
        <v>22590.4860483333</v>
      </c>
      <c r="E324" s="26" t="n">
        <f aca="false">SUM(B324:D324)</f>
        <v>24961.8630366667</v>
      </c>
    </row>
    <row r="325" customFormat="false" ht="15" hidden="false" customHeight="false" outlineLevel="0" collapsed="false">
      <c r="A325" s="4" t="n">
        <v>2045</v>
      </c>
      <c r="B325" s="25" t="n">
        <f aca="false">B230/60000</f>
        <v>2272.38027</v>
      </c>
      <c r="C325" s="25" t="n">
        <f aca="false">C230/60000</f>
        <v>259.700601666667</v>
      </c>
      <c r="D325" s="25" t="n">
        <f aca="false">D230/60000</f>
        <v>23437.9793566667</v>
      </c>
      <c r="E325" s="26" t="n">
        <f aca="false">SUM(B325:D325)</f>
        <v>25970.0602283333</v>
      </c>
    </row>
    <row r="326" customFormat="false" ht="15" hidden="false" customHeight="false" outlineLevel="0" collapsed="false">
      <c r="A326" s="4" t="n">
        <v>2046</v>
      </c>
      <c r="B326" s="25" t="n">
        <f aca="false">B231/60000</f>
        <v>2431.753105</v>
      </c>
      <c r="C326" s="25" t="n">
        <f aca="false">C231/60000</f>
        <v>270.19479</v>
      </c>
      <c r="D326" s="25" t="n">
        <f aca="false">D231/60000</f>
        <v>24317.531055</v>
      </c>
      <c r="E326" s="26" t="n">
        <f aca="false">SUM(B326:D326)</f>
        <v>27019.47895</v>
      </c>
    </row>
    <row r="327" customFormat="false" ht="15" hidden="false" customHeight="false" outlineLevel="0" collapsed="false">
      <c r="A327" s="4" t="n">
        <v>2047</v>
      </c>
      <c r="B327" s="25" t="n">
        <f aca="false">B232/60000</f>
        <v>2600.33592166667</v>
      </c>
      <c r="C327" s="25" t="n">
        <f aca="false">C232/60000</f>
        <v>281.117396666667</v>
      </c>
      <c r="D327" s="25" t="n">
        <f aca="false">D232/60000</f>
        <v>25230.2863766667</v>
      </c>
      <c r="E327" s="26" t="n">
        <f aca="false">SUM(B327:D327)</f>
        <v>28111.739695</v>
      </c>
    </row>
    <row r="328" customFormat="false" ht="15" hidden="false" customHeight="false" outlineLevel="0" collapsed="false">
      <c r="A328" s="4" t="n">
        <v>2048</v>
      </c>
      <c r="B328" s="25" t="n">
        <f aca="false">B233/60000</f>
        <v>2778.60607333333</v>
      </c>
      <c r="C328" s="25" t="n">
        <f aca="false">C233/60000</f>
        <v>292.48485</v>
      </c>
      <c r="D328" s="25" t="n">
        <f aca="false">D233/60000</f>
        <v>26177.3940666667</v>
      </c>
      <c r="E328" s="26" t="n">
        <f aca="false">SUM(B328:D328)</f>
        <v>29248.48499</v>
      </c>
    </row>
    <row r="329" customFormat="false" ht="15" hidden="false" customHeight="false" outlineLevel="0" collapsed="false">
      <c r="A329" s="4" t="n">
        <v>2049</v>
      </c>
      <c r="B329" s="25" t="n">
        <f aca="false">B234/60000</f>
        <v>2967.062755</v>
      </c>
      <c r="C329" s="25" t="n">
        <f aca="false">C234/60000</f>
        <v>304.314128333333</v>
      </c>
      <c r="D329" s="25" t="n">
        <f aca="false">D234/60000</f>
        <v>27160.0359833333</v>
      </c>
      <c r="E329" s="26" t="n">
        <f aca="false">SUM(B329:D329)</f>
        <v>30431.4128666667</v>
      </c>
    </row>
    <row r="330" customFormat="false" ht="15" hidden="false" customHeight="false" outlineLevel="0" collapsed="false">
      <c r="A330" s="4" t="n">
        <v>2050</v>
      </c>
      <c r="B330" s="25" t="n">
        <f aca="false">B235/60000</f>
        <v>3166.22959333333</v>
      </c>
      <c r="C330" s="25" t="n">
        <f aca="false">C235/60000</f>
        <v>316.62296</v>
      </c>
      <c r="D330" s="25" t="n">
        <f aca="false">D235/60000</f>
        <v>28179.4433816667</v>
      </c>
      <c r="E330" s="26" t="n">
        <f aca="false">SUM(B330:D330)</f>
        <v>31662.295935</v>
      </c>
    </row>
    <row r="333" customFormat="false" ht="15" hidden="false" customHeight="false" outlineLevel="0" collapsed="false">
      <c r="A333" s="10" t="s">
        <v>236</v>
      </c>
      <c r="B333" s="12"/>
      <c r="C333" s="12"/>
      <c r="D333" s="12"/>
      <c r="E333" s="12"/>
    </row>
    <row r="334" customFormat="false" ht="15" hidden="false" customHeight="false" outlineLevel="0" collapsed="false">
      <c r="A334" s="3" t="s">
        <v>113</v>
      </c>
      <c r="B334" s="3" t="s">
        <v>228</v>
      </c>
      <c r="C334" s="3" t="s">
        <v>229</v>
      </c>
      <c r="D334" s="3" t="s">
        <v>230</v>
      </c>
      <c r="E334" s="3" t="s">
        <v>58</v>
      </c>
    </row>
    <row r="335" customFormat="false" ht="15" hidden="false" customHeight="false" outlineLevel="0" collapsed="false">
      <c r="A335" s="4" t="n">
        <v>2023</v>
      </c>
      <c r="B335" s="25" t="n">
        <f aca="false">B239/60000</f>
        <v>338.047748333333</v>
      </c>
      <c r="C335" s="25" t="n">
        <f aca="false">C239/60000</f>
        <v>104.014691666667</v>
      </c>
      <c r="D335" s="25" t="n">
        <f aca="false">D239/60000</f>
        <v>9959.40676166667</v>
      </c>
      <c r="E335" s="26" t="n">
        <f aca="false">SUM(B335:D335)</f>
        <v>10401.4692016667</v>
      </c>
    </row>
    <row r="336" customFormat="false" ht="15" hidden="false" customHeight="false" outlineLevel="0" collapsed="false">
      <c r="A336" s="4" t="n">
        <v>2024</v>
      </c>
      <c r="B336" s="25" t="n">
        <f aca="false">B240/60000</f>
        <v>379.095296666667</v>
      </c>
      <c r="C336" s="25" t="n">
        <f aca="false">C240/60000</f>
        <v>108.312941666667</v>
      </c>
      <c r="D336" s="25" t="n">
        <f aca="false">D240/60000</f>
        <v>10343.88594</v>
      </c>
      <c r="E336" s="26" t="n">
        <f aca="false">SUM(B336:D336)</f>
        <v>10831.2941783333</v>
      </c>
    </row>
    <row r="337" customFormat="false" ht="15" hidden="false" customHeight="false" outlineLevel="0" collapsed="false">
      <c r="A337" s="4" t="n">
        <v>2025</v>
      </c>
      <c r="B337" s="25" t="n">
        <f aca="false">B241/60000</f>
        <v>423.871156666667</v>
      </c>
      <c r="C337" s="25" t="n">
        <f aca="false">C241/60000</f>
        <v>113.032308333333</v>
      </c>
      <c r="D337" s="25" t="n">
        <f aca="false">D241/60000</f>
        <v>10766.327395</v>
      </c>
      <c r="E337" s="26" t="n">
        <f aca="false">SUM(B337:D337)</f>
        <v>11303.23086</v>
      </c>
    </row>
    <row r="338" customFormat="false" ht="15" hidden="false" customHeight="false" outlineLevel="0" collapsed="false">
      <c r="A338" s="4" t="n">
        <v>2026</v>
      </c>
      <c r="B338" s="25" t="n">
        <f aca="false">B242/60000</f>
        <v>472.356238333333</v>
      </c>
      <c r="C338" s="25" t="n">
        <f aca="false">C242/60000</f>
        <v>118.08906</v>
      </c>
      <c r="D338" s="25" t="n">
        <f aca="false">D242/60000</f>
        <v>11218.460665</v>
      </c>
      <c r="E338" s="26" t="n">
        <f aca="false">SUM(B338:D338)</f>
        <v>11808.9059633333</v>
      </c>
    </row>
    <row r="339" customFormat="false" ht="15" hidden="false" customHeight="false" outlineLevel="0" collapsed="false">
      <c r="A339" s="4" t="n">
        <v>2027</v>
      </c>
      <c r="B339" s="25" t="n">
        <f aca="false">B243/60000</f>
        <v>524.450015</v>
      </c>
      <c r="C339" s="25" t="n">
        <f aca="false">C243/60000</f>
        <v>123.400003333333</v>
      </c>
      <c r="D339" s="25" t="n">
        <f aca="false">D243/60000</f>
        <v>11692.1503333333</v>
      </c>
      <c r="E339" s="26" t="n">
        <f aca="false">SUM(B339:D339)</f>
        <v>12340.0003516667</v>
      </c>
    </row>
    <row r="340" customFormat="false" ht="15" hidden="false" customHeight="false" outlineLevel="0" collapsed="false">
      <c r="A340" s="4" t="n">
        <v>2028</v>
      </c>
      <c r="B340" s="25" t="n">
        <f aca="false">B244/60000</f>
        <v>580.182336666667</v>
      </c>
      <c r="C340" s="25" t="n">
        <f aca="false">C244/60000</f>
        <v>128.929408333333</v>
      </c>
      <c r="D340" s="25" t="n">
        <f aca="false">D244/60000</f>
        <v>12183.829085</v>
      </c>
      <c r="E340" s="26" t="n">
        <f aca="false">SUM(B340:D340)</f>
        <v>12892.94083</v>
      </c>
    </row>
    <row r="341" customFormat="false" ht="15" hidden="false" customHeight="false" outlineLevel="0" collapsed="false">
      <c r="A341" s="4" t="n">
        <v>2029</v>
      </c>
      <c r="B341" s="25" t="n">
        <f aca="false">B245/60000</f>
        <v>640.151375</v>
      </c>
      <c r="C341" s="25" t="n">
        <f aca="false">C245/60000</f>
        <v>134.76871</v>
      </c>
      <c r="D341" s="25" t="n">
        <f aca="false">D245/60000</f>
        <v>12701.9509766667</v>
      </c>
      <c r="E341" s="26" t="n">
        <f aca="false">SUM(B341:D341)</f>
        <v>13476.8710616667</v>
      </c>
    </row>
    <row r="342" customFormat="false" ht="15" hidden="false" customHeight="false" outlineLevel="0" collapsed="false">
      <c r="A342" s="4" t="n">
        <v>2030</v>
      </c>
      <c r="B342" s="25" t="n">
        <f aca="false">B246/60000</f>
        <v>704.054898333333</v>
      </c>
      <c r="C342" s="25" t="n">
        <f aca="false">C246/60000</f>
        <v>140.81098</v>
      </c>
      <c r="D342" s="25" t="n">
        <f aca="false">D246/60000</f>
        <v>13236.2320916667</v>
      </c>
      <c r="E342" s="26" t="n">
        <f aca="false">SUM(B342:D342)</f>
        <v>14081.09797</v>
      </c>
    </row>
    <row r="343" customFormat="false" ht="15" hidden="false" customHeight="false" outlineLevel="0" collapsed="false">
      <c r="A343" s="4" t="n">
        <v>2031</v>
      </c>
      <c r="B343" s="25" t="n">
        <f aca="false">B247/60000</f>
        <v>772.065533333333</v>
      </c>
      <c r="C343" s="25" t="n">
        <f aca="false">C247/60000</f>
        <v>147.060101666667</v>
      </c>
      <c r="D343" s="25" t="n">
        <f aca="false">D247/60000</f>
        <v>13786.884515</v>
      </c>
      <c r="E343" s="26" t="n">
        <f aca="false">SUM(B343:D343)</f>
        <v>14706.01015</v>
      </c>
    </row>
    <row r="344" customFormat="false" ht="15" hidden="false" customHeight="false" outlineLevel="0" collapsed="false">
      <c r="A344" s="4" t="n">
        <v>2032</v>
      </c>
      <c r="B344" s="25" t="n">
        <f aca="false">B248/60000</f>
        <v>844.358513333333</v>
      </c>
      <c r="C344" s="25" t="n">
        <f aca="false">C248/60000</f>
        <v>153.51973</v>
      </c>
      <c r="D344" s="25" t="n">
        <f aca="false">D248/60000</f>
        <v>14354.094735</v>
      </c>
      <c r="E344" s="26" t="n">
        <f aca="false">SUM(B344:D344)</f>
        <v>15351.9729783333</v>
      </c>
    </row>
    <row r="345" customFormat="false" ht="15" hidden="false" customHeight="false" outlineLevel="0" collapsed="false">
      <c r="A345" s="4" t="n">
        <v>2033</v>
      </c>
      <c r="B345" s="25" t="n">
        <f aca="false">B249/60000</f>
        <v>921.111041666667</v>
      </c>
      <c r="C345" s="25" t="n">
        <f aca="false">C249/60000</f>
        <v>160.193225</v>
      </c>
      <c r="D345" s="25" t="n">
        <f aca="false">D249/60000</f>
        <v>14938.0181883333</v>
      </c>
      <c r="E345" s="26" t="n">
        <f aca="false">SUM(B345:D345)</f>
        <v>16019.322455</v>
      </c>
    </row>
    <row r="346" customFormat="false" ht="15" hidden="false" customHeight="false" outlineLevel="0" collapsed="false">
      <c r="A346" s="4" t="n">
        <v>2034</v>
      </c>
      <c r="B346" s="25" t="n">
        <f aca="false">B250/60000</f>
        <v>1002.50186833333</v>
      </c>
      <c r="C346" s="25" t="n">
        <f aca="false">C250/60000</f>
        <v>167.083645</v>
      </c>
      <c r="D346" s="25" t="n">
        <f aca="false">D250/60000</f>
        <v>15538.7789633333</v>
      </c>
      <c r="E346" s="26" t="n">
        <f aca="false">SUM(B346:D346)</f>
        <v>16708.3644766667</v>
      </c>
    </row>
    <row r="347" customFormat="false" ht="15" hidden="false" customHeight="false" outlineLevel="0" collapsed="false">
      <c r="A347" s="4" t="n">
        <v>2035</v>
      </c>
      <c r="B347" s="25" t="n">
        <f aca="false">B251/60000</f>
        <v>1088.71132166667</v>
      </c>
      <c r="C347" s="25" t="n">
        <f aca="false">C251/60000</f>
        <v>174.193811666667</v>
      </c>
      <c r="D347" s="25" t="n">
        <f aca="false">D251/60000</f>
        <v>16156.47601</v>
      </c>
      <c r="E347" s="26" t="n">
        <f aca="false">SUM(B347:D347)</f>
        <v>17419.3811433333</v>
      </c>
    </row>
    <row r="348" customFormat="false" ht="15" hidden="false" customHeight="false" outlineLevel="0" collapsed="false">
      <c r="A348" s="4" t="n">
        <v>2036</v>
      </c>
      <c r="B348" s="25" t="n">
        <f aca="false">B252/60000</f>
        <v>1179.92031666667</v>
      </c>
      <c r="C348" s="25" t="n">
        <f aca="false">C252/60000</f>
        <v>181.526203333333</v>
      </c>
      <c r="D348" s="25" t="n">
        <f aca="false">D252/60000</f>
        <v>16791.17374</v>
      </c>
      <c r="E348" s="26" t="n">
        <f aca="false">SUM(B348:D348)</f>
        <v>18152.62026</v>
      </c>
    </row>
    <row r="349" customFormat="false" ht="15" hidden="false" customHeight="false" outlineLevel="0" collapsed="false">
      <c r="A349" s="4" t="n">
        <v>2037</v>
      </c>
      <c r="B349" s="25" t="n">
        <f aca="false">B253/60000</f>
        <v>1276.31004333333</v>
      </c>
      <c r="C349" s="25" t="n">
        <f aca="false">C253/60000</f>
        <v>189.08297</v>
      </c>
      <c r="D349" s="25" t="n">
        <f aca="false">D253/60000</f>
        <v>17442.9039316667</v>
      </c>
      <c r="E349" s="26" t="n">
        <f aca="false">SUM(B349:D349)</f>
        <v>18908.296945</v>
      </c>
    </row>
    <row r="350" customFormat="false" ht="15" hidden="false" customHeight="false" outlineLevel="0" collapsed="false">
      <c r="A350" s="4" t="n">
        <v>2038</v>
      </c>
      <c r="B350" s="25" t="n">
        <f aca="false">B254/60000</f>
        <v>1378.062035</v>
      </c>
      <c r="C350" s="25" t="n">
        <f aca="false">C254/60000</f>
        <v>196.866005</v>
      </c>
      <c r="D350" s="25" t="n">
        <f aca="false">D254/60000</f>
        <v>18111.672455</v>
      </c>
      <c r="E350" s="26" t="n">
        <f aca="false">SUM(B350:D350)</f>
        <v>19686.600495</v>
      </c>
    </row>
    <row r="351" customFormat="false" ht="15" hidden="false" customHeight="false" outlineLevel="0" collapsed="false">
      <c r="A351" s="4" t="n">
        <v>2039</v>
      </c>
      <c r="B351" s="25" t="n">
        <f aca="false">B255/60000</f>
        <v>1485.35686833333</v>
      </c>
      <c r="C351" s="25" t="n">
        <f aca="false">C255/60000</f>
        <v>204.87681</v>
      </c>
      <c r="D351" s="25" t="n">
        <f aca="false">D255/60000</f>
        <v>18797.4472683333</v>
      </c>
      <c r="E351" s="26" t="n">
        <f aca="false">SUM(B351:D351)</f>
        <v>20487.6809466667</v>
      </c>
    </row>
    <row r="352" customFormat="false" ht="15" hidden="false" customHeight="false" outlineLevel="0" collapsed="false">
      <c r="A352" s="4" t="n">
        <v>2040</v>
      </c>
      <c r="B352" s="25" t="n">
        <f aca="false">B256/60000</f>
        <v>1598.373985</v>
      </c>
      <c r="C352" s="25" t="n">
        <f aca="false">C256/60000</f>
        <v>213.116531666667</v>
      </c>
      <c r="D352" s="25" t="n">
        <f aca="false">D256/60000</f>
        <v>19500.1626233333</v>
      </c>
      <c r="E352" s="26" t="n">
        <f aca="false">SUM(B352:D352)</f>
        <v>21311.65314</v>
      </c>
    </row>
    <row r="353" customFormat="false" ht="15" hidden="false" customHeight="false" outlineLevel="0" collapsed="false">
      <c r="A353" s="4" t="n">
        <v>2041</v>
      </c>
      <c r="B353" s="25" t="n">
        <f aca="false">B257/60000</f>
        <v>1718.15045</v>
      </c>
      <c r="C353" s="25" t="n">
        <f aca="false">C257/60000</f>
        <v>221.696831666667</v>
      </c>
      <c r="D353" s="25" t="n">
        <f aca="false">D257/60000</f>
        <v>20229.8359416667</v>
      </c>
      <c r="E353" s="26" t="n">
        <f aca="false">SUM(B353:D353)</f>
        <v>22169.6832233333</v>
      </c>
    </row>
    <row r="354" customFormat="false" ht="15" hidden="false" customHeight="false" outlineLevel="0" collapsed="false">
      <c r="A354" s="4" t="n">
        <v>2042</v>
      </c>
      <c r="B354" s="25" t="n">
        <f aca="false">B258/60000</f>
        <v>1845.049875</v>
      </c>
      <c r="C354" s="25" t="n">
        <f aca="false">C258/60000</f>
        <v>230.631235</v>
      </c>
      <c r="D354" s="25" t="n">
        <f aca="false">D258/60000</f>
        <v>20987.4423333333</v>
      </c>
      <c r="E354" s="26" t="n">
        <f aca="false">SUM(B354:D354)</f>
        <v>23063.1234433333</v>
      </c>
    </row>
    <row r="355" customFormat="false" ht="15" hidden="false" customHeight="false" outlineLevel="0" collapsed="false">
      <c r="A355" s="4" t="n">
        <v>2043</v>
      </c>
      <c r="B355" s="25" t="n">
        <f aca="false">B259/60000</f>
        <v>1979.45335833333</v>
      </c>
      <c r="C355" s="25" t="n">
        <f aca="false">C259/60000</f>
        <v>239.93374</v>
      </c>
      <c r="D355" s="25" t="n">
        <f aca="false">D259/60000</f>
        <v>21773.98694</v>
      </c>
      <c r="E355" s="26" t="n">
        <f aca="false">SUM(B355:D355)</f>
        <v>23993.3740383333</v>
      </c>
    </row>
    <row r="356" customFormat="false" ht="15" hidden="false" customHeight="false" outlineLevel="0" collapsed="false">
      <c r="A356" s="4" t="n">
        <v>2044</v>
      </c>
      <c r="B356" s="25" t="n">
        <f aca="false">B260/60000</f>
        <v>2121.75835833333</v>
      </c>
      <c r="C356" s="25" t="n">
        <f aca="false">C260/60000</f>
        <v>249.61863</v>
      </c>
      <c r="D356" s="25" t="n">
        <f aca="false">D260/60000</f>
        <v>22590.4860483333</v>
      </c>
      <c r="E356" s="26" t="n">
        <f aca="false">SUM(B356:D356)</f>
        <v>24961.8630366667</v>
      </c>
    </row>
    <row r="357" customFormat="false" ht="15" hidden="false" customHeight="false" outlineLevel="0" collapsed="false">
      <c r="A357" s="4" t="n">
        <v>2045</v>
      </c>
      <c r="B357" s="25" t="n">
        <f aca="false">B261/60000</f>
        <v>2272.38027</v>
      </c>
      <c r="C357" s="25" t="n">
        <f aca="false">C261/60000</f>
        <v>259.700601666667</v>
      </c>
      <c r="D357" s="25" t="n">
        <f aca="false">D261/60000</f>
        <v>23437.9793566667</v>
      </c>
      <c r="E357" s="26" t="n">
        <f aca="false">SUM(B357:D357)</f>
        <v>25970.0602283333</v>
      </c>
    </row>
    <row r="358" customFormat="false" ht="15" hidden="false" customHeight="false" outlineLevel="0" collapsed="false">
      <c r="A358" s="4" t="n">
        <v>2046</v>
      </c>
      <c r="B358" s="25" t="n">
        <f aca="false">B262/60000</f>
        <v>2431.753105</v>
      </c>
      <c r="C358" s="25" t="n">
        <f aca="false">C262/60000</f>
        <v>270.19479</v>
      </c>
      <c r="D358" s="25" t="n">
        <f aca="false">D262/60000</f>
        <v>24317.531055</v>
      </c>
      <c r="E358" s="26" t="n">
        <f aca="false">SUM(B358:D358)</f>
        <v>27019.47895</v>
      </c>
    </row>
    <row r="359" customFormat="false" ht="15" hidden="false" customHeight="false" outlineLevel="0" collapsed="false">
      <c r="A359" s="4" t="n">
        <v>2047</v>
      </c>
      <c r="B359" s="25" t="n">
        <f aca="false">B263/60000</f>
        <v>2600.33592166667</v>
      </c>
      <c r="C359" s="25" t="n">
        <f aca="false">C263/60000</f>
        <v>281.117396666667</v>
      </c>
      <c r="D359" s="25" t="n">
        <f aca="false">D263/60000</f>
        <v>25230.2863766667</v>
      </c>
      <c r="E359" s="26" t="n">
        <f aca="false">SUM(B359:D359)</f>
        <v>28111.739695</v>
      </c>
    </row>
    <row r="360" customFormat="false" ht="15" hidden="false" customHeight="false" outlineLevel="0" collapsed="false">
      <c r="A360" s="4" t="n">
        <v>2048</v>
      </c>
      <c r="B360" s="25" t="n">
        <f aca="false">B264/60000</f>
        <v>2778.60607333333</v>
      </c>
      <c r="C360" s="25" t="n">
        <f aca="false">C264/60000</f>
        <v>292.48485</v>
      </c>
      <c r="D360" s="25" t="n">
        <f aca="false">D264/60000</f>
        <v>26177.3940666667</v>
      </c>
      <c r="E360" s="26" t="n">
        <f aca="false">SUM(B360:D360)</f>
        <v>29248.48499</v>
      </c>
    </row>
    <row r="361" customFormat="false" ht="15" hidden="false" customHeight="false" outlineLevel="0" collapsed="false">
      <c r="A361" s="4" t="n">
        <v>2049</v>
      </c>
      <c r="B361" s="25" t="n">
        <f aca="false">B265/60000</f>
        <v>2967.062755</v>
      </c>
      <c r="C361" s="25" t="n">
        <f aca="false">C265/60000</f>
        <v>304.314128333333</v>
      </c>
      <c r="D361" s="25" t="n">
        <f aca="false">D265/60000</f>
        <v>27160.0359833333</v>
      </c>
      <c r="E361" s="26" t="n">
        <f aca="false">SUM(B361:D361)</f>
        <v>30431.4128666667</v>
      </c>
    </row>
    <row r="362" customFormat="false" ht="15" hidden="false" customHeight="false" outlineLevel="0" collapsed="false">
      <c r="A362" s="4" t="n">
        <v>2050</v>
      </c>
      <c r="B362" s="25" t="n">
        <f aca="false">B266/60000</f>
        <v>3166.22959333333</v>
      </c>
      <c r="C362" s="25" t="n">
        <f aca="false">C266/60000</f>
        <v>316.62296</v>
      </c>
      <c r="D362" s="25" t="n">
        <f aca="false">D266/60000</f>
        <v>28179.4433816667</v>
      </c>
      <c r="E362" s="26" t="n">
        <f aca="false">SUM(B362:D362)</f>
        <v>31662.295935</v>
      </c>
    </row>
    <row r="365" customFormat="false" ht="15" hidden="false" customHeight="false" outlineLevel="0" collapsed="false">
      <c r="A365" s="10" t="s">
        <v>237</v>
      </c>
      <c r="B365" s="12"/>
      <c r="C365" s="12"/>
      <c r="D365" s="12"/>
      <c r="E365" s="12"/>
    </row>
    <row r="366" customFormat="false" ht="15" hidden="false" customHeight="false" outlineLevel="0" collapsed="false">
      <c r="A366" s="3" t="s">
        <v>113</v>
      </c>
      <c r="B366" s="3" t="s">
        <v>228</v>
      </c>
      <c r="C366" s="3" t="s">
        <v>229</v>
      </c>
      <c r="D366" s="3" t="s">
        <v>230</v>
      </c>
      <c r="E366" s="3" t="s">
        <v>58</v>
      </c>
    </row>
    <row r="367" customFormat="false" ht="15" hidden="false" customHeight="false" outlineLevel="0" collapsed="false">
      <c r="A367" s="4" t="n">
        <v>2023</v>
      </c>
      <c r="B367" s="25" t="n">
        <f aca="false">B270/60000</f>
        <v>338.047748333333</v>
      </c>
      <c r="C367" s="25" t="n">
        <f aca="false">C270/60000</f>
        <v>104.014691666667</v>
      </c>
      <c r="D367" s="25" t="n">
        <f aca="false">D270/60000</f>
        <v>9959.40676166667</v>
      </c>
      <c r="E367" s="26" t="n">
        <f aca="false">SUM(B367:D367)</f>
        <v>10401.4692016667</v>
      </c>
    </row>
    <row r="368" customFormat="false" ht="15" hidden="false" customHeight="false" outlineLevel="0" collapsed="false">
      <c r="A368" s="4" t="n">
        <v>2024</v>
      </c>
      <c r="B368" s="25" t="n">
        <f aca="false">B271/60000</f>
        <v>379.095296666667</v>
      </c>
      <c r="C368" s="25" t="n">
        <f aca="false">C271/60000</f>
        <v>108.312941666667</v>
      </c>
      <c r="D368" s="25" t="n">
        <f aca="false">D271/60000</f>
        <v>10343.88594</v>
      </c>
      <c r="E368" s="26" t="n">
        <f aca="false">SUM(B368:D368)</f>
        <v>10831.2941783333</v>
      </c>
    </row>
    <row r="369" customFormat="false" ht="15" hidden="false" customHeight="false" outlineLevel="0" collapsed="false">
      <c r="A369" s="4" t="n">
        <v>2025</v>
      </c>
      <c r="B369" s="25" t="n">
        <f aca="false">B272/60000</f>
        <v>423.871156666667</v>
      </c>
      <c r="C369" s="25" t="n">
        <f aca="false">C272/60000</f>
        <v>113.032308333333</v>
      </c>
      <c r="D369" s="25" t="n">
        <f aca="false">D272/60000</f>
        <v>10766.327395</v>
      </c>
      <c r="E369" s="26" t="n">
        <f aca="false">SUM(B369:D369)</f>
        <v>11303.23086</v>
      </c>
    </row>
    <row r="370" customFormat="false" ht="15" hidden="false" customHeight="false" outlineLevel="0" collapsed="false">
      <c r="A370" s="4" t="n">
        <v>2026</v>
      </c>
      <c r="B370" s="25" t="n">
        <f aca="false">B273/60000</f>
        <v>465.270895</v>
      </c>
      <c r="C370" s="25" t="n">
        <f aca="false">C273/60000</f>
        <v>116.317723333333</v>
      </c>
      <c r="D370" s="25" t="n">
        <f aca="false">D273/60000</f>
        <v>11050.183755</v>
      </c>
      <c r="E370" s="26" t="n">
        <f aca="false">SUM(B370:D370)</f>
        <v>11631.7723733333</v>
      </c>
    </row>
    <row r="371" customFormat="false" ht="15" hidden="false" customHeight="false" outlineLevel="0" collapsed="false">
      <c r="A371" s="4" t="n">
        <v>2027</v>
      </c>
      <c r="B371" s="25" t="n">
        <f aca="false">B274/60000</f>
        <v>508.716515</v>
      </c>
      <c r="C371" s="25" t="n">
        <f aca="false">C274/60000</f>
        <v>119.698003333333</v>
      </c>
      <c r="D371" s="25" t="n">
        <f aca="false">D274/60000</f>
        <v>11341.3858233333</v>
      </c>
      <c r="E371" s="26" t="n">
        <f aca="false">SUM(B371:D371)</f>
        <v>11969.8003416667</v>
      </c>
    </row>
    <row r="372" customFormat="false" ht="15" hidden="false" customHeight="false" outlineLevel="0" collapsed="false">
      <c r="A372" s="4" t="n">
        <v>2028</v>
      </c>
      <c r="B372" s="25" t="n">
        <f aca="false">B275/60000</f>
        <v>554.074131666667</v>
      </c>
      <c r="C372" s="25" t="n">
        <f aca="false">C275/60000</f>
        <v>123.127585</v>
      </c>
      <c r="D372" s="25" t="n">
        <f aca="false">D275/60000</f>
        <v>11635.5567766667</v>
      </c>
      <c r="E372" s="26" t="n">
        <f aca="false">SUM(B372:D372)</f>
        <v>12312.7584933333</v>
      </c>
    </row>
    <row r="373" customFormat="false" ht="15" hidden="false" customHeight="false" outlineLevel="0" collapsed="false">
      <c r="A373" s="4" t="n">
        <v>2029</v>
      </c>
      <c r="B373" s="25" t="n">
        <f aca="false">B276/60000</f>
        <v>601.742293333333</v>
      </c>
      <c r="C373" s="25" t="n">
        <f aca="false">C276/60000</f>
        <v>126.682588333333</v>
      </c>
      <c r="D373" s="25" t="n">
        <f aca="false">D276/60000</f>
        <v>11939.8339183333</v>
      </c>
      <c r="E373" s="26" t="n">
        <f aca="false">SUM(B373:D373)</f>
        <v>12668.2588</v>
      </c>
    </row>
    <row r="374" customFormat="false" ht="15" hidden="false" customHeight="false" outlineLevel="0" collapsed="false">
      <c r="A374" s="4" t="n">
        <v>2030</v>
      </c>
      <c r="B374" s="25" t="n">
        <f aca="false">B277/60000</f>
        <v>651.250781666667</v>
      </c>
      <c r="C374" s="25" t="n">
        <f aca="false">C277/60000</f>
        <v>130.250156666667</v>
      </c>
      <c r="D374" s="25" t="n">
        <f aca="false">D277/60000</f>
        <v>12243.514685</v>
      </c>
      <c r="E374" s="26" t="n">
        <f aca="false">SUM(B374:D374)</f>
        <v>13025.0156233333</v>
      </c>
    </row>
    <row r="375" customFormat="false" ht="15" hidden="false" customHeight="false" outlineLevel="0" collapsed="false">
      <c r="A375" s="4" t="n">
        <v>2031</v>
      </c>
      <c r="B375" s="25" t="n">
        <f aca="false">B278/60000</f>
        <v>702.579635</v>
      </c>
      <c r="C375" s="25" t="n">
        <f aca="false">C278/60000</f>
        <v>133.824691666667</v>
      </c>
      <c r="D375" s="25" t="n">
        <f aca="false">D278/60000</f>
        <v>12546.0649083333</v>
      </c>
      <c r="E375" s="26" t="n">
        <f aca="false">SUM(B375:D375)</f>
        <v>13382.469235</v>
      </c>
    </row>
    <row r="376" customFormat="false" ht="15" hidden="false" customHeight="false" outlineLevel="0" collapsed="false">
      <c r="A376" s="4" t="n">
        <v>2032</v>
      </c>
      <c r="B376" s="25" t="n">
        <f aca="false">B279/60000</f>
        <v>755.70087</v>
      </c>
      <c r="C376" s="25" t="n">
        <f aca="false">C279/60000</f>
        <v>137.400158333333</v>
      </c>
      <c r="D376" s="25" t="n">
        <f aca="false">D279/60000</f>
        <v>12846.9147883333</v>
      </c>
      <c r="E376" s="26" t="n">
        <f aca="false">SUM(B376:D376)</f>
        <v>13740.0158166667</v>
      </c>
    </row>
    <row r="377" customFormat="false" ht="15" hidden="false" customHeight="false" outlineLevel="0" collapsed="false">
      <c r="A377" s="4" t="n">
        <v>2033</v>
      </c>
      <c r="B377" s="25" t="n">
        <f aca="false">B280/60000</f>
        <v>1263.78847666667</v>
      </c>
      <c r="C377" s="25" t="n">
        <f aca="false">C280/60000</f>
        <v>136.161435</v>
      </c>
      <c r="D377" s="25" t="n">
        <f aca="false">D280/60000</f>
        <v>12697.0538466667</v>
      </c>
      <c r="E377" s="26" t="n">
        <f aca="false">SUM(B377:D377)</f>
        <v>14097.0037583333</v>
      </c>
    </row>
    <row r="378" customFormat="false" ht="15" hidden="false" customHeight="false" outlineLevel="0" collapsed="false">
      <c r="A378" s="4" t="n">
        <v>2034</v>
      </c>
      <c r="B378" s="25" t="n">
        <f aca="false">B281/60000</f>
        <v>1790.60437</v>
      </c>
      <c r="C378" s="25" t="n">
        <f aca="false">C281/60000</f>
        <v>134.70352</v>
      </c>
      <c r="D378" s="25" t="n">
        <f aca="false">D281/60000</f>
        <v>12527.4273816667</v>
      </c>
      <c r="E378" s="26" t="n">
        <f aca="false">SUM(B378:D378)</f>
        <v>14452.7352716667</v>
      </c>
    </row>
    <row r="379" customFormat="false" ht="15" hidden="false" customHeight="false" outlineLevel="0" collapsed="false">
      <c r="A379" s="4" t="n">
        <v>2035</v>
      </c>
      <c r="B379" s="25" t="n">
        <f aca="false">B282/60000</f>
        <v>2335.92819166667</v>
      </c>
      <c r="C379" s="25" t="n">
        <f aca="false">C282/60000</f>
        <v>133.019155</v>
      </c>
      <c r="D379" s="25" t="n">
        <f aca="false">D282/60000</f>
        <v>12337.5266233333</v>
      </c>
      <c r="E379" s="26" t="n">
        <f aca="false">SUM(B379:D379)</f>
        <v>14806.47397</v>
      </c>
    </row>
    <row r="380" customFormat="false" ht="15" hidden="false" customHeight="false" outlineLevel="0" collapsed="false">
      <c r="A380" s="4" t="n">
        <v>2036</v>
      </c>
      <c r="B380" s="25" t="n">
        <f aca="false">B283/60000</f>
        <v>2899.46579833333</v>
      </c>
      <c r="C380" s="25" t="n">
        <f aca="false">C283/60000</f>
        <v>131.101306666667</v>
      </c>
      <c r="D380" s="25" t="n">
        <f aca="false">D283/60000</f>
        <v>12126.8708133333</v>
      </c>
      <c r="E380" s="26" t="n">
        <f aca="false">SUM(B380:D380)</f>
        <v>15157.4379183333</v>
      </c>
    </row>
    <row r="381" customFormat="false" ht="15" hidden="false" customHeight="false" outlineLevel="0" collapsed="false">
      <c r="A381" s="4" t="n">
        <v>2037</v>
      </c>
      <c r="B381" s="25" t="n">
        <f aca="false">B284/60000</f>
        <v>3480.84439166667</v>
      </c>
      <c r="C381" s="25" t="n">
        <f aca="false">C284/60000</f>
        <v>128.943261666667</v>
      </c>
      <c r="D381" s="25" t="n">
        <f aca="false">D284/60000</f>
        <v>11895.0158433333</v>
      </c>
      <c r="E381" s="26" t="n">
        <f aca="false">SUM(B381:D381)</f>
        <v>15504.8034966667</v>
      </c>
    </row>
    <row r="382" customFormat="false" ht="15" hidden="false" customHeight="false" outlineLevel="0" collapsed="false">
      <c r="A382" s="4" t="n">
        <v>2038</v>
      </c>
      <c r="B382" s="25" t="n">
        <f aca="false">B285/60000</f>
        <v>4079.60939</v>
      </c>
      <c r="C382" s="25" t="n">
        <f aca="false">C285/60000</f>
        <v>126.538753333333</v>
      </c>
      <c r="D382" s="25" t="n">
        <f aca="false">D285/60000</f>
        <v>11641.5652566667</v>
      </c>
      <c r="E382" s="26" t="n">
        <f aca="false">SUM(B382:D382)</f>
        <v>15847.7134</v>
      </c>
    </row>
    <row r="383" customFormat="false" ht="15" hidden="false" customHeight="false" outlineLevel="0" collapsed="false">
      <c r="A383" s="4" t="n">
        <v>2039</v>
      </c>
      <c r="B383" s="25" t="n">
        <f aca="false">B286/60000</f>
        <v>4695.21789666667</v>
      </c>
      <c r="C383" s="25" t="n">
        <f aca="false">C286/60000</f>
        <v>123.881941666667</v>
      </c>
      <c r="D383" s="25" t="n">
        <f aca="false">D286/60000</f>
        <v>11366.1681083333</v>
      </c>
      <c r="E383" s="26" t="n">
        <f aca="false">SUM(B383:D383)</f>
        <v>16185.2679466667</v>
      </c>
    </row>
    <row r="384" customFormat="false" ht="15" hidden="false" customHeight="false" outlineLevel="0" collapsed="false">
      <c r="A384" s="4" t="n">
        <v>2040</v>
      </c>
      <c r="B384" s="25" t="n">
        <f aca="false">B287/60000</f>
        <v>5327.03505666667</v>
      </c>
      <c r="C384" s="25" t="n">
        <f aca="false">C287/60000</f>
        <v>120.967525</v>
      </c>
      <c r="D384" s="25" t="n">
        <f aca="false">D287/60000</f>
        <v>11068.5286</v>
      </c>
      <c r="E384" s="26" t="n">
        <f aca="false">SUM(B384:D384)</f>
        <v>16516.5311816667</v>
      </c>
    </row>
    <row r="385" customFormat="false" ht="15" hidden="false" customHeight="false" outlineLevel="0" collapsed="false">
      <c r="A385" s="4" t="n">
        <v>2041</v>
      </c>
      <c r="B385" s="25" t="n">
        <f aca="false">B288/60000</f>
        <v>5977.31928833333</v>
      </c>
      <c r="C385" s="25" t="n">
        <f aca="false">C288/60000</f>
        <v>117.849755</v>
      </c>
      <c r="D385" s="25" t="n">
        <f aca="false">D288/60000</f>
        <v>10753.790205</v>
      </c>
      <c r="E385" s="26" t="n">
        <f aca="false">SUM(B385:D385)</f>
        <v>16848.9592483333</v>
      </c>
    </row>
    <row r="386" customFormat="false" ht="15" hidden="false" customHeight="false" outlineLevel="0" collapsed="false">
      <c r="A386" s="4" t="n">
        <v>2042</v>
      </c>
      <c r="B386" s="25" t="n">
        <f aca="false">B289/60000</f>
        <v>6646.23460666667</v>
      </c>
      <c r="C386" s="25" t="n">
        <f aca="false">C289/60000</f>
        <v>114.519481666667</v>
      </c>
      <c r="D386" s="25" t="n">
        <f aca="false">D289/60000</f>
        <v>10421.2728766667</v>
      </c>
      <c r="E386" s="26" t="n">
        <f aca="false">SUM(B386:D386)</f>
        <v>17182.026965</v>
      </c>
    </row>
    <row r="387" customFormat="false" ht="15" hidden="false" customHeight="false" outlineLevel="0" collapsed="false">
      <c r="A387" s="4" t="n">
        <v>2043</v>
      </c>
      <c r="B387" s="25" t="n">
        <f aca="false">B290/60000</f>
        <v>7333.88784</v>
      </c>
      <c r="C387" s="25" t="n">
        <f aca="false">C290/60000</f>
        <v>110.967576666667</v>
      </c>
      <c r="D387" s="25" t="n">
        <f aca="false">D290/60000</f>
        <v>10070.3076316667</v>
      </c>
      <c r="E387" s="26" t="n">
        <f aca="false">SUM(B387:D387)</f>
        <v>17515.1630483333</v>
      </c>
    </row>
    <row r="388" customFormat="false" ht="15" hidden="false" customHeight="false" outlineLevel="0" collapsed="false">
      <c r="A388" s="4" t="n">
        <v>2044</v>
      </c>
      <c r="B388" s="25" t="n">
        <f aca="false">B291/60000</f>
        <v>8040.31494333333</v>
      </c>
      <c r="C388" s="25" t="n">
        <f aca="false">C291/60000</f>
        <v>107.184886666667</v>
      </c>
      <c r="D388" s="25" t="n">
        <f aca="false">D291/60000</f>
        <v>9700.23224166667</v>
      </c>
      <c r="E388" s="26" t="n">
        <f aca="false">SUM(B388:D388)</f>
        <v>17847.7320716667</v>
      </c>
    </row>
    <row r="389" customFormat="false" ht="15" hidden="false" customHeight="false" outlineLevel="0" collapsed="false">
      <c r="A389" s="4" t="n">
        <v>2045</v>
      </c>
      <c r="B389" s="25" t="n">
        <f aca="false">B292/60000</f>
        <v>8765.47621333333</v>
      </c>
      <c r="C389" s="25" t="n">
        <f aca="false">C292/60000</f>
        <v>103.162366666667</v>
      </c>
      <c r="D389" s="25" t="n">
        <f aca="false">D292/60000</f>
        <v>9310.40358</v>
      </c>
      <c r="E389" s="26" t="n">
        <f aca="false">SUM(B389:D389)</f>
        <v>18179.04216</v>
      </c>
    </row>
    <row r="390" customFormat="false" ht="15" hidden="false" customHeight="false" outlineLevel="0" collapsed="false">
      <c r="A390" s="4" t="n">
        <v>2046</v>
      </c>
      <c r="B390" s="25" t="n">
        <f aca="false">B293/60000</f>
        <v>9509.24793333333</v>
      </c>
      <c r="C390" s="25" t="n">
        <f aca="false">C293/60000</f>
        <v>98.891155</v>
      </c>
      <c r="D390" s="25" t="n">
        <f aca="false">D293/60000</f>
        <v>8900.20399166667</v>
      </c>
      <c r="E390" s="26" t="n">
        <f aca="false">SUM(B390:D390)</f>
        <v>18508.34308</v>
      </c>
    </row>
    <row r="391" customFormat="false" ht="15" hidden="false" customHeight="false" outlineLevel="0" collapsed="false">
      <c r="A391" s="4" t="n">
        <v>2047</v>
      </c>
      <c r="B391" s="25" t="n">
        <f aca="false">B294/60000</f>
        <v>10271.43602</v>
      </c>
      <c r="C391" s="25" t="n">
        <f aca="false">C294/60000</f>
        <v>94.36286</v>
      </c>
      <c r="D391" s="25" t="n">
        <f aca="false">D294/60000</f>
        <v>8469.066715</v>
      </c>
      <c r="E391" s="26" t="n">
        <f aca="false">SUM(B391:D391)</f>
        <v>18834.865595</v>
      </c>
    </row>
    <row r="392" customFormat="false" ht="15" hidden="false" customHeight="false" outlineLevel="0" collapsed="false">
      <c r="A392" s="4" t="n">
        <v>2048</v>
      </c>
      <c r="B392" s="25" t="n">
        <f aca="false">B295/60000</f>
        <v>11051.7374166667</v>
      </c>
      <c r="C392" s="25" t="n">
        <f aca="false">C295/60000</f>
        <v>89.569285</v>
      </c>
      <c r="D392" s="25" t="n">
        <f aca="false">D295/60000</f>
        <v>8016.45096833333</v>
      </c>
      <c r="E392" s="26" t="n">
        <f aca="false">SUM(B392:D392)</f>
        <v>19157.75767</v>
      </c>
    </row>
    <row r="393" customFormat="false" ht="15" hidden="false" customHeight="false" outlineLevel="0" collapsed="false">
      <c r="A393" s="4" t="n">
        <v>2049</v>
      </c>
      <c r="B393" s="25" t="n">
        <f aca="false">B296/60000</f>
        <v>11849.740015</v>
      </c>
      <c r="C393" s="25" t="n">
        <f aca="false">C296/60000</f>
        <v>84.50265</v>
      </c>
      <c r="D393" s="25" t="n">
        <f aca="false">D296/60000</f>
        <v>7541.86156833333</v>
      </c>
      <c r="E393" s="26" t="n">
        <f aca="false">SUM(B393:D393)</f>
        <v>19476.1042333333</v>
      </c>
    </row>
    <row r="394" customFormat="false" ht="15" hidden="false" customHeight="false" outlineLevel="0" collapsed="false">
      <c r="A394" s="4" t="n">
        <v>2050</v>
      </c>
      <c r="B394" s="25" t="n">
        <f aca="false">B297/60000</f>
        <v>12664.9183733333</v>
      </c>
      <c r="C394" s="25" t="n">
        <f aca="false">C297/60000</f>
        <v>79.15574</v>
      </c>
      <c r="D394" s="25" t="n">
        <f aca="false">D297/60000</f>
        <v>7044.860845</v>
      </c>
      <c r="E394" s="26" t="n">
        <f aca="false">SUM(B394:D394)</f>
        <v>19788.9349583333</v>
      </c>
    </row>
    <row r="397" customFormat="false" ht="15" hidden="false" customHeight="false" outlineLevel="0" collapsed="false">
      <c r="A397" s="23" t="s">
        <v>241</v>
      </c>
    </row>
    <row r="399" customFormat="false" ht="15" hidden="false" customHeight="false" outlineLevel="0" collapsed="false">
      <c r="A399" s="13" t="s">
        <v>242</v>
      </c>
    </row>
    <row r="400" customFormat="false" ht="15" hidden="false" customHeight="false" outlineLevel="0" collapsed="false">
      <c r="A400" s="10" t="s">
        <v>227</v>
      </c>
      <c r="B400" s="12"/>
      <c r="C400" s="12"/>
      <c r="D400" s="12"/>
      <c r="E400" s="12"/>
      <c r="F400" s="12"/>
    </row>
    <row r="401" customFormat="false" ht="15" hidden="false" customHeight="false" outlineLevel="0" collapsed="false">
      <c r="A401" s="3" t="s">
        <v>113</v>
      </c>
      <c r="B401" s="3" t="s">
        <v>228</v>
      </c>
      <c r="C401" s="3" t="s">
        <v>229</v>
      </c>
      <c r="D401" s="3" t="s">
        <v>230</v>
      </c>
      <c r="E401" s="3" t="s">
        <v>243</v>
      </c>
      <c r="F401" s="3" t="s">
        <v>244</v>
      </c>
    </row>
    <row r="402" customFormat="false" ht="15" hidden="false" customHeight="false" outlineLevel="0" collapsed="false">
      <c r="A402" s="4" t="n">
        <v>2023</v>
      </c>
      <c r="B402" s="24" t="n">
        <v>3126026.6</v>
      </c>
      <c r="C402" s="24" t="n">
        <v>10941096.4</v>
      </c>
      <c r="D402" s="24" t="n">
        <v>2162820300.8</v>
      </c>
      <c r="E402" s="24" t="n">
        <v>781507.2</v>
      </c>
      <c r="F402" s="24" t="n">
        <v>10550343.9</v>
      </c>
    </row>
    <row r="403" customFormat="false" ht="15" hidden="false" customHeight="false" outlineLevel="0" collapsed="false">
      <c r="A403" s="4" t="n">
        <v>2024</v>
      </c>
      <c r="B403" s="24" t="n">
        <v>6488008</v>
      </c>
      <c r="C403" s="24" t="n">
        <v>11354013.4</v>
      </c>
      <c r="D403" s="24" t="n">
        <v>2240795634.6</v>
      </c>
      <c r="E403" s="24" t="n">
        <v>1622002.6</v>
      </c>
      <c r="F403" s="24" t="n">
        <v>10543012.1</v>
      </c>
    </row>
    <row r="404" customFormat="false" ht="15" hidden="false" customHeight="false" outlineLevel="0" collapsed="false">
      <c r="A404" s="4" t="n">
        <v>2025</v>
      </c>
      <c r="B404" s="24" t="n">
        <v>10117632</v>
      </c>
      <c r="C404" s="24" t="n">
        <v>11803904.8</v>
      </c>
      <c r="D404" s="24" t="n">
        <v>2325790808.2</v>
      </c>
      <c r="E404" s="24" t="n">
        <v>2529409.2</v>
      </c>
      <c r="F404" s="24" t="n">
        <v>10539201.4</v>
      </c>
    </row>
    <row r="405" customFormat="false" ht="15" hidden="false" customHeight="false" outlineLevel="0" collapsed="false">
      <c r="A405" s="4" t="n">
        <v>2026</v>
      </c>
      <c r="B405" s="24" t="n">
        <v>14037662.9</v>
      </c>
      <c r="C405" s="24" t="n">
        <v>12282954.4</v>
      </c>
      <c r="D405" s="24" t="n">
        <v>2416232611.9</v>
      </c>
      <c r="E405" s="24" t="n">
        <v>3509414.5</v>
      </c>
      <c r="F405" s="24" t="n">
        <v>10528246</v>
      </c>
    </row>
    <row r="406" customFormat="false" ht="15" hidden="false" customHeight="false" outlineLevel="0" collapsed="false">
      <c r="A406" s="4" t="n">
        <v>2027</v>
      </c>
      <c r="B406" s="24" t="n">
        <v>18261945.4</v>
      </c>
      <c r="C406" s="24" t="n">
        <v>12783362</v>
      </c>
      <c r="D406" s="24" t="n">
        <v>2510560990.2</v>
      </c>
      <c r="E406" s="24" t="n">
        <v>4565485.7</v>
      </c>
      <c r="F406" s="24" t="n">
        <v>10500619.2</v>
      </c>
    </row>
    <row r="407" customFormat="false" ht="15" hidden="false" customHeight="false" outlineLevel="0" collapsed="false">
      <c r="A407" s="4" t="n">
        <v>2028</v>
      </c>
      <c r="B407" s="24" t="n">
        <v>22802918.5</v>
      </c>
      <c r="C407" s="24" t="n">
        <v>13301701.8</v>
      </c>
      <c r="D407" s="24" t="n">
        <v>2608083669.7</v>
      </c>
      <c r="E407" s="24" t="n">
        <v>5700729</v>
      </c>
      <c r="F407" s="24" t="n">
        <v>10451336</v>
      </c>
    </row>
    <row r="408" customFormat="false" ht="15" hidden="false" customHeight="false" outlineLevel="0" collapsed="false">
      <c r="A408" s="4" t="n">
        <v>2029</v>
      </c>
      <c r="B408" s="24" t="n">
        <v>27691695.6</v>
      </c>
      <c r="C408" s="24" t="n">
        <v>13845847.8</v>
      </c>
      <c r="D408" s="24" t="n">
        <v>2710324704.9</v>
      </c>
      <c r="E408" s="24" t="n">
        <v>6922923.9</v>
      </c>
      <c r="F408" s="24" t="n">
        <v>10384385.8</v>
      </c>
    </row>
    <row r="409" customFormat="false" ht="15" hidden="false" customHeight="false" outlineLevel="0" collapsed="false">
      <c r="A409" s="4" t="n">
        <v>2030</v>
      </c>
      <c r="B409" s="24" t="n">
        <v>32928172.4</v>
      </c>
      <c r="C409" s="24" t="n">
        <v>14406076</v>
      </c>
      <c r="D409" s="24" t="n">
        <v>2815358846.1</v>
      </c>
      <c r="E409" s="24" t="n">
        <v>8232043.8</v>
      </c>
      <c r="F409" s="24" t="n">
        <v>10290055.5</v>
      </c>
    </row>
    <row r="410" customFormat="false" ht="15" hidden="false" customHeight="false" outlineLevel="0" collapsed="false">
      <c r="A410" s="4" t="n">
        <v>2031</v>
      </c>
      <c r="B410" s="24" t="n">
        <v>38526542.8</v>
      </c>
      <c r="C410" s="24" t="n">
        <v>14982544.3</v>
      </c>
      <c r="D410" s="24" t="n">
        <v>2923201403.6</v>
      </c>
      <c r="E410" s="24" t="n">
        <v>9631636.5</v>
      </c>
      <c r="F410" s="24" t="n">
        <v>10166726</v>
      </c>
    </row>
    <row r="411" customFormat="false" ht="15" hidden="false" customHeight="false" outlineLevel="0" collapsed="false">
      <c r="A411" s="4" t="n">
        <v>2032</v>
      </c>
      <c r="B411" s="24" t="n">
        <v>44501128.7</v>
      </c>
      <c r="C411" s="24" t="n">
        <v>15575395.4</v>
      </c>
      <c r="D411" s="24" t="n">
        <v>3033864510.9</v>
      </c>
      <c r="E411" s="24" t="n">
        <v>11125283.7</v>
      </c>
      <c r="F411" s="24" t="n">
        <v>10012755.1</v>
      </c>
    </row>
    <row r="412" customFormat="false" ht="15" hidden="false" customHeight="false" outlineLevel="0" collapsed="false">
      <c r="A412" s="4" t="n">
        <v>2033</v>
      </c>
      <c r="B412" s="24" t="n">
        <v>50866376.3</v>
      </c>
      <c r="C412" s="24" t="n">
        <v>16184755.8</v>
      </c>
      <c r="D412" s="24" t="n">
        <v>3147356979.3</v>
      </c>
      <c r="E412" s="24" t="n">
        <v>12716592.5</v>
      </c>
      <c r="F412" s="24" t="n">
        <v>9826458</v>
      </c>
    </row>
    <row r="413" customFormat="false" ht="15" hidden="false" customHeight="false" outlineLevel="0" collapsed="false">
      <c r="A413" s="4" t="n">
        <v>2034</v>
      </c>
      <c r="B413" s="24" t="n">
        <v>57636805.5</v>
      </c>
      <c r="C413" s="24" t="n">
        <v>16810735.1</v>
      </c>
      <c r="D413" s="24" t="n">
        <v>3263684140.1</v>
      </c>
      <c r="E413" s="24" t="n">
        <v>14409200.5</v>
      </c>
      <c r="F413" s="24" t="n">
        <v>9606134.8</v>
      </c>
    </row>
    <row r="414" customFormat="false" ht="15" hidden="false" customHeight="false" outlineLevel="0" collapsed="false">
      <c r="A414" s="4" t="n">
        <v>2035</v>
      </c>
      <c r="B414" s="24" t="n">
        <v>64827007.8</v>
      </c>
      <c r="C414" s="24" t="n">
        <v>17453424.8</v>
      </c>
      <c r="D414" s="24" t="n">
        <v>3382847722.2</v>
      </c>
      <c r="E414" s="24" t="n">
        <v>16206751.1</v>
      </c>
      <c r="F414" s="24" t="n">
        <v>9350047.5</v>
      </c>
    </row>
    <row r="415" customFormat="false" ht="15" hidden="false" customHeight="false" outlineLevel="0" collapsed="false">
      <c r="A415" s="4" t="n">
        <v>2036</v>
      </c>
      <c r="B415" s="24" t="n">
        <v>72451590.6</v>
      </c>
      <c r="C415" s="24" t="n">
        <v>18112897.7</v>
      </c>
      <c r="D415" s="24" t="n">
        <v>3504845697.4</v>
      </c>
      <c r="E415" s="24" t="n">
        <v>18112897.7</v>
      </c>
      <c r="F415" s="24" t="n">
        <v>9056448.8</v>
      </c>
    </row>
    <row r="416" customFormat="false" ht="15" hidden="false" customHeight="false" outlineLevel="0" collapsed="false">
      <c r="A416" s="4" t="n">
        <v>2037</v>
      </c>
      <c r="B416" s="24" t="n">
        <v>80525170.9</v>
      </c>
      <c r="C416" s="24" t="n">
        <v>18789206.9</v>
      </c>
      <c r="D416" s="24" t="n">
        <v>3629672149.3</v>
      </c>
      <c r="E416" s="24" t="n">
        <v>20131293.7</v>
      </c>
      <c r="F416" s="24" t="n">
        <v>8723562</v>
      </c>
    </row>
    <row r="417" customFormat="false" ht="15" hidden="false" customHeight="false" outlineLevel="0" collapsed="false">
      <c r="A417" s="4" t="n">
        <v>2038</v>
      </c>
      <c r="B417" s="24" t="n">
        <v>89062332.7</v>
      </c>
      <c r="C417" s="24" t="n">
        <v>19482385.2</v>
      </c>
      <c r="D417" s="24" t="n">
        <v>3757317138.2</v>
      </c>
      <c r="E417" s="24" t="n">
        <v>22265584.2</v>
      </c>
      <c r="F417" s="24" t="n">
        <v>8349593.1</v>
      </c>
    </row>
    <row r="418" customFormat="false" ht="15" hidden="false" customHeight="false" outlineLevel="0" collapsed="false">
      <c r="A418" s="4" t="n">
        <v>2039</v>
      </c>
      <c r="B418" s="24" t="n">
        <v>98077582.6</v>
      </c>
      <c r="C418" s="24" t="n">
        <v>20192443.7</v>
      </c>
      <c r="D418" s="24" t="n">
        <v>3887766573.2</v>
      </c>
      <c r="E418" s="24" t="n">
        <v>24519397.7</v>
      </c>
      <c r="F418" s="24" t="n">
        <v>7932746.9</v>
      </c>
    </row>
    <row r="419" customFormat="false" ht="15" hidden="false" customHeight="false" outlineLevel="0" collapsed="false">
      <c r="A419" s="4" t="n">
        <v>2040</v>
      </c>
      <c r="B419" s="24" t="n">
        <v>107585341.3</v>
      </c>
      <c r="C419" s="24" t="n">
        <v>20919371.7</v>
      </c>
      <c r="D419" s="24" t="n">
        <v>4021002089</v>
      </c>
      <c r="E419" s="24" t="n">
        <v>26896333.2</v>
      </c>
      <c r="F419" s="24" t="n">
        <v>7471203</v>
      </c>
    </row>
    <row r="420" customFormat="false" ht="15" hidden="false" customHeight="false" outlineLevel="0" collapsed="false">
      <c r="A420" s="4" t="n">
        <v>2041</v>
      </c>
      <c r="B420" s="24" t="n">
        <v>117650545.8</v>
      </c>
      <c r="C420" s="24" t="n">
        <v>21672469.1</v>
      </c>
      <c r="D420" s="24" t="n">
        <v>4158792013.1</v>
      </c>
      <c r="E420" s="24" t="n">
        <v>29412635.4</v>
      </c>
      <c r="F420" s="24" t="n">
        <v>6966151.4</v>
      </c>
    </row>
    <row r="421" customFormat="false" ht="15" hidden="false" customHeight="false" outlineLevel="0" collapsed="false">
      <c r="A421" s="4" t="n">
        <v>2042</v>
      </c>
      <c r="B421" s="24" t="n">
        <v>128301018.8</v>
      </c>
      <c r="C421" s="24" t="n">
        <v>22452678</v>
      </c>
      <c r="D421" s="24" t="n">
        <v>4301291592.9</v>
      </c>
      <c r="E421" s="24" t="n">
        <v>32075253.6</v>
      </c>
      <c r="F421" s="24" t="n">
        <v>6415048.9</v>
      </c>
    </row>
    <row r="422" customFormat="false" ht="15" hidden="false" customHeight="false" outlineLevel="0" collapsed="false">
      <c r="A422" s="4" t="n">
        <v>2043</v>
      </c>
      <c r="B422" s="24" t="n">
        <v>139565846.2</v>
      </c>
      <c r="C422" s="24" t="n">
        <v>23260974.4</v>
      </c>
      <c r="D422" s="24" t="n">
        <v>4448661348.2</v>
      </c>
      <c r="E422" s="24" t="n">
        <v>34891461.6</v>
      </c>
      <c r="F422" s="24" t="n">
        <v>5815243.6</v>
      </c>
    </row>
    <row r="423" customFormat="false" ht="15" hidden="false" customHeight="false" outlineLevel="0" collapsed="false">
      <c r="A423" s="4" t="n">
        <v>2044</v>
      </c>
      <c r="B423" s="24" t="n">
        <v>151475463</v>
      </c>
      <c r="C423" s="24" t="n">
        <v>24098369.4</v>
      </c>
      <c r="D423" s="24" t="n">
        <v>4601067251.1</v>
      </c>
      <c r="E423" s="24" t="n">
        <v>37868867</v>
      </c>
      <c r="F423" s="24" t="n">
        <v>5163938.4</v>
      </c>
    </row>
    <row r="424" customFormat="false" ht="15" hidden="false" customHeight="false" outlineLevel="0" collapsed="false">
      <c r="A424" s="4" t="n">
        <v>2045</v>
      </c>
      <c r="B424" s="24" t="n">
        <v>164061699.9</v>
      </c>
      <c r="C424" s="24" t="n">
        <v>24965910.7</v>
      </c>
      <c r="D424" s="24" t="n">
        <v>4758680914.3</v>
      </c>
      <c r="E424" s="24" t="n">
        <v>41015426.2</v>
      </c>
      <c r="F424" s="24" t="n">
        <v>4458197.6</v>
      </c>
    </row>
    <row r="425" customFormat="false" ht="15" hidden="false" customHeight="false" outlineLevel="0" collapsed="false">
      <c r="A425" s="4" t="n">
        <v>2046</v>
      </c>
      <c r="B425" s="24" t="n">
        <v>177357828.5</v>
      </c>
      <c r="C425" s="24" t="n">
        <v>25864683.5</v>
      </c>
      <c r="D425" s="24" t="n">
        <v>4921679778.8</v>
      </c>
      <c r="E425" s="24" t="n">
        <v>44339459.7</v>
      </c>
      <c r="F425" s="24" t="n">
        <v>3694956.3</v>
      </c>
    </row>
    <row r="426" customFormat="false" ht="15" hidden="false" customHeight="false" outlineLevel="0" collapsed="false">
      <c r="A426" s="4" t="n">
        <v>2047</v>
      </c>
      <c r="B426" s="24" t="n">
        <v>191398659.7</v>
      </c>
      <c r="C426" s="24" t="n">
        <v>26795812.1</v>
      </c>
      <c r="D426" s="24" t="n">
        <v>5090247315.4</v>
      </c>
      <c r="E426" s="24" t="n">
        <v>47849662.2</v>
      </c>
      <c r="F426" s="24" t="n">
        <v>2870978.3</v>
      </c>
    </row>
    <row r="427" customFormat="false" ht="15" hidden="false" customHeight="false" outlineLevel="0" collapsed="false">
      <c r="A427" s="4" t="n">
        <v>2048</v>
      </c>
      <c r="B427" s="24" t="n">
        <v>206220569.4</v>
      </c>
      <c r="C427" s="24" t="n">
        <v>27760461.4</v>
      </c>
      <c r="D427" s="24" t="n">
        <v>5264573212.4</v>
      </c>
      <c r="E427" s="24" t="n">
        <v>51555141</v>
      </c>
      <c r="F427" s="24" t="n">
        <v>1982890.9</v>
      </c>
    </row>
    <row r="428" customFormat="false" ht="15" hidden="false" customHeight="false" outlineLevel="0" collapsed="false">
      <c r="A428" s="4" t="n">
        <v>2049</v>
      </c>
      <c r="B428" s="24" t="n">
        <v>221861609.8</v>
      </c>
      <c r="C428" s="24" t="n">
        <v>28759838</v>
      </c>
      <c r="D428" s="24" t="n">
        <v>5444853613.3</v>
      </c>
      <c r="E428" s="24" t="n">
        <v>55465401</v>
      </c>
      <c r="F428" s="24" t="n">
        <v>1027134.6</v>
      </c>
    </row>
    <row r="429" customFormat="false" ht="15" hidden="false" customHeight="false" outlineLevel="0" collapsed="false">
      <c r="A429" s="4" t="n">
        <v>2050</v>
      </c>
      <c r="B429" s="24" t="n">
        <v>238361537.2</v>
      </c>
      <c r="C429" s="24" t="n">
        <v>29795192.2</v>
      </c>
      <c r="D429" s="24" t="n">
        <v>5631291316.6</v>
      </c>
      <c r="E429" s="24" t="n">
        <v>59590384.3</v>
      </c>
      <c r="F429" s="24" t="n">
        <v>0</v>
      </c>
    </row>
    <row r="431" customFormat="false" ht="15" hidden="false" customHeight="false" outlineLevel="0" collapsed="false">
      <c r="A431" s="10" t="s">
        <v>232</v>
      </c>
      <c r="B431" s="12"/>
      <c r="C431" s="12"/>
      <c r="D431" s="12"/>
      <c r="E431" s="12"/>
      <c r="F431" s="12"/>
    </row>
    <row r="432" customFormat="false" ht="15" hidden="false" customHeight="false" outlineLevel="0" collapsed="false">
      <c r="A432" s="3" t="s">
        <v>113</v>
      </c>
      <c r="B432" s="3" t="s">
        <v>228</v>
      </c>
      <c r="C432" s="3" t="s">
        <v>229</v>
      </c>
      <c r="D432" s="3" t="s">
        <v>230</v>
      </c>
      <c r="E432" s="3" t="s">
        <v>243</v>
      </c>
      <c r="F432" s="3" t="s">
        <v>244</v>
      </c>
    </row>
    <row r="433" customFormat="false" ht="15" hidden="false" customHeight="false" outlineLevel="0" collapsed="false">
      <c r="A433" s="4" t="n">
        <v>2023</v>
      </c>
      <c r="B433" s="24" t="n">
        <v>3126026.6</v>
      </c>
      <c r="C433" s="24" t="n">
        <v>10941096.4</v>
      </c>
      <c r="D433" s="24" t="n">
        <v>2162820300.8</v>
      </c>
      <c r="E433" s="24" t="n">
        <v>781507.2</v>
      </c>
      <c r="F433" s="24" t="n">
        <v>10550343.9</v>
      </c>
    </row>
    <row r="434" customFormat="false" ht="15" hidden="false" customHeight="false" outlineLevel="0" collapsed="false">
      <c r="A434" s="4" t="n">
        <v>2024</v>
      </c>
      <c r="B434" s="24" t="n">
        <v>6488008</v>
      </c>
      <c r="C434" s="24" t="n">
        <v>11354013.4</v>
      </c>
      <c r="D434" s="24" t="n">
        <v>2240795634.6</v>
      </c>
      <c r="E434" s="24" t="n">
        <v>1622002.6</v>
      </c>
      <c r="F434" s="24" t="n">
        <v>10543012.1</v>
      </c>
    </row>
    <row r="435" customFormat="false" ht="15" hidden="false" customHeight="false" outlineLevel="0" collapsed="false">
      <c r="A435" s="4" t="n">
        <v>2025</v>
      </c>
      <c r="B435" s="24" t="n">
        <v>10117632</v>
      </c>
      <c r="C435" s="24" t="n">
        <v>11803904.8</v>
      </c>
      <c r="D435" s="24" t="n">
        <v>2325790808.2</v>
      </c>
      <c r="E435" s="24" t="n">
        <v>2529409.2</v>
      </c>
      <c r="F435" s="24" t="n">
        <v>10539201.4</v>
      </c>
    </row>
    <row r="436" customFormat="false" ht="15" hidden="false" customHeight="false" outlineLevel="0" collapsed="false">
      <c r="A436" s="4" t="n">
        <v>2026</v>
      </c>
      <c r="B436" s="24" t="n">
        <v>14037662.9</v>
      </c>
      <c r="C436" s="24" t="n">
        <v>12282954.4</v>
      </c>
      <c r="D436" s="24" t="n">
        <v>2416232611.9</v>
      </c>
      <c r="E436" s="24" t="n">
        <v>3509414.5</v>
      </c>
      <c r="F436" s="24" t="n">
        <v>10528246</v>
      </c>
    </row>
    <row r="437" customFormat="false" ht="15" hidden="false" customHeight="false" outlineLevel="0" collapsed="false">
      <c r="A437" s="4" t="n">
        <v>2027</v>
      </c>
      <c r="B437" s="24" t="n">
        <v>18261945.4</v>
      </c>
      <c r="C437" s="24" t="n">
        <v>12783362</v>
      </c>
      <c r="D437" s="24" t="n">
        <v>2510560990.2</v>
      </c>
      <c r="E437" s="24" t="n">
        <v>4565485.7</v>
      </c>
      <c r="F437" s="24" t="n">
        <v>10500619.2</v>
      </c>
    </row>
    <row r="438" customFormat="false" ht="15" hidden="false" customHeight="false" outlineLevel="0" collapsed="false">
      <c r="A438" s="4" t="n">
        <v>2028</v>
      </c>
      <c r="B438" s="24" t="n">
        <v>22802918.5</v>
      </c>
      <c r="C438" s="24" t="n">
        <v>13301701.8</v>
      </c>
      <c r="D438" s="24" t="n">
        <v>2608083669.7</v>
      </c>
      <c r="E438" s="24" t="n">
        <v>5700729</v>
      </c>
      <c r="F438" s="24" t="n">
        <v>10451336</v>
      </c>
    </row>
    <row r="439" customFormat="false" ht="15" hidden="false" customHeight="false" outlineLevel="0" collapsed="false">
      <c r="A439" s="4" t="n">
        <v>2029</v>
      </c>
      <c r="B439" s="24" t="n">
        <v>27691695.6</v>
      </c>
      <c r="C439" s="24" t="n">
        <v>13845847.8</v>
      </c>
      <c r="D439" s="24" t="n">
        <v>2710324704.9</v>
      </c>
      <c r="E439" s="24" t="n">
        <v>6922923.9</v>
      </c>
      <c r="F439" s="24" t="n">
        <v>10384385.8</v>
      </c>
    </row>
    <row r="440" customFormat="false" ht="15" hidden="false" customHeight="false" outlineLevel="0" collapsed="false">
      <c r="A440" s="4" t="n">
        <v>2030</v>
      </c>
      <c r="B440" s="24" t="n">
        <v>32928172.4</v>
      </c>
      <c r="C440" s="24" t="n">
        <v>14406076</v>
      </c>
      <c r="D440" s="24" t="n">
        <v>2815358846.1</v>
      </c>
      <c r="E440" s="24" t="n">
        <v>8232043.8</v>
      </c>
      <c r="F440" s="24" t="n">
        <v>10290055.5</v>
      </c>
    </row>
    <row r="441" customFormat="false" ht="15" hidden="false" customHeight="false" outlineLevel="0" collapsed="false">
      <c r="A441" s="4" t="n">
        <v>2031</v>
      </c>
      <c r="B441" s="24" t="n">
        <v>38526542.8</v>
      </c>
      <c r="C441" s="24" t="n">
        <v>14982544.3</v>
      </c>
      <c r="D441" s="24" t="n">
        <v>2923201403.6</v>
      </c>
      <c r="E441" s="24" t="n">
        <v>9631636.5</v>
      </c>
      <c r="F441" s="24" t="n">
        <v>10166726</v>
      </c>
    </row>
    <row r="442" customFormat="false" ht="15" hidden="false" customHeight="false" outlineLevel="0" collapsed="false">
      <c r="A442" s="4" t="n">
        <v>2032</v>
      </c>
      <c r="B442" s="24" t="n">
        <v>44501128.7</v>
      </c>
      <c r="C442" s="24" t="n">
        <v>15575395.4</v>
      </c>
      <c r="D442" s="24" t="n">
        <v>3033864510.9</v>
      </c>
      <c r="E442" s="24" t="n">
        <v>11125283.7</v>
      </c>
      <c r="F442" s="24" t="n">
        <v>10012755.1</v>
      </c>
    </row>
    <row r="443" customFormat="false" ht="15" hidden="false" customHeight="false" outlineLevel="0" collapsed="false">
      <c r="A443" s="4" t="n">
        <v>2033</v>
      </c>
      <c r="B443" s="24" t="n">
        <v>50866376.3</v>
      </c>
      <c r="C443" s="24" t="n">
        <v>16184755.8</v>
      </c>
      <c r="D443" s="24" t="n">
        <v>3147356979.3</v>
      </c>
      <c r="E443" s="24" t="n">
        <v>12716592.5</v>
      </c>
      <c r="F443" s="24" t="n">
        <v>9826458</v>
      </c>
    </row>
    <row r="444" customFormat="false" ht="15" hidden="false" customHeight="false" outlineLevel="0" collapsed="false">
      <c r="A444" s="4" t="n">
        <v>2034</v>
      </c>
      <c r="B444" s="24" t="n">
        <v>57636805.5</v>
      </c>
      <c r="C444" s="24" t="n">
        <v>16810735.1</v>
      </c>
      <c r="D444" s="24" t="n">
        <v>3263684140.1</v>
      </c>
      <c r="E444" s="24" t="n">
        <v>14409200.5</v>
      </c>
      <c r="F444" s="24" t="n">
        <v>9606134.8</v>
      </c>
    </row>
    <row r="445" customFormat="false" ht="15" hidden="false" customHeight="false" outlineLevel="0" collapsed="false">
      <c r="A445" s="4" t="n">
        <v>2035</v>
      </c>
      <c r="B445" s="24" t="n">
        <v>64827007.8</v>
      </c>
      <c r="C445" s="24" t="n">
        <v>17453424.8</v>
      </c>
      <c r="D445" s="24" t="n">
        <v>3382847722.2</v>
      </c>
      <c r="E445" s="24" t="n">
        <v>16206751.1</v>
      </c>
      <c r="F445" s="24" t="n">
        <v>9350047.5</v>
      </c>
    </row>
    <row r="446" customFormat="false" ht="15" hidden="false" customHeight="false" outlineLevel="0" collapsed="false">
      <c r="A446" s="4" t="n">
        <v>2036</v>
      </c>
      <c r="B446" s="24" t="n">
        <v>72451590.6</v>
      </c>
      <c r="C446" s="24" t="n">
        <v>18112897.7</v>
      </c>
      <c r="D446" s="24" t="n">
        <v>3504845697.4</v>
      </c>
      <c r="E446" s="24" t="n">
        <v>18112897.7</v>
      </c>
      <c r="F446" s="24" t="n">
        <v>9056448.8</v>
      </c>
    </row>
    <row r="447" customFormat="false" ht="15" hidden="false" customHeight="false" outlineLevel="0" collapsed="false">
      <c r="A447" s="4" t="n">
        <v>2037</v>
      </c>
      <c r="B447" s="24" t="n">
        <v>80525170.9</v>
      </c>
      <c r="C447" s="24" t="n">
        <v>18789206.9</v>
      </c>
      <c r="D447" s="24" t="n">
        <v>3629672149.3</v>
      </c>
      <c r="E447" s="24" t="n">
        <v>20131293.7</v>
      </c>
      <c r="F447" s="24" t="n">
        <v>8723562</v>
      </c>
    </row>
    <row r="448" customFormat="false" ht="15" hidden="false" customHeight="false" outlineLevel="0" collapsed="false">
      <c r="A448" s="4" t="n">
        <v>2038</v>
      </c>
      <c r="B448" s="24" t="n">
        <v>89062332.7</v>
      </c>
      <c r="C448" s="24" t="n">
        <v>19482385.2</v>
      </c>
      <c r="D448" s="24" t="n">
        <v>3757317138.2</v>
      </c>
      <c r="E448" s="24" t="n">
        <v>22265584.2</v>
      </c>
      <c r="F448" s="24" t="n">
        <v>8349593.1</v>
      </c>
    </row>
    <row r="449" customFormat="false" ht="15" hidden="false" customHeight="false" outlineLevel="0" collapsed="false">
      <c r="A449" s="4" t="n">
        <v>2039</v>
      </c>
      <c r="B449" s="24" t="n">
        <v>98077582.6</v>
      </c>
      <c r="C449" s="24" t="n">
        <v>20192443.7</v>
      </c>
      <c r="D449" s="24" t="n">
        <v>3887766573.2</v>
      </c>
      <c r="E449" s="24" t="n">
        <v>24519397.7</v>
      </c>
      <c r="F449" s="24" t="n">
        <v>7932746.9</v>
      </c>
    </row>
    <row r="450" customFormat="false" ht="15" hidden="false" customHeight="false" outlineLevel="0" collapsed="false">
      <c r="A450" s="4" t="n">
        <v>2040</v>
      </c>
      <c r="B450" s="24" t="n">
        <v>107585341.3</v>
      </c>
      <c r="C450" s="24" t="n">
        <v>20919371.7</v>
      </c>
      <c r="D450" s="24" t="n">
        <v>4021002089</v>
      </c>
      <c r="E450" s="24" t="n">
        <v>26896333.2</v>
      </c>
      <c r="F450" s="24" t="n">
        <v>7471203</v>
      </c>
    </row>
    <row r="451" customFormat="false" ht="15" hidden="false" customHeight="false" outlineLevel="0" collapsed="false">
      <c r="A451" s="4" t="n">
        <v>2041</v>
      </c>
      <c r="B451" s="24" t="n">
        <v>117650545.8</v>
      </c>
      <c r="C451" s="24" t="n">
        <v>21672469.1</v>
      </c>
      <c r="D451" s="24" t="n">
        <v>4158792013.1</v>
      </c>
      <c r="E451" s="24" t="n">
        <v>29412635.4</v>
      </c>
      <c r="F451" s="24" t="n">
        <v>6966151.4</v>
      </c>
    </row>
    <row r="452" customFormat="false" ht="15" hidden="false" customHeight="false" outlineLevel="0" collapsed="false">
      <c r="A452" s="4" t="n">
        <v>2042</v>
      </c>
      <c r="B452" s="24" t="n">
        <v>128301018.8</v>
      </c>
      <c r="C452" s="24" t="n">
        <v>22452678</v>
      </c>
      <c r="D452" s="24" t="n">
        <v>4301291592.9</v>
      </c>
      <c r="E452" s="24" t="n">
        <v>32075253.6</v>
      </c>
      <c r="F452" s="24" t="n">
        <v>6415048.9</v>
      </c>
    </row>
    <row r="453" customFormat="false" ht="15" hidden="false" customHeight="false" outlineLevel="0" collapsed="false">
      <c r="A453" s="4" t="n">
        <v>2043</v>
      </c>
      <c r="B453" s="24" t="n">
        <v>139565846.2</v>
      </c>
      <c r="C453" s="24" t="n">
        <v>23260974.4</v>
      </c>
      <c r="D453" s="24" t="n">
        <v>4448661348.2</v>
      </c>
      <c r="E453" s="24" t="n">
        <v>34891461.6</v>
      </c>
      <c r="F453" s="24" t="n">
        <v>5815243.6</v>
      </c>
    </row>
    <row r="454" customFormat="false" ht="15" hidden="false" customHeight="false" outlineLevel="0" collapsed="false">
      <c r="A454" s="4" t="n">
        <v>2044</v>
      </c>
      <c r="B454" s="24" t="n">
        <v>151475463</v>
      </c>
      <c r="C454" s="24" t="n">
        <v>24098369.4</v>
      </c>
      <c r="D454" s="24" t="n">
        <v>4601067251.1</v>
      </c>
      <c r="E454" s="24" t="n">
        <v>37868867</v>
      </c>
      <c r="F454" s="24" t="n">
        <v>5163938.4</v>
      </c>
    </row>
    <row r="455" customFormat="false" ht="15" hidden="false" customHeight="false" outlineLevel="0" collapsed="false">
      <c r="A455" s="4" t="n">
        <v>2045</v>
      </c>
      <c r="B455" s="24" t="n">
        <v>164061699.9</v>
      </c>
      <c r="C455" s="24" t="n">
        <v>24965910.7</v>
      </c>
      <c r="D455" s="24" t="n">
        <v>4758680914.3</v>
      </c>
      <c r="E455" s="24" t="n">
        <v>41015426.2</v>
      </c>
      <c r="F455" s="24" t="n">
        <v>4458197.6</v>
      </c>
    </row>
    <row r="456" customFormat="false" ht="15" hidden="false" customHeight="false" outlineLevel="0" collapsed="false">
      <c r="A456" s="4" t="n">
        <v>2046</v>
      </c>
      <c r="B456" s="24" t="n">
        <v>177357828.5</v>
      </c>
      <c r="C456" s="24" t="n">
        <v>25864683.5</v>
      </c>
      <c r="D456" s="24" t="n">
        <v>4921679778.8</v>
      </c>
      <c r="E456" s="24" t="n">
        <v>44339459.7</v>
      </c>
      <c r="F456" s="24" t="n">
        <v>3694956.3</v>
      </c>
    </row>
    <row r="457" customFormat="false" ht="15" hidden="false" customHeight="false" outlineLevel="0" collapsed="false">
      <c r="A457" s="4" t="n">
        <v>2047</v>
      </c>
      <c r="B457" s="24" t="n">
        <v>191398659.7</v>
      </c>
      <c r="C457" s="24" t="n">
        <v>26795812.1</v>
      </c>
      <c r="D457" s="24" t="n">
        <v>5090247315.4</v>
      </c>
      <c r="E457" s="24" t="n">
        <v>47849662.2</v>
      </c>
      <c r="F457" s="24" t="n">
        <v>2870978.3</v>
      </c>
    </row>
    <row r="458" customFormat="false" ht="15" hidden="false" customHeight="false" outlineLevel="0" collapsed="false">
      <c r="A458" s="4" t="n">
        <v>2048</v>
      </c>
      <c r="B458" s="24" t="n">
        <v>206220569.4</v>
      </c>
      <c r="C458" s="24" t="n">
        <v>27760461.4</v>
      </c>
      <c r="D458" s="24" t="n">
        <v>5264573212.4</v>
      </c>
      <c r="E458" s="24" t="n">
        <v>51555141</v>
      </c>
      <c r="F458" s="24" t="n">
        <v>1982890.9</v>
      </c>
    </row>
    <row r="459" customFormat="false" ht="15" hidden="false" customHeight="false" outlineLevel="0" collapsed="false">
      <c r="A459" s="4" t="n">
        <v>2049</v>
      </c>
      <c r="B459" s="24" t="n">
        <v>221861609.8</v>
      </c>
      <c r="C459" s="24" t="n">
        <v>28759838</v>
      </c>
      <c r="D459" s="24" t="n">
        <v>5444853613.3</v>
      </c>
      <c r="E459" s="24" t="n">
        <v>55465401</v>
      </c>
      <c r="F459" s="24" t="n">
        <v>1027134.6</v>
      </c>
    </row>
    <row r="460" customFormat="false" ht="15" hidden="false" customHeight="false" outlineLevel="0" collapsed="false">
      <c r="A460" s="4" t="n">
        <v>2050</v>
      </c>
      <c r="B460" s="24" t="n">
        <v>238361537.2</v>
      </c>
      <c r="C460" s="24" t="n">
        <v>29795192.2</v>
      </c>
      <c r="D460" s="24" t="n">
        <v>5631291316.6</v>
      </c>
      <c r="E460" s="24" t="n">
        <v>59590384.3</v>
      </c>
      <c r="F460" s="24" t="n">
        <v>0</v>
      </c>
    </row>
    <row r="462" customFormat="false" ht="15" hidden="false" customHeight="false" outlineLevel="0" collapsed="false">
      <c r="A462" s="10" t="s">
        <v>233</v>
      </c>
      <c r="B462" s="12"/>
      <c r="C462" s="12"/>
      <c r="D462" s="12"/>
      <c r="E462" s="12"/>
      <c r="F462" s="12"/>
    </row>
    <row r="463" customFormat="false" ht="15" hidden="false" customHeight="false" outlineLevel="0" collapsed="false">
      <c r="A463" s="3" t="s">
        <v>113</v>
      </c>
      <c r="B463" s="3" t="s">
        <v>228</v>
      </c>
      <c r="C463" s="3" t="s">
        <v>229</v>
      </c>
      <c r="D463" s="3" t="s">
        <v>230</v>
      </c>
      <c r="E463" s="3" t="s">
        <v>243</v>
      </c>
      <c r="F463" s="3" t="s">
        <v>244</v>
      </c>
    </row>
    <row r="464" customFormat="false" ht="15" hidden="false" customHeight="false" outlineLevel="0" collapsed="false">
      <c r="A464" s="4" t="n">
        <v>2023</v>
      </c>
      <c r="B464" s="24" t="n">
        <v>3126026.6</v>
      </c>
      <c r="C464" s="24" t="n">
        <v>10941096.4</v>
      </c>
      <c r="D464" s="24" t="n">
        <v>2162820300.8</v>
      </c>
      <c r="E464" s="24" t="n">
        <v>781507.2</v>
      </c>
      <c r="F464" s="24" t="n">
        <v>10550343.9</v>
      </c>
    </row>
    <row r="465" customFormat="false" ht="15" hidden="false" customHeight="false" outlineLevel="0" collapsed="false">
      <c r="A465" s="4" t="n">
        <v>2024</v>
      </c>
      <c r="B465" s="24" t="n">
        <v>6488008</v>
      </c>
      <c r="C465" s="24" t="n">
        <v>11354013.4</v>
      </c>
      <c r="D465" s="24" t="n">
        <v>2240795634.6</v>
      </c>
      <c r="E465" s="24" t="n">
        <v>1622002.6</v>
      </c>
      <c r="F465" s="24" t="n">
        <v>10543012.1</v>
      </c>
    </row>
    <row r="466" customFormat="false" ht="15" hidden="false" customHeight="false" outlineLevel="0" collapsed="false">
      <c r="A466" s="4" t="n">
        <v>2025</v>
      </c>
      <c r="B466" s="24" t="n">
        <v>10117632</v>
      </c>
      <c r="C466" s="24" t="n">
        <v>11803904.8</v>
      </c>
      <c r="D466" s="24" t="n">
        <v>2325790808.2</v>
      </c>
      <c r="E466" s="24" t="n">
        <v>2529409.2</v>
      </c>
      <c r="F466" s="24" t="n">
        <v>10539201.4</v>
      </c>
    </row>
    <row r="467" customFormat="false" ht="15" hidden="false" customHeight="false" outlineLevel="0" collapsed="false">
      <c r="A467" s="4" t="n">
        <v>2026</v>
      </c>
      <c r="B467" s="24" t="n">
        <v>13827098</v>
      </c>
      <c r="C467" s="24" t="n">
        <v>12098710.1</v>
      </c>
      <c r="D467" s="24" t="n">
        <v>2379989122.7</v>
      </c>
      <c r="E467" s="24" t="n">
        <v>3456773.3</v>
      </c>
      <c r="F467" s="24" t="n">
        <v>10370322.3</v>
      </c>
    </row>
    <row r="468" customFormat="false" ht="15" hidden="false" customHeight="false" outlineLevel="0" collapsed="false">
      <c r="A468" s="4" t="n">
        <v>2027</v>
      </c>
      <c r="B468" s="24" t="n">
        <v>17714087</v>
      </c>
      <c r="C468" s="24" t="n">
        <v>12399861.2</v>
      </c>
      <c r="D468" s="24" t="n">
        <v>2435244160.5</v>
      </c>
      <c r="E468" s="24" t="n">
        <v>4428521.1</v>
      </c>
      <c r="F468" s="24" t="n">
        <v>10185600.6</v>
      </c>
    </row>
    <row r="469" customFormat="false" ht="15" hidden="false" customHeight="false" outlineLevel="0" collapsed="false">
      <c r="A469" s="4" t="n">
        <v>2028</v>
      </c>
      <c r="B469" s="24" t="n">
        <v>21776787.1</v>
      </c>
      <c r="C469" s="24" t="n">
        <v>12703125.2</v>
      </c>
      <c r="D469" s="24" t="n">
        <v>2490719904.5</v>
      </c>
      <c r="E469" s="24" t="n">
        <v>5444196.1</v>
      </c>
      <c r="F469" s="24" t="n">
        <v>9981025.8</v>
      </c>
    </row>
    <row r="470" customFormat="false" ht="15" hidden="false" customHeight="false" outlineLevel="0" collapsed="false">
      <c r="A470" s="4" t="n">
        <v>2029</v>
      </c>
      <c r="B470" s="24" t="n">
        <v>26030193.8</v>
      </c>
      <c r="C470" s="24" t="n">
        <v>13015096.9</v>
      </c>
      <c r="D470" s="24" t="n">
        <v>2547705222.7</v>
      </c>
      <c r="E470" s="24" t="n">
        <v>6507548.5</v>
      </c>
      <c r="F470" s="24" t="n">
        <v>9761322.7</v>
      </c>
    </row>
    <row r="471" customFormat="false" ht="15" hidden="false" customHeight="false" outlineLevel="0" collapsed="false">
      <c r="A471" s="4" t="n">
        <v>2030</v>
      </c>
      <c r="B471" s="24" t="n">
        <v>30458559.5</v>
      </c>
      <c r="C471" s="24" t="n">
        <v>13325620.3</v>
      </c>
      <c r="D471" s="24" t="n">
        <v>2604206932.7</v>
      </c>
      <c r="E471" s="24" t="n">
        <v>7614640.5</v>
      </c>
      <c r="F471" s="24" t="n">
        <v>9518301.3</v>
      </c>
    </row>
    <row r="472" customFormat="false" ht="15" hidden="false" customHeight="false" outlineLevel="0" collapsed="false">
      <c r="A472" s="4" t="n">
        <v>2031</v>
      </c>
      <c r="B472" s="24" t="n">
        <v>35059154</v>
      </c>
      <c r="C472" s="24" t="n">
        <v>13634115.3</v>
      </c>
      <c r="D472" s="24" t="n">
        <v>2660113277.3</v>
      </c>
      <c r="E472" s="24" t="n">
        <v>8764789.2</v>
      </c>
      <c r="F472" s="24" t="n">
        <v>9251720.7</v>
      </c>
    </row>
    <row r="473" customFormat="false" ht="15" hidden="false" customHeight="false" outlineLevel="0" collapsed="false">
      <c r="A473" s="4" t="n">
        <v>2032</v>
      </c>
      <c r="B473" s="24" t="n">
        <v>39828510.2</v>
      </c>
      <c r="C473" s="24" t="n">
        <v>13939978.9</v>
      </c>
      <c r="D473" s="24" t="n">
        <v>2715308737.3</v>
      </c>
      <c r="E473" s="24" t="n">
        <v>9957128.9</v>
      </c>
      <c r="F473" s="24" t="n">
        <v>8961415.8</v>
      </c>
    </row>
    <row r="474" customFormat="false" ht="15" hidden="false" customHeight="false" outlineLevel="0" collapsed="false">
      <c r="A474" s="4" t="n">
        <v>2033</v>
      </c>
      <c r="B474" s="24" t="n">
        <v>62031487.6</v>
      </c>
      <c r="C474" s="24" t="n">
        <v>13529689.3</v>
      </c>
      <c r="D474" s="24" t="n">
        <v>2631041364.8</v>
      </c>
      <c r="E474" s="24" t="n">
        <v>133700027.3</v>
      </c>
      <c r="F474" s="24" t="n">
        <v>8214453.4</v>
      </c>
    </row>
    <row r="475" customFormat="false" ht="15" hidden="false" customHeight="false" outlineLevel="0" collapsed="false">
      <c r="A475" s="4" t="n">
        <v>2034</v>
      </c>
      <c r="B475" s="24" t="n">
        <v>84601752.9</v>
      </c>
      <c r="C475" s="24" t="n">
        <v>13088064.2</v>
      </c>
      <c r="D475" s="24" t="n">
        <v>2540954171.1</v>
      </c>
      <c r="E475" s="24" t="n">
        <v>262134286.6</v>
      </c>
      <c r="F475" s="24" t="n">
        <v>7478894.2</v>
      </c>
    </row>
    <row r="476" customFormat="false" ht="15" hidden="false" customHeight="false" outlineLevel="0" collapsed="false">
      <c r="A476" s="4" t="n">
        <v>2035</v>
      </c>
      <c r="B476" s="24" t="n">
        <v>107500686.3</v>
      </c>
      <c r="C476" s="24" t="n">
        <v>12614806.5</v>
      </c>
      <c r="D476" s="24" t="n">
        <v>2445019810.6</v>
      </c>
      <c r="E476" s="24" t="n">
        <v>395188976</v>
      </c>
      <c r="F476" s="24" t="n">
        <v>6757931</v>
      </c>
    </row>
    <row r="477" customFormat="false" ht="15" hidden="false" customHeight="false" outlineLevel="0" collapsed="false">
      <c r="A477" s="4" t="n">
        <v>2036</v>
      </c>
      <c r="B477" s="24" t="n">
        <v>130687058.4</v>
      </c>
      <c r="C477" s="24" t="n">
        <v>12109699.9</v>
      </c>
      <c r="D477" s="24" t="n">
        <v>2343226927.5</v>
      </c>
      <c r="E477" s="24" t="n">
        <v>532775373.6</v>
      </c>
      <c r="F477" s="24" t="n">
        <v>6054849.9</v>
      </c>
    </row>
    <row r="478" customFormat="false" ht="15" hidden="false" customHeight="false" outlineLevel="0" collapsed="false">
      <c r="A478" s="4" t="n">
        <v>2037</v>
      </c>
      <c r="B478" s="24" t="n">
        <v>154117056.5</v>
      </c>
      <c r="C478" s="24" t="n">
        <v>11572614.8</v>
      </c>
      <c r="D478" s="24" t="n">
        <v>2235581185.6</v>
      </c>
      <c r="E478" s="24" t="n">
        <v>674786076.3</v>
      </c>
      <c r="F478" s="24" t="n">
        <v>5373000.7</v>
      </c>
    </row>
    <row r="479" customFormat="false" ht="15" hidden="false" customHeight="false" outlineLevel="0" collapsed="false">
      <c r="A479" s="4" t="n">
        <v>2038</v>
      </c>
      <c r="B479" s="24" t="n">
        <v>177744294.3</v>
      </c>
      <c r="C479" s="24" t="n">
        <v>11003514.2</v>
      </c>
      <c r="D479" s="24" t="n">
        <v>2122106307</v>
      </c>
      <c r="E479" s="24" t="n">
        <v>821094104.8</v>
      </c>
      <c r="F479" s="24" t="n">
        <v>4715791.5</v>
      </c>
    </row>
    <row r="480" customFormat="false" ht="15" hidden="false" customHeight="false" outlineLevel="0" collapsed="false">
      <c r="A480" s="4" t="n">
        <v>2039</v>
      </c>
      <c r="B480" s="24" t="n">
        <v>201519832.3</v>
      </c>
      <c r="C480" s="24" t="n">
        <v>10402460.3</v>
      </c>
      <c r="D480" s="24" t="n">
        <v>2002845128.5</v>
      </c>
      <c r="E480" s="24" t="n">
        <v>971552005.2</v>
      </c>
      <c r="F480" s="24" t="n">
        <v>4086681.4</v>
      </c>
    </row>
    <row r="481" customFormat="false" ht="15" hidden="false" customHeight="false" outlineLevel="0" collapsed="false">
      <c r="A481" s="4" t="n">
        <v>2040</v>
      </c>
      <c r="B481" s="24" t="n">
        <v>225392229.3</v>
      </c>
      <c r="C481" s="24" t="n">
        <v>9769620.7</v>
      </c>
      <c r="D481" s="24" t="n">
        <v>1877860666.8</v>
      </c>
      <c r="E481" s="24" t="n">
        <v>1125990945.6</v>
      </c>
      <c r="F481" s="24" t="n">
        <v>3489149.7</v>
      </c>
    </row>
    <row r="482" customFormat="false" ht="15" hidden="false" customHeight="false" outlineLevel="0" collapsed="false">
      <c r="A482" s="4" t="n">
        <v>2041</v>
      </c>
      <c r="B482" s="24" t="n">
        <v>249414989.8</v>
      </c>
      <c r="C482" s="24" t="n">
        <v>9109197.9</v>
      </c>
      <c r="D482" s="24" t="n">
        <v>1747990010.7</v>
      </c>
      <c r="E482" s="24" t="n">
        <v>1284773144.1</v>
      </c>
      <c r="F482" s="24" t="n">
        <v>2927956.7</v>
      </c>
    </row>
    <row r="483" customFormat="false" ht="15" hidden="false" customHeight="false" outlineLevel="0" collapsed="false">
      <c r="A483" s="4" t="n">
        <v>2042</v>
      </c>
      <c r="B483" s="24" t="n">
        <v>273562898.6</v>
      </c>
      <c r="C483" s="24" t="n">
        <v>8420697.1</v>
      </c>
      <c r="D483" s="24" t="n">
        <v>1613164978.8</v>
      </c>
      <c r="E483" s="24" t="n">
        <v>1447894529</v>
      </c>
      <c r="F483" s="24" t="n">
        <v>2405912.7</v>
      </c>
    </row>
    <row r="484" customFormat="false" ht="15" hidden="false" customHeight="false" outlineLevel="0" collapsed="false">
      <c r="A484" s="4" t="n">
        <v>2043</v>
      </c>
      <c r="B484" s="24" t="n">
        <v>297808443.4</v>
      </c>
      <c r="C484" s="24" t="n">
        <v>7703672</v>
      </c>
      <c r="D484" s="24" t="n">
        <v>1473327261</v>
      </c>
      <c r="E484" s="24" t="n">
        <v>1615336963.7</v>
      </c>
      <c r="F484" s="24" t="n">
        <v>1925918</v>
      </c>
    </row>
    <row r="485" customFormat="false" ht="15" hidden="false" customHeight="false" outlineLevel="0" collapsed="false">
      <c r="A485" s="4" t="n">
        <v>2044</v>
      </c>
      <c r="B485" s="24" t="n">
        <v>322121707.4</v>
      </c>
      <c r="C485" s="24" t="n">
        <v>6957731.5</v>
      </c>
      <c r="D485" s="24" t="n">
        <v>1328429734.9</v>
      </c>
      <c r="E485" s="24" t="n">
        <v>1787066713.7</v>
      </c>
      <c r="F485" s="24" t="n">
        <v>1490943.1</v>
      </c>
    </row>
    <row r="486" customFormat="false" ht="15" hidden="false" customHeight="false" outlineLevel="0" collapsed="false">
      <c r="A486" s="4" t="n">
        <v>2045</v>
      </c>
      <c r="B486" s="24" t="n">
        <v>346470240.5</v>
      </c>
      <c r="C486" s="24" t="n">
        <v>6182548.6</v>
      </c>
      <c r="D486" s="24" t="n">
        <v>1178437916.6</v>
      </c>
      <c r="E486" s="24" t="n">
        <v>1963032772.1</v>
      </c>
      <c r="F486" s="24" t="n">
        <v>1104026.4</v>
      </c>
    </row>
    <row r="487" customFormat="false" ht="15" hidden="false" customHeight="false" outlineLevel="0" collapsed="false">
      <c r="A487" s="4" t="n">
        <v>2046</v>
      </c>
      <c r="B487" s="24" t="n">
        <v>370818925.9</v>
      </c>
      <c r="C487" s="24" t="n">
        <v>5377868.5</v>
      </c>
      <c r="D487" s="24" t="n">
        <v>1023331552.2</v>
      </c>
      <c r="E487" s="24" t="n">
        <v>2143165030.2</v>
      </c>
      <c r="F487" s="24" t="n">
        <v>768267.2</v>
      </c>
    </row>
    <row r="488" customFormat="false" ht="15" hidden="false" customHeight="false" outlineLevel="0" collapsed="false">
      <c r="A488" s="4" t="n">
        <v>2047</v>
      </c>
      <c r="B488" s="24" t="n">
        <v>395129855</v>
      </c>
      <c r="C488" s="24" t="n">
        <v>4543519.1</v>
      </c>
      <c r="D488" s="24" t="n">
        <v>863106352.3</v>
      </c>
      <c r="E488" s="24" t="n">
        <v>2327372294.9</v>
      </c>
      <c r="F488" s="24" t="n">
        <v>486805.4</v>
      </c>
    </row>
    <row r="489" customFormat="false" ht="15" hidden="false" customHeight="false" outlineLevel="0" collapsed="false">
      <c r="A489" s="4" t="n">
        <v>2048</v>
      </c>
      <c r="B489" s="24" t="n">
        <v>419362179.7</v>
      </c>
      <c r="C489" s="24" t="n">
        <v>3679420.9</v>
      </c>
      <c r="D489" s="24" t="n">
        <v>697775901.6</v>
      </c>
      <c r="E489" s="24" t="n">
        <v>2515540122.1</v>
      </c>
      <c r="F489" s="24" t="n">
        <v>262815.9</v>
      </c>
    </row>
    <row r="490" customFormat="false" ht="15" hidden="false" customHeight="false" outlineLevel="0" collapsed="false">
      <c r="A490" s="4" t="n">
        <v>2049</v>
      </c>
      <c r="B490" s="24" t="n">
        <v>443471973.6</v>
      </c>
      <c r="C490" s="24" t="n">
        <v>2785599.9</v>
      </c>
      <c r="D490" s="24" t="n">
        <v>527373750.1</v>
      </c>
      <c r="E490" s="24" t="n">
        <v>2707528452.8</v>
      </c>
      <c r="F490" s="24" t="n">
        <v>99485.5</v>
      </c>
    </row>
    <row r="491" customFormat="false" ht="15" hidden="false" customHeight="false" outlineLevel="0" collapsed="false">
      <c r="A491" s="4" t="n">
        <v>2050</v>
      </c>
      <c r="B491" s="24" t="n">
        <v>467412076.9</v>
      </c>
      <c r="C491" s="24" t="n">
        <v>1862199.5</v>
      </c>
      <c r="D491" s="24" t="n">
        <v>351955707.3</v>
      </c>
      <c r="E491" s="24" t="n">
        <v>2903169035.2</v>
      </c>
      <c r="F491" s="24" t="n">
        <v>0</v>
      </c>
    </row>
    <row r="494" customFormat="false" ht="15" hidden="false" customHeight="false" outlineLevel="0" collapsed="false">
      <c r="A494" s="13" t="s">
        <v>240</v>
      </c>
    </row>
    <row r="495" customFormat="false" ht="15" hidden="false" customHeight="false" outlineLevel="0" collapsed="false">
      <c r="A495" s="10" t="s">
        <v>235</v>
      </c>
      <c r="B495" s="12"/>
      <c r="C495" s="12"/>
      <c r="D495" s="12"/>
      <c r="E495" s="12"/>
      <c r="F495" s="12"/>
      <c r="G495" s="12"/>
    </row>
    <row r="496" customFormat="false" ht="15" hidden="false" customHeight="false" outlineLevel="0" collapsed="false">
      <c r="A496" s="3" t="s">
        <v>113</v>
      </c>
      <c r="B496" s="3" t="s">
        <v>228</v>
      </c>
      <c r="C496" s="3" t="s">
        <v>229</v>
      </c>
      <c r="D496" s="3" t="s">
        <v>230</v>
      </c>
      <c r="E496" s="3" t="s">
        <v>243</v>
      </c>
      <c r="F496" s="3" t="s">
        <v>244</v>
      </c>
      <c r="G496" s="3" t="s">
        <v>58</v>
      </c>
    </row>
    <row r="497" customFormat="false" ht="15" hidden="false" customHeight="false" outlineLevel="0" collapsed="false">
      <c r="A497" s="4" t="n">
        <v>2023</v>
      </c>
      <c r="B497" s="25" t="n">
        <f aca="false">B402/60000</f>
        <v>52.1004433333333</v>
      </c>
      <c r="C497" s="25" t="n">
        <f aca="false">C402/60000</f>
        <v>182.351606666667</v>
      </c>
      <c r="D497" s="25" t="n">
        <f aca="false">D402/60000</f>
        <v>36047.0050133333</v>
      </c>
      <c r="E497" s="25" t="n">
        <f aca="false">E402/60000</f>
        <v>13.02512</v>
      </c>
      <c r="F497" s="25" t="n">
        <f aca="false">F402/60000</f>
        <v>175.839065</v>
      </c>
      <c r="G497" s="26" t="n">
        <f aca="false">SUM(B497:F497)</f>
        <v>36470.3212483333</v>
      </c>
    </row>
    <row r="498" customFormat="false" ht="15" hidden="false" customHeight="false" outlineLevel="0" collapsed="false">
      <c r="A498" s="4" t="n">
        <v>2024</v>
      </c>
      <c r="B498" s="25" t="n">
        <f aca="false">B403/60000</f>
        <v>108.133466666667</v>
      </c>
      <c r="C498" s="25" t="n">
        <f aca="false">C403/60000</f>
        <v>189.233556666667</v>
      </c>
      <c r="D498" s="25" t="n">
        <f aca="false">D403/60000</f>
        <v>37346.59391</v>
      </c>
      <c r="E498" s="25" t="n">
        <f aca="false">E403/60000</f>
        <v>27.0333766666667</v>
      </c>
      <c r="F498" s="25" t="n">
        <f aca="false">F403/60000</f>
        <v>175.716868333333</v>
      </c>
      <c r="G498" s="26" t="n">
        <f aca="false">SUM(B498:F498)</f>
        <v>37846.7111783333</v>
      </c>
    </row>
    <row r="499" customFormat="false" ht="15" hidden="false" customHeight="false" outlineLevel="0" collapsed="false">
      <c r="A499" s="4" t="n">
        <v>2025</v>
      </c>
      <c r="B499" s="25" t="n">
        <f aca="false">B404/60000</f>
        <v>168.6272</v>
      </c>
      <c r="C499" s="25" t="n">
        <f aca="false">C404/60000</f>
        <v>196.731746666667</v>
      </c>
      <c r="D499" s="25" t="n">
        <f aca="false">D404/60000</f>
        <v>38763.1801366667</v>
      </c>
      <c r="E499" s="25" t="n">
        <f aca="false">E404/60000</f>
        <v>42.15682</v>
      </c>
      <c r="F499" s="25" t="n">
        <f aca="false">F404/60000</f>
        <v>175.653356666667</v>
      </c>
      <c r="G499" s="26" t="n">
        <f aca="false">SUM(B499:F499)</f>
        <v>39346.34926</v>
      </c>
    </row>
    <row r="500" customFormat="false" ht="15" hidden="false" customHeight="false" outlineLevel="0" collapsed="false">
      <c r="A500" s="4" t="n">
        <v>2026</v>
      </c>
      <c r="B500" s="25" t="n">
        <f aca="false">B405/60000</f>
        <v>233.961048333333</v>
      </c>
      <c r="C500" s="25" t="n">
        <f aca="false">C405/60000</f>
        <v>204.715906666667</v>
      </c>
      <c r="D500" s="25" t="n">
        <f aca="false">D405/60000</f>
        <v>40270.5435316667</v>
      </c>
      <c r="E500" s="25" t="n">
        <f aca="false">E405/60000</f>
        <v>58.4902416666667</v>
      </c>
      <c r="F500" s="25" t="n">
        <f aca="false">F405/60000</f>
        <v>175.470766666667</v>
      </c>
      <c r="G500" s="26" t="n">
        <f aca="false">SUM(B500:F500)</f>
        <v>40943.181495</v>
      </c>
    </row>
    <row r="501" customFormat="false" ht="15" hidden="false" customHeight="false" outlineLevel="0" collapsed="false">
      <c r="A501" s="4" t="n">
        <v>2027</v>
      </c>
      <c r="B501" s="25" t="n">
        <f aca="false">B406/60000</f>
        <v>304.365756666667</v>
      </c>
      <c r="C501" s="25" t="n">
        <f aca="false">C406/60000</f>
        <v>213.056033333333</v>
      </c>
      <c r="D501" s="25" t="n">
        <f aca="false">D406/60000</f>
        <v>41842.68317</v>
      </c>
      <c r="E501" s="25" t="n">
        <f aca="false">E406/60000</f>
        <v>76.0914283333333</v>
      </c>
      <c r="F501" s="25" t="n">
        <f aca="false">F406/60000</f>
        <v>175.01032</v>
      </c>
      <c r="G501" s="26" t="n">
        <f aca="false">SUM(B501:F501)</f>
        <v>42611.2067083333</v>
      </c>
    </row>
    <row r="502" customFormat="false" ht="15" hidden="false" customHeight="false" outlineLevel="0" collapsed="false">
      <c r="A502" s="4" t="n">
        <v>2028</v>
      </c>
      <c r="B502" s="25" t="n">
        <f aca="false">B407/60000</f>
        <v>380.048641666667</v>
      </c>
      <c r="C502" s="25" t="n">
        <f aca="false">C407/60000</f>
        <v>221.69503</v>
      </c>
      <c r="D502" s="25" t="n">
        <f aca="false">D407/60000</f>
        <v>43468.0611616667</v>
      </c>
      <c r="E502" s="25" t="n">
        <f aca="false">E407/60000</f>
        <v>95.01215</v>
      </c>
      <c r="F502" s="25" t="n">
        <f aca="false">F407/60000</f>
        <v>174.188933333333</v>
      </c>
      <c r="G502" s="26" t="n">
        <f aca="false">SUM(B502:F502)</f>
        <v>44339.0059166667</v>
      </c>
    </row>
    <row r="503" customFormat="false" ht="15" hidden="false" customHeight="false" outlineLevel="0" collapsed="false">
      <c r="A503" s="4" t="n">
        <v>2029</v>
      </c>
      <c r="B503" s="25" t="n">
        <f aca="false">B408/60000</f>
        <v>461.52826</v>
      </c>
      <c r="C503" s="25" t="n">
        <f aca="false">C408/60000</f>
        <v>230.76413</v>
      </c>
      <c r="D503" s="25" t="n">
        <f aca="false">D408/60000</f>
        <v>45172.078415</v>
      </c>
      <c r="E503" s="25" t="n">
        <f aca="false">E408/60000</f>
        <v>115.382065</v>
      </c>
      <c r="F503" s="25" t="n">
        <f aca="false">F408/60000</f>
        <v>173.073096666667</v>
      </c>
      <c r="G503" s="26" t="n">
        <f aca="false">SUM(B503:F503)</f>
        <v>46152.8259666667</v>
      </c>
    </row>
    <row r="504" customFormat="false" ht="15" hidden="false" customHeight="false" outlineLevel="0" collapsed="false">
      <c r="A504" s="4" t="n">
        <v>2030</v>
      </c>
      <c r="B504" s="25" t="n">
        <f aca="false">B409/60000</f>
        <v>548.802873333333</v>
      </c>
      <c r="C504" s="25" t="n">
        <f aca="false">C409/60000</f>
        <v>240.101266666667</v>
      </c>
      <c r="D504" s="25" t="n">
        <f aca="false">D409/60000</f>
        <v>46922.647435</v>
      </c>
      <c r="E504" s="25" t="n">
        <f aca="false">E409/60000</f>
        <v>137.20073</v>
      </c>
      <c r="F504" s="25" t="n">
        <f aca="false">F409/60000</f>
        <v>171.500925</v>
      </c>
      <c r="G504" s="26" t="n">
        <f aca="false">SUM(B504:F504)</f>
        <v>48020.25323</v>
      </c>
    </row>
    <row r="505" customFormat="false" ht="15" hidden="false" customHeight="false" outlineLevel="0" collapsed="false">
      <c r="A505" s="4" t="n">
        <v>2031</v>
      </c>
      <c r="B505" s="25" t="n">
        <f aca="false">B410/60000</f>
        <v>642.109046666667</v>
      </c>
      <c r="C505" s="25" t="n">
        <f aca="false">C410/60000</f>
        <v>249.709071666667</v>
      </c>
      <c r="D505" s="25" t="n">
        <f aca="false">D410/60000</f>
        <v>48720.0233933333</v>
      </c>
      <c r="E505" s="25" t="n">
        <f aca="false">E410/60000</f>
        <v>160.527275</v>
      </c>
      <c r="F505" s="25" t="n">
        <f aca="false">F410/60000</f>
        <v>169.445433333333</v>
      </c>
      <c r="G505" s="26" t="n">
        <f aca="false">SUM(B505:F505)</f>
        <v>49941.81422</v>
      </c>
    </row>
    <row r="506" customFormat="false" ht="15" hidden="false" customHeight="false" outlineLevel="0" collapsed="false">
      <c r="A506" s="4" t="n">
        <v>2032</v>
      </c>
      <c r="B506" s="25" t="n">
        <f aca="false">B411/60000</f>
        <v>741.685478333333</v>
      </c>
      <c r="C506" s="25" t="n">
        <f aca="false">C411/60000</f>
        <v>259.589923333333</v>
      </c>
      <c r="D506" s="25" t="n">
        <f aca="false">D411/60000</f>
        <v>50564.408515</v>
      </c>
      <c r="E506" s="25" t="n">
        <f aca="false">E411/60000</f>
        <v>185.421395</v>
      </c>
      <c r="F506" s="25" t="n">
        <f aca="false">F411/60000</f>
        <v>166.879251666667</v>
      </c>
      <c r="G506" s="26" t="n">
        <f aca="false">SUM(B506:F506)</f>
        <v>51917.9845633333</v>
      </c>
    </row>
    <row r="507" customFormat="false" ht="15" hidden="false" customHeight="false" outlineLevel="0" collapsed="false">
      <c r="A507" s="4" t="n">
        <v>2033</v>
      </c>
      <c r="B507" s="25" t="n">
        <f aca="false">B412/60000</f>
        <v>847.772938333333</v>
      </c>
      <c r="C507" s="25" t="n">
        <f aca="false">C412/60000</f>
        <v>269.74593</v>
      </c>
      <c r="D507" s="25" t="n">
        <f aca="false">D412/60000</f>
        <v>52455.949655</v>
      </c>
      <c r="E507" s="25" t="n">
        <f aca="false">E412/60000</f>
        <v>211.943208333333</v>
      </c>
      <c r="F507" s="25" t="n">
        <f aca="false">F412/60000</f>
        <v>163.7743</v>
      </c>
      <c r="G507" s="26" t="n">
        <f aca="false">SUM(B507:F507)</f>
        <v>53949.1860316667</v>
      </c>
    </row>
    <row r="508" customFormat="false" ht="15" hidden="false" customHeight="false" outlineLevel="0" collapsed="false">
      <c r="A508" s="4" t="n">
        <v>2034</v>
      </c>
      <c r="B508" s="25" t="n">
        <f aca="false">B413/60000</f>
        <v>960.613425</v>
      </c>
      <c r="C508" s="25" t="n">
        <f aca="false">C413/60000</f>
        <v>280.178918333333</v>
      </c>
      <c r="D508" s="25" t="n">
        <f aca="false">D413/60000</f>
        <v>54394.7356683333</v>
      </c>
      <c r="E508" s="25" t="n">
        <f aca="false">E413/60000</f>
        <v>240.153341666667</v>
      </c>
      <c r="F508" s="25" t="n">
        <f aca="false">F413/60000</f>
        <v>160.102246666667</v>
      </c>
      <c r="G508" s="26" t="n">
        <f aca="false">SUM(B508:F508)</f>
        <v>56035.7836</v>
      </c>
    </row>
    <row r="509" customFormat="false" ht="15" hidden="false" customHeight="false" outlineLevel="0" collapsed="false">
      <c r="A509" s="4" t="n">
        <v>2035</v>
      </c>
      <c r="B509" s="25" t="n">
        <f aca="false">B414/60000</f>
        <v>1080.45013</v>
      </c>
      <c r="C509" s="25" t="n">
        <f aca="false">C414/60000</f>
        <v>290.890413333333</v>
      </c>
      <c r="D509" s="25" t="n">
        <f aca="false">D414/60000</f>
        <v>56380.79537</v>
      </c>
      <c r="E509" s="25" t="n">
        <f aca="false">E414/60000</f>
        <v>270.112518333333</v>
      </c>
      <c r="F509" s="25" t="n">
        <f aca="false">F414/60000</f>
        <v>155.834125</v>
      </c>
      <c r="G509" s="26" t="n">
        <f aca="false">SUM(B509:F509)</f>
        <v>58178.0825566667</v>
      </c>
    </row>
    <row r="510" customFormat="false" ht="15" hidden="false" customHeight="false" outlineLevel="0" collapsed="false">
      <c r="A510" s="4" t="n">
        <v>2036</v>
      </c>
      <c r="B510" s="25" t="n">
        <f aca="false">B415/60000</f>
        <v>1207.52651</v>
      </c>
      <c r="C510" s="25" t="n">
        <f aca="false">C415/60000</f>
        <v>301.881628333333</v>
      </c>
      <c r="D510" s="25" t="n">
        <f aca="false">D415/60000</f>
        <v>58414.0949566667</v>
      </c>
      <c r="E510" s="25" t="n">
        <f aca="false">E415/60000</f>
        <v>301.881628333333</v>
      </c>
      <c r="F510" s="25" t="n">
        <f aca="false">F415/60000</f>
        <v>150.940813333333</v>
      </c>
      <c r="G510" s="26" t="n">
        <f aca="false">SUM(B510:F510)</f>
        <v>60376.3255366667</v>
      </c>
    </row>
    <row r="511" customFormat="false" ht="15" hidden="false" customHeight="false" outlineLevel="0" collapsed="false">
      <c r="A511" s="4" t="n">
        <v>2037</v>
      </c>
      <c r="B511" s="25" t="n">
        <f aca="false">B416/60000</f>
        <v>1342.08618166667</v>
      </c>
      <c r="C511" s="25" t="n">
        <f aca="false">C416/60000</f>
        <v>313.153448333333</v>
      </c>
      <c r="D511" s="25" t="n">
        <f aca="false">D416/60000</f>
        <v>60494.5358216667</v>
      </c>
      <c r="E511" s="25" t="n">
        <f aca="false">E416/60000</f>
        <v>335.521561666667</v>
      </c>
      <c r="F511" s="25" t="n">
        <f aca="false">F416/60000</f>
        <v>145.3927</v>
      </c>
      <c r="G511" s="26" t="n">
        <f aca="false">SUM(B511:F511)</f>
        <v>62630.6897133333</v>
      </c>
    </row>
    <row r="512" customFormat="false" ht="15" hidden="false" customHeight="false" outlineLevel="0" collapsed="false">
      <c r="A512" s="4" t="n">
        <v>2038</v>
      </c>
      <c r="B512" s="25" t="n">
        <f aca="false">B417/60000</f>
        <v>1484.37221166667</v>
      </c>
      <c r="C512" s="25" t="n">
        <f aca="false">C417/60000</f>
        <v>324.70642</v>
      </c>
      <c r="D512" s="25" t="n">
        <f aca="false">D417/60000</f>
        <v>62621.9523033333</v>
      </c>
      <c r="E512" s="25" t="n">
        <f aca="false">E417/60000</f>
        <v>371.09307</v>
      </c>
      <c r="F512" s="25" t="n">
        <f aca="false">F417/60000</f>
        <v>139.159885</v>
      </c>
      <c r="G512" s="26" t="n">
        <f aca="false">SUM(B512:F512)</f>
        <v>64941.28389</v>
      </c>
    </row>
    <row r="513" customFormat="false" ht="15" hidden="false" customHeight="false" outlineLevel="0" collapsed="false">
      <c r="A513" s="4" t="n">
        <v>2039</v>
      </c>
      <c r="B513" s="25" t="n">
        <f aca="false">B418/60000</f>
        <v>1634.62637666667</v>
      </c>
      <c r="C513" s="25" t="n">
        <f aca="false">C418/60000</f>
        <v>336.540728333333</v>
      </c>
      <c r="D513" s="25" t="n">
        <f aca="false">D418/60000</f>
        <v>64796.1095533333</v>
      </c>
      <c r="E513" s="25" t="n">
        <f aca="false">E418/60000</f>
        <v>408.656628333333</v>
      </c>
      <c r="F513" s="25" t="n">
        <f aca="false">F418/60000</f>
        <v>132.212448333333</v>
      </c>
      <c r="G513" s="26" t="n">
        <f aca="false">SUM(B513:F513)</f>
        <v>67308.145735</v>
      </c>
    </row>
    <row r="514" customFormat="false" ht="15" hidden="false" customHeight="false" outlineLevel="0" collapsed="false">
      <c r="A514" s="4" t="n">
        <v>2040</v>
      </c>
      <c r="B514" s="25" t="n">
        <f aca="false">B419/60000</f>
        <v>1793.08902166667</v>
      </c>
      <c r="C514" s="25" t="n">
        <f aca="false">C419/60000</f>
        <v>348.656195</v>
      </c>
      <c r="D514" s="25" t="n">
        <f aca="false">D419/60000</f>
        <v>67016.7014833333</v>
      </c>
      <c r="E514" s="25" t="n">
        <f aca="false">E419/60000</f>
        <v>448.27222</v>
      </c>
      <c r="F514" s="25" t="n">
        <f aca="false">F419/60000</f>
        <v>124.52005</v>
      </c>
      <c r="G514" s="26" t="n">
        <f aca="false">SUM(B514:F514)</f>
        <v>69731.23897</v>
      </c>
    </row>
    <row r="515" customFormat="false" ht="15" hidden="false" customHeight="false" outlineLevel="0" collapsed="false">
      <c r="A515" s="4" t="n">
        <v>2041</v>
      </c>
      <c r="B515" s="25" t="n">
        <f aca="false">B420/60000</f>
        <v>1960.84243</v>
      </c>
      <c r="C515" s="25" t="n">
        <f aca="false">C420/60000</f>
        <v>361.207818333333</v>
      </c>
      <c r="D515" s="25" t="n">
        <f aca="false">D420/60000</f>
        <v>69313.2002183333</v>
      </c>
      <c r="E515" s="25" t="n">
        <f aca="false">E420/60000</f>
        <v>490.21059</v>
      </c>
      <c r="F515" s="25" t="n">
        <f aca="false">F420/60000</f>
        <v>116.102523333333</v>
      </c>
      <c r="G515" s="26" t="n">
        <f aca="false">SUM(B515:F515)</f>
        <v>72241.56358</v>
      </c>
    </row>
    <row r="516" customFormat="false" ht="15" hidden="false" customHeight="false" outlineLevel="0" collapsed="false">
      <c r="A516" s="4" t="n">
        <v>2042</v>
      </c>
      <c r="B516" s="25" t="n">
        <f aca="false">B421/60000</f>
        <v>2138.35031333333</v>
      </c>
      <c r="C516" s="25" t="n">
        <f aca="false">C421/60000</f>
        <v>374.2113</v>
      </c>
      <c r="D516" s="25" t="n">
        <f aca="false">D421/60000</f>
        <v>71688.193215</v>
      </c>
      <c r="E516" s="25" t="n">
        <f aca="false">E421/60000</f>
        <v>534.58756</v>
      </c>
      <c r="F516" s="25" t="n">
        <f aca="false">F421/60000</f>
        <v>106.917481666667</v>
      </c>
      <c r="G516" s="26" t="n">
        <f aca="false">SUM(B516:F516)</f>
        <v>74842.25987</v>
      </c>
    </row>
    <row r="517" customFormat="false" ht="15" hidden="false" customHeight="false" outlineLevel="0" collapsed="false">
      <c r="A517" s="4" t="n">
        <v>2043</v>
      </c>
      <c r="B517" s="25" t="n">
        <f aca="false">B422/60000</f>
        <v>2326.09743666667</v>
      </c>
      <c r="C517" s="25" t="n">
        <f aca="false">C422/60000</f>
        <v>387.682906666667</v>
      </c>
      <c r="D517" s="25" t="n">
        <f aca="false">D422/60000</f>
        <v>74144.3558033333</v>
      </c>
      <c r="E517" s="25" t="n">
        <f aca="false">E422/60000</f>
        <v>581.52436</v>
      </c>
      <c r="F517" s="25" t="n">
        <f aca="false">F422/60000</f>
        <v>96.9207266666667</v>
      </c>
      <c r="G517" s="26" t="n">
        <f aca="false">SUM(B517:F517)</f>
        <v>77536.5812333333</v>
      </c>
    </row>
    <row r="518" customFormat="false" ht="15" hidden="false" customHeight="false" outlineLevel="0" collapsed="false">
      <c r="A518" s="4" t="n">
        <v>2044</v>
      </c>
      <c r="B518" s="25" t="n">
        <f aca="false">B423/60000</f>
        <v>2524.59105</v>
      </c>
      <c r="C518" s="25" t="n">
        <f aca="false">C423/60000</f>
        <v>401.63949</v>
      </c>
      <c r="D518" s="25" t="n">
        <f aca="false">D423/60000</f>
        <v>76684.454185</v>
      </c>
      <c r="E518" s="25" t="n">
        <f aca="false">E423/60000</f>
        <v>631.147783333333</v>
      </c>
      <c r="F518" s="25" t="n">
        <f aca="false">F423/60000</f>
        <v>86.06564</v>
      </c>
      <c r="G518" s="26" t="n">
        <f aca="false">SUM(B518:F518)</f>
        <v>80327.8981483334</v>
      </c>
    </row>
    <row r="519" customFormat="false" ht="15" hidden="false" customHeight="false" outlineLevel="0" collapsed="false">
      <c r="A519" s="4" t="n">
        <v>2045</v>
      </c>
      <c r="B519" s="25" t="n">
        <f aca="false">B424/60000</f>
        <v>2734.361665</v>
      </c>
      <c r="C519" s="25" t="n">
        <f aca="false">C424/60000</f>
        <v>416.098511666667</v>
      </c>
      <c r="D519" s="25" t="n">
        <f aca="false">D424/60000</f>
        <v>79311.3485716667</v>
      </c>
      <c r="E519" s="25" t="n">
        <f aca="false">E424/60000</f>
        <v>683.590436666667</v>
      </c>
      <c r="F519" s="25" t="n">
        <f aca="false">F424/60000</f>
        <v>74.3032933333333</v>
      </c>
      <c r="G519" s="26" t="n">
        <f aca="false">SUM(B519:F519)</f>
        <v>83219.7024783334</v>
      </c>
    </row>
    <row r="520" customFormat="false" ht="15" hidden="false" customHeight="false" outlineLevel="0" collapsed="false">
      <c r="A520" s="4" t="n">
        <v>2046</v>
      </c>
      <c r="B520" s="25" t="n">
        <f aca="false">B425/60000</f>
        <v>2955.96380833333</v>
      </c>
      <c r="C520" s="25" t="n">
        <f aca="false">C425/60000</f>
        <v>431.078058333333</v>
      </c>
      <c r="D520" s="25" t="n">
        <f aca="false">D425/60000</f>
        <v>82027.9963133333</v>
      </c>
      <c r="E520" s="25" t="n">
        <f aca="false">E425/60000</f>
        <v>738.990995</v>
      </c>
      <c r="F520" s="25" t="n">
        <f aca="false">F425/60000</f>
        <v>61.582605</v>
      </c>
      <c r="G520" s="26" t="n">
        <f aca="false">SUM(B520:F520)</f>
        <v>86215.61178</v>
      </c>
    </row>
    <row r="521" customFormat="false" ht="15" hidden="false" customHeight="false" outlineLevel="0" collapsed="false">
      <c r="A521" s="4" t="n">
        <v>2047</v>
      </c>
      <c r="B521" s="25" t="n">
        <f aca="false">B426/60000</f>
        <v>3189.97766166667</v>
      </c>
      <c r="C521" s="25" t="n">
        <f aca="false">C426/60000</f>
        <v>446.596868333333</v>
      </c>
      <c r="D521" s="25" t="n">
        <f aca="false">D426/60000</f>
        <v>84837.4552566667</v>
      </c>
      <c r="E521" s="25" t="n">
        <f aca="false">E426/60000</f>
        <v>797.49437</v>
      </c>
      <c r="F521" s="25" t="n">
        <f aca="false">F426/60000</f>
        <v>47.8496383333333</v>
      </c>
      <c r="G521" s="26" t="n">
        <f aca="false">SUM(B521:F521)</f>
        <v>89319.373795</v>
      </c>
    </row>
    <row r="522" customFormat="false" ht="15" hidden="false" customHeight="false" outlineLevel="0" collapsed="false">
      <c r="A522" s="4" t="n">
        <v>2048</v>
      </c>
      <c r="B522" s="25" t="n">
        <f aca="false">B427/60000</f>
        <v>3437.00949</v>
      </c>
      <c r="C522" s="25" t="n">
        <f aca="false">C427/60000</f>
        <v>462.674356666667</v>
      </c>
      <c r="D522" s="25" t="n">
        <f aca="false">D427/60000</f>
        <v>87742.8868733333</v>
      </c>
      <c r="E522" s="25" t="n">
        <f aca="false">E427/60000</f>
        <v>859.25235</v>
      </c>
      <c r="F522" s="25" t="n">
        <f aca="false">F427/60000</f>
        <v>33.0481816666667</v>
      </c>
      <c r="G522" s="26" t="n">
        <f aca="false">SUM(B522:F522)</f>
        <v>92534.8712516667</v>
      </c>
    </row>
    <row r="523" customFormat="false" ht="15" hidden="false" customHeight="false" outlineLevel="0" collapsed="false">
      <c r="A523" s="4" t="n">
        <v>2049</v>
      </c>
      <c r="B523" s="25" t="n">
        <f aca="false">B428/60000</f>
        <v>3697.69349666667</v>
      </c>
      <c r="C523" s="25" t="n">
        <f aca="false">C428/60000</f>
        <v>479.330633333333</v>
      </c>
      <c r="D523" s="25" t="n">
        <f aca="false">D428/60000</f>
        <v>90747.5602216667</v>
      </c>
      <c r="E523" s="25" t="n">
        <f aca="false">E428/60000</f>
        <v>924.42335</v>
      </c>
      <c r="F523" s="25" t="n">
        <f aca="false">F428/60000</f>
        <v>17.11891</v>
      </c>
      <c r="G523" s="26" t="n">
        <f aca="false">SUM(B523:F523)</f>
        <v>95866.1266116667</v>
      </c>
    </row>
    <row r="524" customFormat="false" ht="15" hidden="false" customHeight="false" outlineLevel="0" collapsed="false">
      <c r="A524" s="4" t="n">
        <v>2050</v>
      </c>
      <c r="B524" s="25" t="n">
        <f aca="false">B429/60000</f>
        <v>3972.69228666667</v>
      </c>
      <c r="C524" s="25" t="n">
        <f aca="false">C429/60000</f>
        <v>496.586536666667</v>
      </c>
      <c r="D524" s="25" t="n">
        <f aca="false">D429/60000</f>
        <v>93854.8552766667</v>
      </c>
      <c r="E524" s="25" t="n">
        <f aca="false">E429/60000</f>
        <v>993.173071666667</v>
      </c>
      <c r="F524" s="25" t="n">
        <f aca="false">F429/60000</f>
        <v>0</v>
      </c>
      <c r="G524" s="26" t="n">
        <f aca="false">SUM(B524:F524)</f>
        <v>99317.3071716667</v>
      </c>
    </row>
    <row r="527" customFormat="false" ht="15" hidden="false" customHeight="false" outlineLevel="0" collapsed="false">
      <c r="A527" s="10" t="s">
        <v>236</v>
      </c>
      <c r="B527" s="12"/>
      <c r="C527" s="12"/>
      <c r="D527" s="12"/>
      <c r="E527" s="12"/>
      <c r="F527" s="12"/>
      <c r="G527" s="12"/>
    </row>
    <row r="528" customFormat="false" ht="15" hidden="false" customHeight="false" outlineLevel="0" collapsed="false">
      <c r="A528" s="3" t="s">
        <v>113</v>
      </c>
      <c r="B528" s="3" t="s">
        <v>228</v>
      </c>
      <c r="C528" s="3" t="s">
        <v>229</v>
      </c>
      <c r="D528" s="3" t="s">
        <v>230</v>
      </c>
      <c r="E528" s="3" t="s">
        <v>243</v>
      </c>
      <c r="F528" s="3" t="s">
        <v>244</v>
      </c>
      <c r="G528" s="3" t="s">
        <v>58</v>
      </c>
    </row>
    <row r="529" customFormat="false" ht="15" hidden="false" customHeight="false" outlineLevel="0" collapsed="false">
      <c r="A529" s="4" t="n">
        <v>2023</v>
      </c>
      <c r="B529" s="25" t="n">
        <f aca="false">B433/60000</f>
        <v>52.1004433333333</v>
      </c>
      <c r="C529" s="25" t="n">
        <f aca="false">C433/60000</f>
        <v>182.351606666667</v>
      </c>
      <c r="D529" s="25" t="n">
        <f aca="false">D433/60000</f>
        <v>36047.0050133333</v>
      </c>
      <c r="E529" s="25" t="n">
        <f aca="false">E433/60000</f>
        <v>13.02512</v>
      </c>
      <c r="F529" s="25" t="n">
        <f aca="false">F433/60000</f>
        <v>175.839065</v>
      </c>
      <c r="G529" s="26" t="n">
        <f aca="false">SUM(B529:F529)</f>
        <v>36470.3212483333</v>
      </c>
    </row>
    <row r="530" customFormat="false" ht="15" hidden="false" customHeight="false" outlineLevel="0" collapsed="false">
      <c r="A530" s="4" t="n">
        <v>2024</v>
      </c>
      <c r="B530" s="25" t="n">
        <f aca="false">B434/60000</f>
        <v>108.133466666667</v>
      </c>
      <c r="C530" s="25" t="n">
        <f aca="false">C434/60000</f>
        <v>189.233556666667</v>
      </c>
      <c r="D530" s="25" t="n">
        <f aca="false">D434/60000</f>
        <v>37346.59391</v>
      </c>
      <c r="E530" s="25" t="n">
        <f aca="false">E434/60000</f>
        <v>27.0333766666667</v>
      </c>
      <c r="F530" s="25" t="n">
        <f aca="false">F434/60000</f>
        <v>175.716868333333</v>
      </c>
      <c r="G530" s="26" t="n">
        <f aca="false">SUM(B530:F530)</f>
        <v>37846.7111783333</v>
      </c>
    </row>
    <row r="531" customFormat="false" ht="15" hidden="false" customHeight="false" outlineLevel="0" collapsed="false">
      <c r="A531" s="4" t="n">
        <v>2025</v>
      </c>
      <c r="B531" s="25" t="n">
        <f aca="false">B435/60000</f>
        <v>168.6272</v>
      </c>
      <c r="C531" s="25" t="n">
        <f aca="false">C435/60000</f>
        <v>196.731746666667</v>
      </c>
      <c r="D531" s="25" t="n">
        <f aca="false">D435/60000</f>
        <v>38763.1801366667</v>
      </c>
      <c r="E531" s="25" t="n">
        <f aca="false">E435/60000</f>
        <v>42.15682</v>
      </c>
      <c r="F531" s="25" t="n">
        <f aca="false">F435/60000</f>
        <v>175.653356666667</v>
      </c>
      <c r="G531" s="26" t="n">
        <f aca="false">SUM(B531:F531)</f>
        <v>39346.34926</v>
      </c>
    </row>
    <row r="532" customFormat="false" ht="15" hidden="false" customHeight="false" outlineLevel="0" collapsed="false">
      <c r="A532" s="4" t="n">
        <v>2026</v>
      </c>
      <c r="B532" s="25" t="n">
        <f aca="false">B436/60000</f>
        <v>233.961048333333</v>
      </c>
      <c r="C532" s="25" t="n">
        <f aca="false">C436/60000</f>
        <v>204.715906666667</v>
      </c>
      <c r="D532" s="25" t="n">
        <f aca="false">D436/60000</f>
        <v>40270.5435316667</v>
      </c>
      <c r="E532" s="25" t="n">
        <f aca="false">E436/60000</f>
        <v>58.4902416666667</v>
      </c>
      <c r="F532" s="25" t="n">
        <f aca="false">F436/60000</f>
        <v>175.470766666667</v>
      </c>
      <c r="G532" s="26" t="n">
        <f aca="false">SUM(B532:F532)</f>
        <v>40943.181495</v>
      </c>
    </row>
    <row r="533" customFormat="false" ht="15" hidden="false" customHeight="false" outlineLevel="0" collapsed="false">
      <c r="A533" s="4" t="n">
        <v>2027</v>
      </c>
      <c r="B533" s="25" t="n">
        <f aca="false">B437/60000</f>
        <v>304.365756666667</v>
      </c>
      <c r="C533" s="25" t="n">
        <f aca="false">C437/60000</f>
        <v>213.056033333333</v>
      </c>
      <c r="D533" s="25" t="n">
        <f aca="false">D437/60000</f>
        <v>41842.68317</v>
      </c>
      <c r="E533" s="25" t="n">
        <f aca="false">E437/60000</f>
        <v>76.0914283333333</v>
      </c>
      <c r="F533" s="25" t="n">
        <f aca="false">F437/60000</f>
        <v>175.01032</v>
      </c>
      <c r="G533" s="26" t="n">
        <f aca="false">SUM(B533:F533)</f>
        <v>42611.2067083333</v>
      </c>
    </row>
    <row r="534" customFormat="false" ht="15" hidden="false" customHeight="false" outlineLevel="0" collapsed="false">
      <c r="A534" s="4" t="n">
        <v>2028</v>
      </c>
      <c r="B534" s="25" t="n">
        <f aca="false">B438/60000</f>
        <v>380.048641666667</v>
      </c>
      <c r="C534" s="25" t="n">
        <f aca="false">C438/60000</f>
        <v>221.69503</v>
      </c>
      <c r="D534" s="25" t="n">
        <f aca="false">D438/60000</f>
        <v>43468.0611616667</v>
      </c>
      <c r="E534" s="25" t="n">
        <f aca="false">E438/60000</f>
        <v>95.01215</v>
      </c>
      <c r="F534" s="25" t="n">
        <f aca="false">F438/60000</f>
        <v>174.188933333333</v>
      </c>
      <c r="G534" s="26" t="n">
        <f aca="false">SUM(B534:F534)</f>
        <v>44339.0059166667</v>
      </c>
    </row>
    <row r="535" customFormat="false" ht="15" hidden="false" customHeight="false" outlineLevel="0" collapsed="false">
      <c r="A535" s="4" t="n">
        <v>2029</v>
      </c>
      <c r="B535" s="25" t="n">
        <f aca="false">B439/60000</f>
        <v>461.52826</v>
      </c>
      <c r="C535" s="25" t="n">
        <f aca="false">C439/60000</f>
        <v>230.76413</v>
      </c>
      <c r="D535" s="25" t="n">
        <f aca="false">D439/60000</f>
        <v>45172.078415</v>
      </c>
      <c r="E535" s="25" t="n">
        <f aca="false">E439/60000</f>
        <v>115.382065</v>
      </c>
      <c r="F535" s="25" t="n">
        <f aca="false">F439/60000</f>
        <v>173.073096666667</v>
      </c>
      <c r="G535" s="26" t="n">
        <f aca="false">SUM(B535:F535)</f>
        <v>46152.8259666667</v>
      </c>
    </row>
    <row r="536" customFormat="false" ht="15" hidden="false" customHeight="false" outlineLevel="0" collapsed="false">
      <c r="A536" s="4" t="n">
        <v>2030</v>
      </c>
      <c r="B536" s="25" t="n">
        <f aca="false">B440/60000</f>
        <v>548.802873333333</v>
      </c>
      <c r="C536" s="25" t="n">
        <f aca="false">C440/60000</f>
        <v>240.101266666667</v>
      </c>
      <c r="D536" s="25" t="n">
        <f aca="false">D440/60000</f>
        <v>46922.647435</v>
      </c>
      <c r="E536" s="25" t="n">
        <f aca="false">E440/60000</f>
        <v>137.20073</v>
      </c>
      <c r="F536" s="25" t="n">
        <f aca="false">F440/60000</f>
        <v>171.500925</v>
      </c>
      <c r="G536" s="26" t="n">
        <f aca="false">SUM(B536:F536)</f>
        <v>48020.25323</v>
      </c>
    </row>
    <row r="537" customFormat="false" ht="15" hidden="false" customHeight="false" outlineLevel="0" collapsed="false">
      <c r="A537" s="4" t="n">
        <v>2031</v>
      </c>
      <c r="B537" s="25" t="n">
        <f aca="false">B441/60000</f>
        <v>642.109046666667</v>
      </c>
      <c r="C537" s="25" t="n">
        <f aca="false">C441/60000</f>
        <v>249.709071666667</v>
      </c>
      <c r="D537" s="25" t="n">
        <f aca="false">D441/60000</f>
        <v>48720.0233933333</v>
      </c>
      <c r="E537" s="25" t="n">
        <f aca="false">E441/60000</f>
        <v>160.527275</v>
      </c>
      <c r="F537" s="25" t="n">
        <f aca="false">F441/60000</f>
        <v>169.445433333333</v>
      </c>
      <c r="G537" s="26" t="n">
        <f aca="false">SUM(B537:F537)</f>
        <v>49941.81422</v>
      </c>
    </row>
    <row r="538" customFormat="false" ht="15" hidden="false" customHeight="false" outlineLevel="0" collapsed="false">
      <c r="A538" s="4" t="n">
        <v>2032</v>
      </c>
      <c r="B538" s="25" t="n">
        <f aca="false">B442/60000</f>
        <v>741.685478333333</v>
      </c>
      <c r="C538" s="25" t="n">
        <f aca="false">C442/60000</f>
        <v>259.589923333333</v>
      </c>
      <c r="D538" s="25" t="n">
        <f aca="false">D442/60000</f>
        <v>50564.408515</v>
      </c>
      <c r="E538" s="25" t="n">
        <f aca="false">E442/60000</f>
        <v>185.421395</v>
      </c>
      <c r="F538" s="25" t="n">
        <f aca="false">F442/60000</f>
        <v>166.879251666667</v>
      </c>
      <c r="G538" s="26" t="n">
        <f aca="false">SUM(B538:F538)</f>
        <v>51917.9845633333</v>
      </c>
    </row>
    <row r="539" customFormat="false" ht="15" hidden="false" customHeight="false" outlineLevel="0" collapsed="false">
      <c r="A539" s="4" t="n">
        <v>2033</v>
      </c>
      <c r="B539" s="25" t="n">
        <f aca="false">B443/60000</f>
        <v>847.772938333333</v>
      </c>
      <c r="C539" s="25" t="n">
        <f aca="false">C443/60000</f>
        <v>269.74593</v>
      </c>
      <c r="D539" s="25" t="n">
        <f aca="false">D443/60000</f>
        <v>52455.949655</v>
      </c>
      <c r="E539" s="25" t="n">
        <f aca="false">E443/60000</f>
        <v>211.943208333333</v>
      </c>
      <c r="F539" s="25" t="n">
        <f aca="false">F443/60000</f>
        <v>163.7743</v>
      </c>
      <c r="G539" s="26" t="n">
        <f aca="false">SUM(B539:F539)</f>
        <v>53949.1860316667</v>
      </c>
    </row>
    <row r="540" customFormat="false" ht="15" hidden="false" customHeight="false" outlineLevel="0" collapsed="false">
      <c r="A540" s="4" t="n">
        <v>2034</v>
      </c>
      <c r="B540" s="25" t="n">
        <f aca="false">B444/60000</f>
        <v>960.613425</v>
      </c>
      <c r="C540" s="25" t="n">
        <f aca="false">C444/60000</f>
        <v>280.178918333333</v>
      </c>
      <c r="D540" s="25" t="n">
        <f aca="false">D444/60000</f>
        <v>54394.7356683333</v>
      </c>
      <c r="E540" s="25" t="n">
        <f aca="false">E444/60000</f>
        <v>240.153341666667</v>
      </c>
      <c r="F540" s="25" t="n">
        <f aca="false">F444/60000</f>
        <v>160.102246666667</v>
      </c>
      <c r="G540" s="26" t="n">
        <f aca="false">SUM(B540:F540)</f>
        <v>56035.7836</v>
      </c>
    </row>
    <row r="541" customFormat="false" ht="15" hidden="false" customHeight="false" outlineLevel="0" collapsed="false">
      <c r="A541" s="4" t="n">
        <v>2035</v>
      </c>
      <c r="B541" s="25" t="n">
        <f aca="false">B445/60000</f>
        <v>1080.45013</v>
      </c>
      <c r="C541" s="25" t="n">
        <f aca="false">C445/60000</f>
        <v>290.890413333333</v>
      </c>
      <c r="D541" s="25" t="n">
        <f aca="false">D445/60000</f>
        <v>56380.79537</v>
      </c>
      <c r="E541" s="25" t="n">
        <f aca="false">E445/60000</f>
        <v>270.112518333333</v>
      </c>
      <c r="F541" s="25" t="n">
        <f aca="false">F445/60000</f>
        <v>155.834125</v>
      </c>
      <c r="G541" s="26" t="n">
        <f aca="false">SUM(B541:F541)</f>
        <v>58178.0825566667</v>
      </c>
    </row>
    <row r="542" customFormat="false" ht="15" hidden="false" customHeight="false" outlineLevel="0" collapsed="false">
      <c r="A542" s="4" t="n">
        <v>2036</v>
      </c>
      <c r="B542" s="25" t="n">
        <f aca="false">B446/60000</f>
        <v>1207.52651</v>
      </c>
      <c r="C542" s="25" t="n">
        <f aca="false">C446/60000</f>
        <v>301.881628333333</v>
      </c>
      <c r="D542" s="25" t="n">
        <f aca="false">D446/60000</f>
        <v>58414.0949566667</v>
      </c>
      <c r="E542" s="25" t="n">
        <f aca="false">E446/60000</f>
        <v>301.881628333333</v>
      </c>
      <c r="F542" s="25" t="n">
        <f aca="false">F446/60000</f>
        <v>150.940813333333</v>
      </c>
      <c r="G542" s="26" t="n">
        <f aca="false">SUM(B542:F542)</f>
        <v>60376.3255366667</v>
      </c>
    </row>
    <row r="543" customFormat="false" ht="15" hidden="false" customHeight="false" outlineLevel="0" collapsed="false">
      <c r="A543" s="4" t="n">
        <v>2037</v>
      </c>
      <c r="B543" s="25" t="n">
        <f aca="false">B447/60000</f>
        <v>1342.08618166667</v>
      </c>
      <c r="C543" s="25" t="n">
        <f aca="false">C447/60000</f>
        <v>313.153448333333</v>
      </c>
      <c r="D543" s="25" t="n">
        <f aca="false">D447/60000</f>
        <v>60494.5358216667</v>
      </c>
      <c r="E543" s="25" t="n">
        <f aca="false">E447/60000</f>
        <v>335.521561666667</v>
      </c>
      <c r="F543" s="25" t="n">
        <f aca="false">F447/60000</f>
        <v>145.3927</v>
      </c>
      <c r="G543" s="26" t="n">
        <f aca="false">SUM(B543:F543)</f>
        <v>62630.6897133333</v>
      </c>
    </row>
    <row r="544" customFormat="false" ht="15" hidden="false" customHeight="false" outlineLevel="0" collapsed="false">
      <c r="A544" s="4" t="n">
        <v>2038</v>
      </c>
      <c r="B544" s="25" t="n">
        <f aca="false">B448/60000</f>
        <v>1484.37221166667</v>
      </c>
      <c r="C544" s="25" t="n">
        <f aca="false">C448/60000</f>
        <v>324.70642</v>
      </c>
      <c r="D544" s="25" t="n">
        <f aca="false">D448/60000</f>
        <v>62621.9523033333</v>
      </c>
      <c r="E544" s="25" t="n">
        <f aca="false">E448/60000</f>
        <v>371.09307</v>
      </c>
      <c r="F544" s="25" t="n">
        <f aca="false">F448/60000</f>
        <v>139.159885</v>
      </c>
      <c r="G544" s="26" t="n">
        <f aca="false">SUM(B544:F544)</f>
        <v>64941.28389</v>
      </c>
    </row>
    <row r="545" customFormat="false" ht="15" hidden="false" customHeight="false" outlineLevel="0" collapsed="false">
      <c r="A545" s="4" t="n">
        <v>2039</v>
      </c>
      <c r="B545" s="25" t="n">
        <f aca="false">B449/60000</f>
        <v>1634.62637666667</v>
      </c>
      <c r="C545" s="25" t="n">
        <f aca="false">C449/60000</f>
        <v>336.540728333333</v>
      </c>
      <c r="D545" s="25" t="n">
        <f aca="false">D449/60000</f>
        <v>64796.1095533333</v>
      </c>
      <c r="E545" s="25" t="n">
        <f aca="false">E449/60000</f>
        <v>408.656628333333</v>
      </c>
      <c r="F545" s="25" t="n">
        <f aca="false">F449/60000</f>
        <v>132.212448333333</v>
      </c>
      <c r="G545" s="26" t="n">
        <f aca="false">SUM(B545:F545)</f>
        <v>67308.145735</v>
      </c>
    </row>
    <row r="546" customFormat="false" ht="15" hidden="false" customHeight="false" outlineLevel="0" collapsed="false">
      <c r="A546" s="4" t="n">
        <v>2040</v>
      </c>
      <c r="B546" s="25" t="n">
        <f aca="false">B450/60000</f>
        <v>1793.08902166667</v>
      </c>
      <c r="C546" s="25" t="n">
        <f aca="false">C450/60000</f>
        <v>348.656195</v>
      </c>
      <c r="D546" s="25" t="n">
        <f aca="false">D450/60000</f>
        <v>67016.7014833333</v>
      </c>
      <c r="E546" s="25" t="n">
        <f aca="false">E450/60000</f>
        <v>448.27222</v>
      </c>
      <c r="F546" s="25" t="n">
        <f aca="false">F450/60000</f>
        <v>124.52005</v>
      </c>
      <c r="G546" s="26" t="n">
        <f aca="false">SUM(B546:F546)</f>
        <v>69731.23897</v>
      </c>
    </row>
    <row r="547" customFormat="false" ht="15" hidden="false" customHeight="false" outlineLevel="0" collapsed="false">
      <c r="A547" s="4" t="n">
        <v>2041</v>
      </c>
      <c r="B547" s="25" t="n">
        <f aca="false">B451/60000</f>
        <v>1960.84243</v>
      </c>
      <c r="C547" s="25" t="n">
        <f aca="false">C451/60000</f>
        <v>361.207818333333</v>
      </c>
      <c r="D547" s="25" t="n">
        <f aca="false">D451/60000</f>
        <v>69313.2002183333</v>
      </c>
      <c r="E547" s="25" t="n">
        <f aca="false">E451/60000</f>
        <v>490.21059</v>
      </c>
      <c r="F547" s="25" t="n">
        <f aca="false">F451/60000</f>
        <v>116.102523333333</v>
      </c>
      <c r="G547" s="26" t="n">
        <f aca="false">SUM(B547:F547)</f>
        <v>72241.56358</v>
      </c>
    </row>
    <row r="548" customFormat="false" ht="15" hidden="false" customHeight="false" outlineLevel="0" collapsed="false">
      <c r="A548" s="4" t="n">
        <v>2042</v>
      </c>
      <c r="B548" s="25" t="n">
        <f aca="false">B452/60000</f>
        <v>2138.35031333333</v>
      </c>
      <c r="C548" s="25" t="n">
        <f aca="false">C452/60000</f>
        <v>374.2113</v>
      </c>
      <c r="D548" s="25" t="n">
        <f aca="false">D452/60000</f>
        <v>71688.193215</v>
      </c>
      <c r="E548" s="25" t="n">
        <f aca="false">E452/60000</f>
        <v>534.58756</v>
      </c>
      <c r="F548" s="25" t="n">
        <f aca="false">F452/60000</f>
        <v>106.917481666667</v>
      </c>
      <c r="G548" s="26" t="n">
        <f aca="false">SUM(B548:F548)</f>
        <v>74842.25987</v>
      </c>
    </row>
    <row r="549" customFormat="false" ht="15" hidden="false" customHeight="false" outlineLevel="0" collapsed="false">
      <c r="A549" s="4" t="n">
        <v>2043</v>
      </c>
      <c r="B549" s="25" t="n">
        <f aca="false">B453/60000</f>
        <v>2326.09743666667</v>
      </c>
      <c r="C549" s="25" t="n">
        <f aca="false">C453/60000</f>
        <v>387.682906666667</v>
      </c>
      <c r="D549" s="25" t="n">
        <f aca="false">D453/60000</f>
        <v>74144.3558033333</v>
      </c>
      <c r="E549" s="25" t="n">
        <f aca="false">E453/60000</f>
        <v>581.52436</v>
      </c>
      <c r="F549" s="25" t="n">
        <f aca="false">F453/60000</f>
        <v>96.9207266666667</v>
      </c>
      <c r="G549" s="26" t="n">
        <f aca="false">SUM(B549:F549)</f>
        <v>77536.5812333333</v>
      </c>
    </row>
    <row r="550" customFormat="false" ht="15" hidden="false" customHeight="false" outlineLevel="0" collapsed="false">
      <c r="A550" s="4" t="n">
        <v>2044</v>
      </c>
      <c r="B550" s="25" t="n">
        <f aca="false">B454/60000</f>
        <v>2524.59105</v>
      </c>
      <c r="C550" s="25" t="n">
        <f aca="false">C454/60000</f>
        <v>401.63949</v>
      </c>
      <c r="D550" s="25" t="n">
        <f aca="false">D454/60000</f>
        <v>76684.454185</v>
      </c>
      <c r="E550" s="25" t="n">
        <f aca="false">E454/60000</f>
        <v>631.147783333333</v>
      </c>
      <c r="F550" s="25" t="n">
        <f aca="false">F454/60000</f>
        <v>86.06564</v>
      </c>
      <c r="G550" s="26" t="n">
        <f aca="false">SUM(B550:F550)</f>
        <v>80327.8981483334</v>
      </c>
    </row>
    <row r="551" customFormat="false" ht="15" hidden="false" customHeight="false" outlineLevel="0" collapsed="false">
      <c r="A551" s="4" t="n">
        <v>2045</v>
      </c>
      <c r="B551" s="25" t="n">
        <f aca="false">B455/60000</f>
        <v>2734.361665</v>
      </c>
      <c r="C551" s="25" t="n">
        <f aca="false">C455/60000</f>
        <v>416.098511666667</v>
      </c>
      <c r="D551" s="25" t="n">
        <f aca="false">D455/60000</f>
        <v>79311.3485716667</v>
      </c>
      <c r="E551" s="25" t="n">
        <f aca="false">E455/60000</f>
        <v>683.590436666667</v>
      </c>
      <c r="F551" s="25" t="n">
        <f aca="false">F455/60000</f>
        <v>74.3032933333333</v>
      </c>
      <c r="G551" s="26" t="n">
        <f aca="false">SUM(B551:F551)</f>
        <v>83219.7024783334</v>
      </c>
    </row>
    <row r="552" customFormat="false" ht="15" hidden="false" customHeight="false" outlineLevel="0" collapsed="false">
      <c r="A552" s="4" t="n">
        <v>2046</v>
      </c>
      <c r="B552" s="25" t="n">
        <f aca="false">B456/60000</f>
        <v>2955.96380833333</v>
      </c>
      <c r="C552" s="25" t="n">
        <f aca="false">C456/60000</f>
        <v>431.078058333333</v>
      </c>
      <c r="D552" s="25" t="n">
        <f aca="false">D456/60000</f>
        <v>82027.9963133333</v>
      </c>
      <c r="E552" s="25" t="n">
        <f aca="false">E456/60000</f>
        <v>738.990995</v>
      </c>
      <c r="F552" s="25" t="n">
        <f aca="false">F456/60000</f>
        <v>61.582605</v>
      </c>
      <c r="G552" s="26" t="n">
        <f aca="false">SUM(B552:F552)</f>
        <v>86215.61178</v>
      </c>
    </row>
    <row r="553" customFormat="false" ht="15" hidden="false" customHeight="false" outlineLevel="0" collapsed="false">
      <c r="A553" s="4" t="n">
        <v>2047</v>
      </c>
      <c r="B553" s="25" t="n">
        <f aca="false">B457/60000</f>
        <v>3189.97766166667</v>
      </c>
      <c r="C553" s="25" t="n">
        <f aca="false">C457/60000</f>
        <v>446.596868333333</v>
      </c>
      <c r="D553" s="25" t="n">
        <f aca="false">D457/60000</f>
        <v>84837.4552566667</v>
      </c>
      <c r="E553" s="25" t="n">
        <f aca="false">E457/60000</f>
        <v>797.49437</v>
      </c>
      <c r="F553" s="25" t="n">
        <f aca="false">F457/60000</f>
        <v>47.8496383333333</v>
      </c>
      <c r="G553" s="26" t="n">
        <f aca="false">SUM(B553:F553)</f>
        <v>89319.373795</v>
      </c>
    </row>
    <row r="554" customFormat="false" ht="15" hidden="false" customHeight="false" outlineLevel="0" collapsed="false">
      <c r="A554" s="4" t="n">
        <v>2048</v>
      </c>
      <c r="B554" s="25" t="n">
        <f aca="false">B458/60000</f>
        <v>3437.00949</v>
      </c>
      <c r="C554" s="25" t="n">
        <f aca="false">C458/60000</f>
        <v>462.674356666667</v>
      </c>
      <c r="D554" s="25" t="n">
        <f aca="false">D458/60000</f>
        <v>87742.8868733333</v>
      </c>
      <c r="E554" s="25" t="n">
        <f aca="false">E458/60000</f>
        <v>859.25235</v>
      </c>
      <c r="F554" s="25" t="n">
        <f aca="false">F458/60000</f>
        <v>33.0481816666667</v>
      </c>
      <c r="G554" s="26" t="n">
        <f aca="false">SUM(B554:F554)</f>
        <v>92534.8712516667</v>
      </c>
    </row>
    <row r="555" customFormat="false" ht="15" hidden="false" customHeight="false" outlineLevel="0" collapsed="false">
      <c r="A555" s="4" t="n">
        <v>2049</v>
      </c>
      <c r="B555" s="25" t="n">
        <f aca="false">B459/60000</f>
        <v>3697.69349666667</v>
      </c>
      <c r="C555" s="25" t="n">
        <f aca="false">C459/60000</f>
        <v>479.330633333333</v>
      </c>
      <c r="D555" s="25" t="n">
        <f aca="false">D459/60000</f>
        <v>90747.5602216667</v>
      </c>
      <c r="E555" s="25" t="n">
        <f aca="false">E459/60000</f>
        <v>924.42335</v>
      </c>
      <c r="F555" s="25" t="n">
        <f aca="false">F459/60000</f>
        <v>17.11891</v>
      </c>
      <c r="G555" s="26" t="n">
        <f aca="false">SUM(B555:F555)</f>
        <v>95866.1266116667</v>
      </c>
    </row>
    <row r="556" customFormat="false" ht="15" hidden="false" customHeight="false" outlineLevel="0" collapsed="false">
      <c r="A556" s="4" t="n">
        <v>2050</v>
      </c>
      <c r="B556" s="25" t="n">
        <f aca="false">B460/60000</f>
        <v>3972.69228666667</v>
      </c>
      <c r="C556" s="25" t="n">
        <f aca="false">C460/60000</f>
        <v>496.586536666667</v>
      </c>
      <c r="D556" s="25" t="n">
        <f aca="false">D460/60000</f>
        <v>93854.8552766667</v>
      </c>
      <c r="E556" s="25" t="n">
        <f aca="false">E460/60000</f>
        <v>993.173071666667</v>
      </c>
      <c r="F556" s="25" t="n">
        <f aca="false">F460/60000</f>
        <v>0</v>
      </c>
      <c r="G556" s="26" t="n">
        <f aca="false">SUM(B556:F556)</f>
        <v>99317.3071716667</v>
      </c>
    </row>
    <row r="559" customFormat="false" ht="15" hidden="false" customHeight="false" outlineLevel="0" collapsed="false">
      <c r="A559" s="10" t="s">
        <v>237</v>
      </c>
      <c r="B559" s="12"/>
      <c r="C559" s="12"/>
      <c r="D559" s="12"/>
      <c r="E559" s="12"/>
      <c r="F559" s="12"/>
      <c r="G559" s="12"/>
    </row>
    <row r="560" customFormat="false" ht="15" hidden="false" customHeight="false" outlineLevel="0" collapsed="false">
      <c r="A560" s="3" t="s">
        <v>113</v>
      </c>
      <c r="B560" s="3" t="s">
        <v>228</v>
      </c>
      <c r="C560" s="3" t="s">
        <v>229</v>
      </c>
      <c r="D560" s="3" t="s">
        <v>230</v>
      </c>
      <c r="E560" s="3" t="s">
        <v>243</v>
      </c>
      <c r="F560" s="3" t="s">
        <v>244</v>
      </c>
      <c r="G560" s="3" t="s">
        <v>58</v>
      </c>
    </row>
    <row r="561" customFormat="false" ht="15" hidden="false" customHeight="false" outlineLevel="0" collapsed="false">
      <c r="A561" s="4" t="n">
        <v>2023</v>
      </c>
      <c r="B561" s="25" t="n">
        <f aca="false">B464/60000</f>
        <v>52.1004433333333</v>
      </c>
      <c r="C561" s="25" t="n">
        <f aca="false">C464/60000</f>
        <v>182.351606666667</v>
      </c>
      <c r="D561" s="25" t="n">
        <f aca="false">D464/60000</f>
        <v>36047.0050133333</v>
      </c>
      <c r="E561" s="25" t="n">
        <f aca="false">E464/60000</f>
        <v>13.02512</v>
      </c>
      <c r="F561" s="25" t="n">
        <f aca="false">F464/60000</f>
        <v>175.839065</v>
      </c>
      <c r="G561" s="26" t="n">
        <f aca="false">SUM(B561:F561)</f>
        <v>36470.3212483333</v>
      </c>
    </row>
    <row r="562" customFormat="false" ht="15" hidden="false" customHeight="false" outlineLevel="0" collapsed="false">
      <c r="A562" s="4" t="n">
        <v>2024</v>
      </c>
      <c r="B562" s="25" t="n">
        <f aca="false">B465/60000</f>
        <v>108.133466666667</v>
      </c>
      <c r="C562" s="25" t="n">
        <f aca="false">C465/60000</f>
        <v>189.233556666667</v>
      </c>
      <c r="D562" s="25" t="n">
        <f aca="false">D465/60000</f>
        <v>37346.59391</v>
      </c>
      <c r="E562" s="25" t="n">
        <f aca="false">E465/60000</f>
        <v>27.0333766666667</v>
      </c>
      <c r="F562" s="25" t="n">
        <f aca="false">F465/60000</f>
        <v>175.716868333333</v>
      </c>
      <c r="G562" s="26" t="n">
        <f aca="false">SUM(B562:F562)</f>
        <v>37846.7111783333</v>
      </c>
    </row>
    <row r="563" customFormat="false" ht="15" hidden="false" customHeight="false" outlineLevel="0" collapsed="false">
      <c r="A563" s="4" t="n">
        <v>2025</v>
      </c>
      <c r="B563" s="25" t="n">
        <f aca="false">B466/60000</f>
        <v>168.6272</v>
      </c>
      <c r="C563" s="25" t="n">
        <f aca="false">C466/60000</f>
        <v>196.731746666667</v>
      </c>
      <c r="D563" s="25" t="n">
        <f aca="false">D466/60000</f>
        <v>38763.1801366667</v>
      </c>
      <c r="E563" s="25" t="n">
        <f aca="false">E466/60000</f>
        <v>42.15682</v>
      </c>
      <c r="F563" s="25" t="n">
        <f aca="false">F466/60000</f>
        <v>175.653356666667</v>
      </c>
      <c r="G563" s="26" t="n">
        <f aca="false">SUM(B563:F563)</f>
        <v>39346.34926</v>
      </c>
    </row>
    <row r="564" customFormat="false" ht="15" hidden="false" customHeight="false" outlineLevel="0" collapsed="false">
      <c r="A564" s="4" t="n">
        <v>2026</v>
      </c>
      <c r="B564" s="25" t="n">
        <f aca="false">B467/60000</f>
        <v>230.451633333333</v>
      </c>
      <c r="C564" s="25" t="n">
        <f aca="false">C467/60000</f>
        <v>201.645168333333</v>
      </c>
      <c r="D564" s="25" t="n">
        <f aca="false">D467/60000</f>
        <v>39666.4853783333</v>
      </c>
      <c r="E564" s="25" t="n">
        <f aca="false">E467/60000</f>
        <v>57.6128883333333</v>
      </c>
      <c r="F564" s="25" t="n">
        <f aca="false">F467/60000</f>
        <v>172.838705</v>
      </c>
      <c r="G564" s="26" t="n">
        <f aca="false">SUM(B564:F564)</f>
        <v>40329.0337733333</v>
      </c>
    </row>
    <row r="565" customFormat="false" ht="15" hidden="false" customHeight="false" outlineLevel="0" collapsed="false">
      <c r="A565" s="4" t="n">
        <v>2027</v>
      </c>
      <c r="B565" s="25" t="n">
        <f aca="false">B468/60000</f>
        <v>295.234783333333</v>
      </c>
      <c r="C565" s="25" t="n">
        <f aca="false">C468/60000</f>
        <v>206.664353333333</v>
      </c>
      <c r="D565" s="25" t="n">
        <f aca="false">D468/60000</f>
        <v>40587.402675</v>
      </c>
      <c r="E565" s="25" t="n">
        <f aca="false">E468/60000</f>
        <v>73.808685</v>
      </c>
      <c r="F565" s="25" t="n">
        <f aca="false">F468/60000</f>
        <v>169.76001</v>
      </c>
      <c r="G565" s="26" t="n">
        <f aca="false">SUM(B565:F565)</f>
        <v>41332.8705066667</v>
      </c>
    </row>
    <row r="566" customFormat="false" ht="15" hidden="false" customHeight="false" outlineLevel="0" collapsed="false">
      <c r="A566" s="4" t="n">
        <v>2028</v>
      </c>
      <c r="B566" s="25" t="n">
        <f aca="false">B469/60000</f>
        <v>362.946451666667</v>
      </c>
      <c r="C566" s="25" t="n">
        <f aca="false">C469/60000</f>
        <v>211.718753333333</v>
      </c>
      <c r="D566" s="25" t="n">
        <f aca="false">D469/60000</f>
        <v>41511.9984083333</v>
      </c>
      <c r="E566" s="25" t="n">
        <f aca="false">E469/60000</f>
        <v>90.7366016666667</v>
      </c>
      <c r="F566" s="25" t="n">
        <f aca="false">F469/60000</f>
        <v>166.35043</v>
      </c>
      <c r="G566" s="26" t="n">
        <f aca="false">SUM(B566:F566)</f>
        <v>42343.750645</v>
      </c>
    </row>
    <row r="567" customFormat="false" ht="15" hidden="false" customHeight="false" outlineLevel="0" collapsed="false">
      <c r="A567" s="4" t="n">
        <v>2029</v>
      </c>
      <c r="B567" s="25" t="n">
        <f aca="false">B470/60000</f>
        <v>433.836563333333</v>
      </c>
      <c r="C567" s="25" t="n">
        <f aca="false">C470/60000</f>
        <v>216.918281666667</v>
      </c>
      <c r="D567" s="25" t="n">
        <f aca="false">D470/60000</f>
        <v>42461.7537116667</v>
      </c>
      <c r="E567" s="25" t="n">
        <f aca="false">E470/60000</f>
        <v>108.459141666667</v>
      </c>
      <c r="F567" s="25" t="n">
        <f aca="false">F470/60000</f>
        <v>162.688711666667</v>
      </c>
      <c r="G567" s="26" t="n">
        <f aca="false">SUM(B567:F567)</f>
        <v>43383.65641</v>
      </c>
    </row>
    <row r="568" customFormat="false" ht="15" hidden="false" customHeight="false" outlineLevel="0" collapsed="false">
      <c r="A568" s="4" t="n">
        <v>2030</v>
      </c>
      <c r="B568" s="25" t="n">
        <f aca="false">B471/60000</f>
        <v>507.642658333333</v>
      </c>
      <c r="C568" s="25" t="n">
        <f aca="false">C471/60000</f>
        <v>222.093671666667</v>
      </c>
      <c r="D568" s="25" t="n">
        <f aca="false">D471/60000</f>
        <v>43403.4488783333</v>
      </c>
      <c r="E568" s="25" t="n">
        <f aca="false">E471/60000</f>
        <v>126.910675</v>
      </c>
      <c r="F568" s="25" t="n">
        <f aca="false">F471/60000</f>
        <v>158.638355</v>
      </c>
      <c r="G568" s="26" t="n">
        <f aca="false">SUM(B568:F568)</f>
        <v>44418.7342383333</v>
      </c>
    </row>
    <row r="569" customFormat="false" ht="15" hidden="false" customHeight="false" outlineLevel="0" collapsed="false">
      <c r="A569" s="4" t="n">
        <v>2031</v>
      </c>
      <c r="B569" s="25" t="n">
        <f aca="false">B472/60000</f>
        <v>584.319233333333</v>
      </c>
      <c r="C569" s="25" t="n">
        <f aca="false">C472/60000</f>
        <v>227.235255</v>
      </c>
      <c r="D569" s="25" t="n">
        <f aca="false">D472/60000</f>
        <v>44335.2212883333</v>
      </c>
      <c r="E569" s="25" t="n">
        <f aca="false">E472/60000</f>
        <v>146.07982</v>
      </c>
      <c r="F569" s="25" t="n">
        <f aca="false">F472/60000</f>
        <v>154.195345</v>
      </c>
      <c r="G569" s="26" t="n">
        <f aca="false">SUM(B569:F569)</f>
        <v>45447.0509416667</v>
      </c>
    </row>
    <row r="570" customFormat="false" ht="15" hidden="false" customHeight="false" outlineLevel="0" collapsed="false">
      <c r="A570" s="4" t="n">
        <v>2032</v>
      </c>
      <c r="B570" s="25" t="n">
        <f aca="false">B473/60000</f>
        <v>663.808503333333</v>
      </c>
      <c r="C570" s="25" t="n">
        <f aca="false">C473/60000</f>
        <v>232.332981666667</v>
      </c>
      <c r="D570" s="25" t="n">
        <f aca="false">D473/60000</f>
        <v>45255.1456216667</v>
      </c>
      <c r="E570" s="25" t="n">
        <f aca="false">E473/60000</f>
        <v>165.952148333333</v>
      </c>
      <c r="F570" s="25" t="n">
        <f aca="false">F473/60000</f>
        <v>149.35693</v>
      </c>
      <c r="G570" s="26" t="n">
        <f aca="false">SUM(B570:F570)</f>
        <v>46466.596185</v>
      </c>
    </row>
    <row r="571" customFormat="false" ht="15" hidden="false" customHeight="false" outlineLevel="0" collapsed="false">
      <c r="A571" s="4" t="n">
        <v>2033</v>
      </c>
      <c r="B571" s="25" t="n">
        <f aca="false">B474/60000</f>
        <v>1033.85812666667</v>
      </c>
      <c r="C571" s="25" t="n">
        <f aca="false">C474/60000</f>
        <v>225.494821666667</v>
      </c>
      <c r="D571" s="25" t="n">
        <f aca="false">D474/60000</f>
        <v>43850.6894133333</v>
      </c>
      <c r="E571" s="25" t="n">
        <f aca="false">E474/60000</f>
        <v>2228.33378833333</v>
      </c>
      <c r="F571" s="25" t="n">
        <f aca="false">F474/60000</f>
        <v>136.907556666667</v>
      </c>
      <c r="G571" s="26" t="n">
        <f aca="false">SUM(B571:F571)</f>
        <v>47475.2837066667</v>
      </c>
    </row>
    <row r="572" customFormat="false" ht="15" hidden="false" customHeight="false" outlineLevel="0" collapsed="false">
      <c r="A572" s="4" t="n">
        <v>2034</v>
      </c>
      <c r="B572" s="25" t="n">
        <f aca="false">B475/60000</f>
        <v>1410.029215</v>
      </c>
      <c r="C572" s="25" t="n">
        <f aca="false">C475/60000</f>
        <v>218.134403333333</v>
      </c>
      <c r="D572" s="25" t="n">
        <f aca="false">D475/60000</f>
        <v>42349.236185</v>
      </c>
      <c r="E572" s="25" t="n">
        <f aca="false">E475/60000</f>
        <v>4368.90477666667</v>
      </c>
      <c r="F572" s="25" t="n">
        <f aca="false">F475/60000</f>
        <v>124.648236666667</v>
      </c>
      <c r="G572" s="26" t="n">
        <f aca="false">SUM(B572:F572)</f>
        <v>48470.9528166667</v>
      </c>
    </row>
    <row r="573" customFormat="false" ht="15" hidden="false" customHeight="false" outlineLevel="0" collapsed="false">
      <c r="A573" s="4" t="n">
        <v>2035</v>
      </c>
      <c r="B573" s="25" t="n">
        <f aca="false">B476/60000</f>
        <v>1791.678105</v>
      </c>
      <c r="C573" s="25" t="n">
        <f aca="false">C476/60000</f>
        <v>210.246775</v>
      </c>
      <c r="D573" s="25" t="n">
        <f aca="false">D476/60000</f>
        <v>40750.3301766667</v>
      </c>
      <c r="E573" s="25" t="n">
        <f aca="false">E476/60000</f>
        <v>6586.48293333333</v>
      </c>
      <c r="F573" s="25" t="n">
        <f aca="false">F476/60000</f>
        <v>112.632183333333</v>
      </c>
      <c r="G573" s="26" t="n">
        <f aca="false">SUM(B573:F573)</f>
        <v>49451.3701733333</v>
      </c>
    </row>
    <row r="574" customFormat="false" ht="15" hidden="false" customHeight="false" outlineLevel="0" collapsed="false">
      <c r="A574" s="4" t="n">
        <v>2036</v>
      </c>
      <c r="B574" s="25" t="n">
        <f aca="false">B477/60000</f>
        <v>2178.11764</v>
      </c>
      <c r="C574" s="25" t="n">
        <f aca="false">C477/60000</f>
        <v>201.828331666667</v>
      </c>
      <c r="D574" s="25" t="n">
        <f aca="false">D477/60000</f>
        <v>39053.782125</v>
      </c>
      <c r="E574" s="25" t="n">
        <f aca="false">E477/60000</f>
        <v>8879.58956</v>
      </c>
      <c r="F574" s="25" t="n">
        <f aca="false">F477/60000</f>
        <v>100.914165</v>
      </c>
      <c r="G574" s="26" t="n">
        <f aca="false">SUM(B574:F574)</f>
        <v>50414.2318216667</v>
      </c>
    </row>
    <row r="575" customFormat="false" ht="15" hidden="false" customHeight="false" outlineLevel="0" collapsed="false">
      <c r="A575" s="4" t="n">
        <v>2037</v>
      </c>
      <c r="B575" s="25" t="n">
        <f aca="false">B478/60000</f>
        <v>2568.61760833333</v>
      </c>
      <c r="C575" s="25" t="n">
        <f aca="false">C478/60000</f>
        <v>192.876913333333</v>
      </c>
      <c r="D575" s="25" t="n">
        <f aca="false">D478/60000</f>
        <v>37259.6864266667</v>
      </c>
      <c r="E575" s="25" t="n">
        <f aca="false">E478/60000</f>
        <v>11246.434605</v>
      </c>
      <c r="F575" s="25" t="n">
        <f aca="false">F478/60000</f>
        <v>89.5500116666667</v>
      </c>
      <c r="G575" s="26" t="n">
        <f aca="false">SUM(B575:F575)</f>
        <v>51357.165565</v>
      </c>
    </row>
    <row r="576" customFormat="false" ht="15" hidden="false" customHeight="false" outlineLevel="0" collapsed="false">
      <c r="A576" s="4" t="n">
        <v>2038</v>
      </c>
      <c r="B576" s="25" t="n">
        <f aca="false">B479/60000</f>
        <v>2962.404905</v>
      </c>
      <c r="C576" s="25" t="n">
        <f aca="false">C479/60000</f>
        <v>183.391903333333</v>
      </c>
      <c r="D576" s="25" t="n">
        <f aca="false">D479/60000</f>
        <v>35368.43845</v>
      </c>
      <c r="E576" s="25" t="n">
        <f aca="false">E479/60000</f>
        <v>13684.9017466667</v>
      </c>
      <c r="F576" s="25" t="n">
        <f aca="false">F479/60000</f>
        <v>78.596525</v>
      </c>
      <c r="G576" s="26" t="n">
        <f aca="false">SUM(B576:F576)</f>
        <v>52277.73353</v>
      </c>
    </row>
    <row r="577" customFormat="false" ht="15" hidden="false" customHeight="false" outlineLevel="0" collapsed="false">
      <c r="A577" s="4" t="n">
        <v>2039</v>
      </c>
      <c r="B577" s="25" t="n">
        <f aca="false">B480/60000</f>
        <v>3358.66387166667</v>
      </c>
      <c r="C577" s="25" t="n">
        <f aca="false">C480/60000</f>
        <v>173.374338333333</v>
      </c>
      <c r="D577" s="25" t="n">
        <f aca="false">D480/60000</f>
        <v>33380.7521416667</v>
      </c>
      <c r="E577" s="25" t="n">
        <f aca="false">E480/60000</f>
        <v>16192.53342</v>
      </c>
      <c r="F577" s="25" t="n">
        <f aca="false">F480/60000</f>
        <v>68.1113566666667</v>
      </c>
      <c r="G577" s="26" t="n">
        <f aca="false">SUM(B577:F577)</f>
        <v>53173.4351283333</v>
      </c>
    </row>
    <row r="578" customFormat="false" ht="15" hidden="false" customHeight="false" outlineLevel="0" collapsed="false">
      <c r="A578" s="4" t="n">
        <v>2040</v>
      </c>
      <c r="B578" s="25" t="n">
        <f aca="false">B481/60000</f>
        <v>3756.537155</v>
      </c>
      <c r="C578" s="25" t="n">
        <f aca="false">C481/60000</f>
        <v>162.827011666667</v>
      </c>
      <c r="D578" s="25" t="n">
        <f aca="false">D481/60000</f>
        <v>31297.67778</v>
      </c>
      <c r="E578" s="25" t="n">
        <f aca="false">E481/60000</f>
        <v>18766.51576</v>
      </c>
      <c r="F578" s="25" t="n">
        <f aca="false">F481/60000</f>
        <v>58.152495</v>
      </c>
      <c r="G578" s="26" t="n">
        <f aca="false">SUM(B578:F578)</f>
        <v>54041.7102016667</v>
      </c>
    </row>
    <row r="579" customFormat="false" ht="15" hidden="false" customHeight="false" outlineLevel="0" collapsed="false">
      <c r="A579" s="4" t="n">
        <v>2041</v>
      </c>
      <c r="B579" s="25" t="n">
        <f aca="false">B482/60000</f>
        <v>4156.91649666667</v>
      </c>
      <c r="C579" s="25" t="n">
        <f aca="false">C482/60000</f>
        <v>151.819965</v>
      </c>
      <c r="D579" s="25" t="n">
        <f aca="false">D482/60000</f>
        <v>29133.166845</v>
      </c>
      <c r="E579" s="25" t="n">
        <f aca="false">E482/60000</f>
        <v>21412.885735</v>
      </c>
      <c r="F579" s="25" t="n">
        <f aca="false">F482/60000</f>
        <v>48.7992783333333</v>
      </c>
      <c r="G579" s="26" t="n">
        <f aca="false">SUM(B579:F579)</f>
        <v>54903.58832</v>
      </c>
    </row>
    <row r="580" customFormat="false" ht="15" hidden="false" customHeight="false" outlineLevel="0" collapsed="false">
      <c r="A580" s="4" t="n">
        <v>2042</v>
      </c>
      <c r="B580" s="25" t="n">
        <f aca="false">B483/60000</f>
        <v>4559.38164333333</v>
      </c>
      <c r="C580" s="25" t="n">
        <f aca="false">C483/60000</f>
        <v>140.344951666667</v>
      </c>
      <c r="D580" s="25" t="n">
        <f aca="false">D483/60000</f>
        <v>26886.08298</v>
      </c>
      <c r="E580" s="25" t="n">
        <f aca="false">E483/60000</f>
        <v>24131.5754833333</v>
      </c>
      <c r="F580" s="25" t="n">
        <f aca="false">F483/60000</f>
        <v>40.098545</v>
      </c>
      <c r="G580" s="26" t="n">
        <f aca="false">SUM(B580:F580)</f>
        <v>55757.4836033333</v>
      </c>
    </row>
    <row r="581" customFormat="false" ht="15" hidden="false" customHeight="false" outlineLevel="0" collapsed="false">
      <c r="A581" s="4" t="n">
        <v>2043</v>
      </c>
      <c r="B581" s="25" t="n">
        <f aca="false">B484/60000</f>
        <v>4963.47405666667</v>
      </c>
      <c r="C581" s="25" t="n">
        <f aca="false">C484/60000</f>
        <v>128.394533333333</v>
      </c>
      <c r="D581" s="25" t="n">
        <f aca="false">D484/60000</f>
        <v>24555.45435</v>
      </c>
      <c r="E581" s="25" t="n">
        <f aca="false">E484/60000</f>
        <v>26922.2827283333</v>
      </c>
      <c r="F581" s="25" t="n">
        <f aca="false">F484/60000</f>
        <v>32.0986333333333</v>
      </c>
      <c r="G581" s="26" t="n">
        <f aca="false">SUM(B581:F581)</f>
        <v>56601.7043016667</v>
      </c>
    </row>
    <row r="582" customFormat="false" ht="15" hidden="false" customHeight="false" outlineLevel="0" collapsed="false">
      <c r="A582" s="4" t="n">
        <v>2044</v>
      </c>
      <c r="B582" s="25" t="n">
        <f aca="false">B485/60000</f>
        <v>5368.69512333333</v>
      </c>
      <c r="C582" s="25" t="n">
        <f aca="false">C485/60000</f>
        <v>115.962191666667</v>
      </c>
      <c r="D582" s="25" t="n">
        <f aca="false">D485/60000</f>
        <v>22140.4955816667</v>
      </c>
      <c r="E582" s="25" t="n">
        <f aca="false">E485/60000</f>
        <v>29784.4452283333</v>
      </c>
      <c r="F582" s="25" t="n">
        <f aca="false">F485/60000</f>
        <v>24.8490516666667</v>
      </c>
      <c r="G582" s="26" t="n">
        <f aca="false">SUM(B582:F582)</f>
        <v>57434.4471766667</v>
      </c>
    </row>
    <row r="583" customFormat="false" ht="15" hidden="false" customHeight="false" outlineLevel="0" collapsed="false">
      <c r="A583" s="4" t="n">
        <v>2045</v>
      </c>
      <c r="B583" s="25" t="n">
        <f aca="false">B486/60000</f>
        <v>5774.50400833333</v>
      </c>
      <c r="C583" s="25" t="n">
        <f aca="false">C486/60000</f>
        <v>103.042476666667</v>
      </c>
      <c r="D583" s="25" t="n">
        <f aca="false">D486/60000</f>
        <v>19640.6319433333</v>
      </c>
      <c r="E583" s="25" t="n">
        <f aca="false">E486/60000</f>
        <v>32717.2128683333</v>
      </c>
      <c r="F583" s="25" t="n">
        <f aca="false">F486/60000</f>
        <v>18.40044</v>
      </c>
      <c r="G583" s="26" t="n">
        <f aca="false">SUM(B583:F583)</f>
        <v>58253.7917366667</v>
      </c>
    </row>
    <row r="584" customFormat="false" ht="15" hidden="false" customHeight="false" outlineLevel="0" collapsed="false">
      <c r="A584" s="4" t="n">
        <v>2046</v>
      </c>
      <c r="B584" s="25" t="n">
        <f aca="false">B487/60000</f>
        <v>6180.31543166667</v>
      </c>
      <c r="C584" s="25" t="n">
        <f aca="false">C487/60000</f>
        <v>89.6311416666667</v>
      </c>
      <c r="D584" s="25" t="n">
        <f aca="false">D487/60000</f>
        <v>17055.52587</v>
      </c>
      <c r="E584" s="25" t="n">
        <f aca="false">E487/60000</f>
        <v>35719.41717</v>
      </c>
      <c r="F584" s="25" t="n">
        <f aca="false">F487/60000</f>
        <v>12.8044533333333</v>
      </c>
      <c r="G584" s="26" t="n">
        <f aca="false">SUM(B584:F584)</f>
        <v>59057.6940666667</v>
      </c>
    </row>
    <row r="585" customFormat="false" ht="15" hidden="false" customHeight="false" outlineLevel="0" collapsed="false">
      <c r="A585" s="4" t="n">
        <v>2047</v>
      </c>
      <c r="B585" s="25" t="n">
        <f aca="false">B488/60000</f>
        <v>6585.49758333333</v>
      </c>
      <c r="C585" s="25" t="n">
        <f aca="false">C488/60000</f>
        <v>75.7253183333333</v>
      </c>
      <c r="D585" s="25" t="n">
        <f aca="false">D488/60000</f>
        <v>14385.1058716667</v>
      </c>
      <c r="E585" s="25" t="n">
        <f aca="false">E488/60000</f>
        <v>38789.5382483333</v>
      </c>
      <c r="F585" s="25" t="n">
        <f aca="false">F488/60000</f>
        <v>8.11342333333333</v>
      </c>
      <c r="G585" s="26" t="n">
        <f aca="false">SUM(B585:F585)</f>
        <v>59843.980445</v>
      </c>
    </row>
    <row r="586" customFormat="false" ht="15" hidden="false" customHeight="false" outlineLevel="0" collapsed="false">
      <c r="A586" s="4" t="n">
        <v>2048</v>
      </c>
      <c r="B586" s="25" t="n">
        <f aca="false">B489/60000</f>
        <v>6989.36966166667</v>
      </c>
      <c r="C586" s="25" t="n">
        <f aca="false">C489/60000</f>
        <v>61.3236816666667</v>
      </c>
      <c r="D586" s="25" t="n">
        <f aca="false">D489/60000</f>
        <v>11629.59836</v>
      </c>
      <c r="E586" s="25" t="n">
        <f aca="false">E489/60000</f>
        <v>41925.6687016667</v>
      </c>
      <c r="F586" s="25" t="n">
        <f aca="false">F489/60000</f>
        <v>4.380265</v>
      </c>
      <c r="G586" s="26" t="n">
        <f aca="false">SUM(B586:F586)</f>
        <v>60610.34067</v>
      </c>
    </row>
    <row r="587" customFormat="false" ht="15" hidden="false" customHeight="false" outlineLevel="0" collapsed="false">
      <c r="A587" s="4" t="n">
        <v>2049</v>
      </c>
      <c r="B587" s="25" t="n">
        <f aca="false">B490/60000</f>
        <v>7391.19956</v>
      </c>
      <c r="C587" s="25" t="n">
        <f aca="false">C490/60000</f>
        <v>46.426665</v>
      </c>
      <c r="D587" s="25" t="n">
        <f aca="false">D490/60000</f>
        <v>8789.56250166667</v>
      </c>
      <c r="E587" s="25" t="n">
        <f aca="false">E490/60000</f>
        <v>45125.4742133333</v>
      </c>
      <c r="F587" s="25" t="n">
        <f aca="false">F490/60000</f>
        <v>1.65809166666667</v>
      </c>
      <c r="G587" s="26" t="n">
        <f aca="false">SUM(B587:F587)</f>
        <v>61354.3210316667</v>
      </c>
    </row>
    <row r="588" customFormat="false" ht="15" hidden="false" customHeight="false" outlineLevel="0" collapsed="false">
      <c r="A588" s="4" t="n">
        <v>2050</v>
      </c>
      <c r="B588" s="25" t="n">
        <f aca="false">B491/60000</f>
        <v>7790.20128166667</v>
      </c>
      <c r="C588" s="25" t="n">
        <f aca="false">C491/60000</f>
        <v>31.0366583333333</v>
      </c>
      <c r="D588" s="25" t="n">
        <f aca="false">D491/60000</f>
        <v>5865.928455</v>
      </c>
      <c r="E588" s="25" t="n">
        <f aca="false">E491/60000</f>
        <v>48386.1505866667</v>
      </c>
      <c r="F588" s="25" t="n">
        <f aca="false">F491/60000</f>
        <v>0</v>
      </c>
      <c r="G588" s="26" t="n">
        <f aca="false">SUM(B588:F588)</f>
        <v>62073.3169816667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245</v>
      </c>
    </row>
    <row r="2" customFormat="false" ht="15" hidden="false" customHeight="false" outlineLevel="0" collapsed="false">
      <c r="A2" s="22" t="s">
        <v>246</v>
      </c>
    </row>
    <row r="4" customFormat="false" ht="15" hidden="false" customHeight="false" outlineLevel="0" collapsed="false">
      <c r="A4" s="22" t="s">
        <v>247</v>
      </c>
    </row>
    <row r="56" customFormat="false" ht="15" hidden="false" customHeight="false" outlineLevel="0" collapsed="false">
      <c r="A56" s="23" t="s">
        <v>248</v>
      </c>
    </row>
    <row r="110" customFormat="false" ht="15" hidden="false" customHeight="false" outlineLevel="0" collapsed="false">
      <c r="A110" s="23" t="s">
        <v>249</v>
      </c>
    </row>
    <row r="164" customFormat="false" ht="15" hidden="false" customHeight="false" outlineLevel="0" collapsed="false">
      <c r="A164" s="23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2" min="1" style="0" width="12"/>
  </cols>
  <sheetData>
    <row r="1" customFormat="false" ht="15" hidden="false" customHeight="false" outlineLevel="0" collapsed="false">
      <c r="A1" s="13" t="s">
        <v>251</v>
      </c>
    </row>
    <row r="2" customFormat="false" ht="85.05" hidden="false" customHeight="false" outlineLevel="0" collapsed="false">
      <c r="A2" s="19" t="s">
        <v>252</v>
      </c>
    </row>
    <row r="3" customFormat="false" ht="105.95" hidden="false" customHeight="false" outlineLevel="0" collapsed="false">
      <c r="A3" s="19" t="s">
        <v>253</v>
      </c>
    </row>
    <row r="4" customFormat="false" ht="64.15" hidden="false" customHeight="false" outlineLevel="0" collapsed="false">
      <c r="A4" s="19" t="s">
        <v>254</v>
      </c>
    </row>
    <row r="5" customFormat="false" ht="105.95" hidden="false" customHeight="false" outlineLevel="0" collapsed="false">
      <c r="A5" s="19" t="s">
        <v>255</v>
      </c>
    </row>
    <row r="6" customFormat="false" ht="85.05" hidden="false" customHeight="false" outlineLevel="0" collapsed="false">
      <c r="A6" s="19" t="s">
        <v>256</v>
      </c>
    </row>
    <row r="7" customFormat="false" ht="53.7" hidden="false" customHeight="false" outlineLevel="0" collapsed="false">
      <c r="A7" s="19" t="s">
        <v>257</v>
      </c>
    </row>
    <row r="9" customFormat="false" ht="15" hidden="false" customHeight="false" outlineLevel="0" collapsed="false">
      <c r="A9" s="13" t="s">
        <v>258</v>
      </c>
    </row>
    <row r="10" customFormat="false" ht="15" hidden="false" customHeight="false" outlineLevel="0" collapsed="false">
      <c r="A10" s="10" t="s">
        <v>259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customFormat="false" ht="26.85" hidden="false" customHeight="false" outlineLevel="0" collapsed="false">
      <c r="A11" s="3" t="s">
        <v>113</v>
      </c>
      <c r="B11" s="3" t="s">
        <v>260</v>
      </c>
      <c r="C11" s="3" t="s">
        <v>261</v>
      </c>
      <c r="D11" s="3" t="s">
        <v>262</v>
      </c>
      <c r="E11" s="3" t="s">
        <v>263</v>
      </c>
      <c r="F11" s="3" t="s">
        <v>264</v>
      </c>
      <c r="G11" s="3" t="s">
        <v>265</v>
      </c>
      <c r="H11" s="3" t="s">
        <v>266</v>
      </c>
      <c r="I11" s="3" t="s">
        <v>267</v>
      </c>
      <c r="J11" s="3" t="s">
        <v>268</v>
      </c>
      <c r="K11" s="3" t="s">
        <v>269</v>
      </c>
      <c r="L11" s="3" t="s">
        <v>58</v>
      </c>
    </row>
    <row r="12" customFormat="false" ht="15" hidden="false" customHeight="false" outlineLevel="0" collapsed="false">
      <c r="A12" s="4" t="n">
        <v>2023</v>
      </c>
      <c r="B12" s="27" t="n">
        <v>25.368</v>
      </c>
      <c r="C12" s="27" t="n">
        <v>104.853</v>
      </c>
      <c r="D12" s="27" t="n">
        <v>7.312</v>
      </c>
      <c r="E12" s="27" t="n">
        <v>16.912</v>
      </c>
      <c r="F12" s="27" t="n">
        <v>8.456</v>
      </c>
      <c r="G12" s="27" t="n">
        <v>1.691</v>
      </c>
      <c r="H12" s="27" t="n">
        <v>3.382</v>
      </c>
      <c r="I12" s="27" t="n">
        <v>1.144</v>
      </c>
      <c r="J12" s="27" t="n">
        <v>0.006</v>
      </c>
      <c r="K12" s="27" t="n">
        <v>0.035</v>
      </c>
      <c r="L12" s="28" t="n">
        <f aca="false">SUM(B12:K12)</f>
        <v>169.159</v>
      </c>
    </row>
    <row r="13" customFormat="false" ht="15" hidden="false" customHeight="false" outlineLevel="0" collapsed="false">
      <c r="A13" s="4" t="n">
        <v>2024</v>
      </c>
      <c r="B13" s="27" t="n">
        <v>26.032</v>
      </c>
      <c r="C13" s="27" t="n">
        <v>106.923</v>
      </c>
      <c r="D13" s="27" t="n">
        <v>7.12</v>
      </c>
      <c r="E13" s="27" t="n">
        <v>17.246</v>
      </c>
      <c r="F13" s="27" t="n">
        <v>8.623</v>
      </c>
      <c r="G13" s="27" t="n">
        <v>1.725</v>
      </c>
      <c r="H13" s="27" t="n">
        <v>3.449</v>
      </c>
      <c r="I13" s="27" t="n">
        <v>1.339</v>
      </c>
      <c r="J13" s="27" t="n">
        <v>0.006</v>
      </c>
      <c r="K13" s="27" t="n">
        <v>0.035</v>
      </c>
      <c r="L13" s="28" t="n">
        <f aca="false">SUM(B13:K13)</f>
        <v>172.498</v>
      </c>
    </row>
    <row r="14" customFormat="false" ht="15" hidden="false" customHeight="false" outlineLevel="0" collapsed="false">
      <c r="A14" s="4" t="n">
        <v>2025</v>
      </c>
      <c r="B14" s="27" t="n">
        <v>26.377</v>
      </c>
      <c r="C14" s="27" t="n">
        <v>109.024</v>
      </c>
      <c r="D14" s="27" t="n">
        <v>7.202</v>
      </c>
      <c r="E14" s="27" t="n">
        <v>17.584</v>
      </c>
      <c r="F14" s="27" t="n">
        <v>8.792</v>
      </c>
      <c r="G14" s="27" t="n">
        <v>1.758</v>
      </c>
      <c r="H14" s="27" t="n">
        <v>3.517</v>
      </c>
      <c r="I14" s="27" t="n">
        <v>1.59</v>
      </c>
      <c r="J14" s="27" t="n">
        <v>0.007</v>
      </c>
      <c r="K14" s="27" t="n">
        <v>0.036</v>
      </c>
      <c r="L14" s="28" t="n">
        <f aca="false">SUM(B14:K14)</f>
        <v>175.887</v>
      </c>
    </row>
    <row r="15" customFormat="false" ht="15" hidden="false" customHeight="false" outlineLevel="0" collapsed="false">
      <c r="A15" s="4" t="n">
        <v>2026</v>
      </c>
      <c r="B15" s="27" t="n">
        <v>26.91</v>
      </c>
      <c r="C15" s="27" t="n">
        <v>111.227</v>
      </c>
      <c r="D15" s="27" t="n">
        <v>7.176</v>
      </c>
      <c r="E15" s="27" t="n">
        <v>17.94</v>
      </c>
      <c r="F15" s="27" t="n">
        <v>8.97</v>
      </c>
      <c r="G15" s="27" t="n">
        <v>1.794</v>
      </c>
      <c r="H15" s="27" t="n">
        <v>3.588</v>
      </c>
      <c r="I15" s="27" t="n">
        <v>1.794</v>
      </c>
      <c r="J15" s="27" t="n">
        <v>0.007</v>
      </c>
      <c r="K15" s="27" t="n">
        <v>0.037</v>
      </c>
      <c r="L15" s="28" t="n">
        <f aca="false">SUM(B15:K15)</f>
        <v>179.443</v>
      </c>
    </row>
    <row r="16" customFormat="false" ht="15" hidden="false" customHeight="false" outlineLevel="0" collapsed="false">
      <c r="A16" s="4" t="n">
        <v>2027</v>
      </c>
      <c r="B16" s="27" t="n">
        <v>27.459</v>
      </c>
      <c r="C16" s="27" t="n">
        <v>113.496</v>
      </c>
      <c r="D16" s="27" t="n">
        <v>7.358</v>
      </c>
      <c r="E16" s="27" t="n">
        <v>18.306</v>
      </c>
      <c r="F16" s="27" t="n">
        <v>9.153</v>
      </c>
      <c r="G16" s="27" t="n">
        <v>1.831</v>
      </c>
      <c r="H16" s="27" t="n">
        <v>3.661</v>
      </c>
      <c r="I16" s="27" t="n">
        <v>1.795</v>
      </c>
      <c r="J16" s="27" t="n">
        <v>0.007</v>
      </c>
      <c r="K16" s="27" t="n">
        <v>0.038</v>
      </c>
      <c r="L16" s="28" t="n">
        <f aca="false">SUM(B16:K16)</f>
        <v>183.104</v>
      </c>
    </row>
    <row r="17" customFormat="false" ht="15" hidden="false" customHeight="false" outlineLevel="0" collapsed="false">
      <c r="A17" s="4" t="n">
        <v>2028</v>
      </c>
      <c r="B17" s="27" t="n">
        <v>28.019</v>
      </c>
      <c r="C17" s="27" t="n">
        <v>115.811</v>
      </c>
      <c r="D17" s="27" t="n">
        <v>7.543</v>
      </c>
      <c r="E17" s="27" t="n">
        <v>18.679</v>
      </c>
      <c r="F17" s="27" t="n">
        <v>9.34</v>
      </c>
      <c r="G17" s="27" t="n">
        <v>1.868</v>
      </c>
      <c r="H17" s="27" t="n">
        <v>3.736</v>
      </c>
      <c r="I17" s="27" t="n">
        <v>1.797</v>
      </c>
      <c r="J17" s="27" t="n">
        <v>0.007</v>
      </c>
      <c r="K17" s="27" t="n">
        <v>0.038</v>
      </c>
      <c r="L17" s="28" t="n">
        <f aca="false">SUM(B17:K17)</f>
        <v>186.838</v>
      </c>
    </row>
    <row r="18" customFormat="false" ht="15" hidden="false" customHeight="false" outlineLevel="0" collapsed="false">
      <c r="A18" s="4" t="n">
        <v>2029</v>
      </c>
      <c r="B18" s="27" t="n">
        <v>28.596</v>
      </c>
      <c r="C18" s="27" t="n">
        <v>118.197</v>
      </c>
      <c r="D18" s="27" t="n">
        <v>7.73</v>
      </c>
      <c r="E18" s="27" t="n">
        <v>19.064</v>
      </c>
      <c r="F18" s="27" t="n">
        <v>9.532</v>
      </c>
      <c r="G18" s="27" t="n">
        <v>1.91</v>
      </c>
      <c r="H18" s="27" t="n">
        <v>3.813</v>
      </c>
      <c r="I18" s="27" t="n">
        <v>1.798</v>
      </c>
      <c r="J18" s="27" t="n">
        <v>0.007</v>
      </c>
      <c r="K18" s="27" t="n">
        <v>0.039</v>
      </c>
      <c r="L18" s="28" t="n">
        <f aca="false">SUM(B18:K18)</f>
        <v>190.686</v>
      </c>
    </row>
    <row r="19" customFormat="false" ht="15" hidden="false" customHeight="false" outlineLevel="0" collapsed="false">
      <c r="A19" s="4" t="n">
        <v>2030</v>
      </c>
      <c r="B19" s="27" t="n">
        <v>29.18</v>
      </c>
      <c r="C19" s="27" t="n">
        <v>120.612</v>
      </c>
      <c r="D19" s="27" t="n">
        <v>7.787</v>
      </c>
      <c r="E19" s="27" t="n">
        <v>19.454</v>
      </c>
      <c r="F19" s="27" t="n">
        <v>9.727</v>
      </c>
      <c r="G19" s="27" t="n">
        <v>2.086</v>
      </c>
      <c r="H19" s="27" t="n">
        <v>3.891</v>
      </c>
      <c r="I19" s="27" t="n">
        <v>1.8</v>
      </c>
      <c r="J19" s="27" t="n">
        <v>0.007</v>
      </c>
      <c r="K19" s="27" t="n">
        <v>0.04</v>
      </c>
      <c r="L19" s="28" t="n">
        <f aca="false">SUM(B19:K19)</f>
        <v>194.584</v>
      </c>
    </row>
    <row r="20" customFormat="false" ht="15" hidden="false" customHeight="false" outlineLevel="0" collapsed="false">
      <c r="A20" s="4" t="n">
        <v>2031</v>
      </c>
      <c r="B20" s="27" t="n">
        <v>29.771</v>
      </c>
      <c r="C20" s="27" t="n">
        <v>123.054</v>
      </c>
      <c r="D20" s="27" t="n">
        <v>7.939</v>
      </c>
      <c r="E20" s="27" t="n">
        <v>19.847</v>
      </c>
      <c r="F20" s="27" t="n">
        <v>9.924</v>
      </c>
      <c r="G20" s="27" t="n">
        <v>2.229</v>
      </c>
      <c r="H20" s="27" t="n">
        <v>3.969</v>
      </c>
      <c r="I20" s="27" t="n">
        <v>1.74</v>
      </c>
      <c r="J20" s="27" t="n">
        <v>0.007</v>
      </c>
      <c r="K20" s="27" t="n">
        <v>0.041</v>
      </c>
      <c r="L20" s="28" t="n">
        <f aca="false">SUM(B20:K20)</f>
        <v>198.521</v>
      </c>
    </row>
    <row r="21" customFormat="false" ht="15" hidden="false" customHeight="false" outlineLevel="0" collapsed="false">
      <c r="A21" s="4" t="n">
        <v>2032</v>
      </c>
      <c r="B21" s="27" t="n">
        <v>30.368</v>
      </c>
      <c r="C21" s="27" t="n">
        <v>125.523</v>
      </c>
      <c r="D21" s="27" t="n">
        <v>8.098</v>
      </c>
      <c r="E21" s="27" t="n">
        <v>20.246</v>
      </c>
      <c r="F21" s="27" t="n">
        <v>10.123</v>
      </c>
      <c r="G21" s="27" t="n">
        <v>2.381</v>
      </c>
      <c r="H21" s="27" t="n">
        <v>4.049</v>
      </c>
      <c r="I21" s="27" t="n">
        <v>1.668</v>
      </c>
      <c r="J21" s="27" t="n">
        <v>0.007</v>
      </c>
      <c r="K21" s="27" t="n">
        <v>0.042</v>
      </c>
      <c r="L21" s="28" t="n">
        <f aca="false">SUM(B21:K21)</f>
        <v>202.505</v>
      </c>
    </row>
    <row r="22" customFormat="false" ht="15" hidden="false" customHeight="false" outlineLevel="0" collapsed="false">
      <c r="A22" s="4" t="n">
        <v>2033</v>
      </c>
      <c r="B22" s="27" t="n">
        <v>30.972</v>
      </c>
      <c r="C22" s="27" t="n">
        <v>128.018</v>
      </c>
      <c r="D22" s="27" t="n">
        <v>8.259</v>
      </c>
      <c r="E22" s="27" t="n">
        <v>20.648</v>
      </c>
      <c r="F22" s="27" t="n">
        <v>10.324</v>
      </c>
      <c r="G22" s="27" t="n">
        <v>2.523</v>
      </c>
      <c r="H22" s="27" t="n">
        <v>4.13</v>
      </c>
      <c r="I22" s="27" t="n">
        <v>1.607</v>
      </c>
      <c r="J22" s="27" t="n">
        <v>0.007</v>
      </c>
      <c r="K22" s="27" t="n">
        <v>0.043</v>
      </c>
      <c r="L22" s="28" t="n">
        <f aca="false">SUM(B22:K22)</f>
        <v>206.531</v>
      </c>
    </row>
    <row r="23" customFormat="false" ht="15" hidden="false" customHeight="false" outlineLevel="0" collapsed="false">
      <c r="A23" s="4" t="n">
        <v>2034</v>
      </c>
      <c r="B23" s="27" t="n">
        <v>31.582</v>
      </c>
      <c r="C23" s="27" t="n">
        <v>130.538</v>
      </c>
      <c r="D23" s="27" t="n">
        <v>8.422</v>
      </c>
      <c r="E23" s="27" t="n">
        <v>21.055</v>
      </c>
      <c r="F23" s="27" t="n">
        <v>10.527</v>
      </c>
      <c r="G23" s="27" t="n">
        <v>2.666</v>
      </c>
      <c r="H23" s="27" t="n">
        <v>4.211</v>
      </c>
      <c r="I23" s="27" t="n">
        <v>1.545</v>
      </c>
      <c r="J23" s="27" t="n">
        <v>0.007</v>
      </c>
      <c r="K23" s="27" t="n">
        <v>0.044</v>
      </c>
      <c r="L23" s="28" t="n">
        <f aca="false">SUM(B23:K23)</f>
        <v>210.597</v>
      </c>
    </row>
    <row r="24" customFormat="false" ht="15" hidden="false" customHeight="false" outlineLevel="0" collapsed="false">
      <c r="A24" s="4" t="n">
        <v>2035</v>
      </c>
      <c r="B24" s="27" t="n">
        <v>32.197</v>
      </c>
      <c r="C24" s="27" t="n">
        <v>133.083</v>
      </c>
      <c r="D24" s="27" t="n">
        <v>8.586</v>
      </c>
      <c r="E24" s="27" t="n">
        <v>21.465</v>
      </c>
      <c r="F24" s="27" t="n">
        <v>10.732</v>
      </c>
      <c r="G24" s="27" t="n">
        <v>2.811</v>
      </c>
      <c r="H24" s="27" t="n">
        <v>4.293</v>
      </c>
      <c r="I24" s="27" t="n">
        <v>1.482</v>
      </c>
      <c r="J24" s="27" t="n">
        <v>0.008</v>
      </c>
      <c r="K24" s="27" t="n">
        <v>0.045</v>
      </c>
      <c r="L24" s="28" t="n">
        <f aca="false">SUM(B24:K24)</f>
        <v>214.702</v>
      </c>
    </row>
    <row r="25" customFormat="false" ht="15" hidden="false" customHeight="false" outlineLevel="0" collapsed="false">
      <c r="A25" s="4" t="n">
        <v>2036</v>
      </c>
      <c r="B25" s="27" t="n">
        <v>32.819</v>
      </c>
      <c r="C25" s="27" t="n">
        <v>135.651</v>
      </c>
      <c r="D25" s="27" t="n">
        <v>8.752</v>
      </c>
      <c r="E25" s="27" t="n">
        <v>21.879</v>
      </c>
      <c r="F25" s="27" t="n">
        <v>10.94</v>
      </c>
      <c r="G25" s="27" t="n">
        <v>2.955</v>
      </c>
      <c r="H25" s="27" t="n">
        <v>4.376</v>
      </c>
      <c r="I25" s="27" t="n">
        <v>1.421</v>
      </c>
      <c r="J25" s="27" t="n">
        <v>0.008</v>
      </c>
      <c r="K25" s="27" t="n">
        <v>0.045</v>
      </c>
      <c r="L25" s="28" t="n">
        <f aca="false">SUM(B25:K25)</f>
        <v>218.846</v>
      </c>
    </row>
    <row r="26" customFormat="false" ht="15" hidden="false" customHeight="false" outlineLevel="0" collapsed="false">
      <c r="A26" s="4" t="n">
        <v>2037</v>
      </c>
      <c r="B26" s="27" t="n">
        <v>33.446</v>
      </c>
      <c r="C26" s="27" t="n">
        <v>138.243</v>
      </c>
      <c r="D26" s="27" t="n">
        <v>8.919</v>
      </c>
      <c r="E26" s="27" t="n">
        <v>22.297</v>
      </c>
      <c r="F26" s="27" t="n">
        <v>11.149</v>
      </c>
      <c r="G26" s="27" t="n">
        <v>3.027</v>
      </c>
      <c r="H26" s="27" t="n">
        <v>4.459</v>
      </c>
      <c r="I26" s="27" t="n">
        <v>1.432</v>
      </c>
      <c r="J26" s="27" t="n">
        <v>0.008</v>
      </c>
      <c r="K26" s="27" t="n">
        <v>0.046</v>
      </c>
      <c r="L26" s="28" t="n">
        <f aca="false">SUM(B26:K26)</f>
        <v>223.026</v>
      </c>
    </row>
    <row r="27" customFormat="false" ht="15" hidden="false" customHeight="false" outlineLevel="0" collapsed="false">
      <c r="A27" s="4" t="n">
        <v>2038</v>
      </c>
      <c r="B27" s="27" t="n">
        <v>34.078</v>
      </c>
      <c r="C27" s="27" t="n">
        <v>140.858</v>
      </c>
      <c r="D27" s="27" t="n">
        <v>9.088</v>
      </c>
      <c r="E27" s="27" t="n">
        <v>22.719</v>
      </c>
      <c r="F27" s="27" t="n">
        <v>11.359</v>
      </c>
      <c r="G27" s="27" t="n">
        <v>3.1</v>
      </c>
      <c r="H27" s="27" t="n">
        <v>4.544</v>
      </c>
      <c r="I27" s="27" t="n">
        <v>1.444</v>
      </c>
      <c r="J27" s="27" t="n">
        <v>0.008</v>
      </c>
      <c r="K27" s="27" t="n">
        <v>0.047</v>
      </c>
      <c r="L27" s="28" t="n">
        <f aca="false">SUM(B27:K27)</f>
        <v>227.245</v>
      </c>
    </row>
    <row r="28" customFormat="false" ht="15" hidden="false" customHeight="false" outlineLevel="0" collapsed="false">
      <c r="A28" s="4" t="n">
        <v>2039</v>
      </c>
      <c r="B28" s="27" t="n">
        <v>34.716</v>
      </c>
      <c r="C28" s="27" t="n">
        <v>143.494</v>
      </c>
      <c r="D28" s="27" t="n">
        <v>9.258</v>
      </c>
      <c r="E28" s="27" t="n">
        <v>23.144</v>
      </c>
      <c r="F28" s="27" t="n">
        <v>11.572</v>
      </c>
      <c r="G28" s="27" t="n">
        <v>3.174</v>
      </c>
      <c r="H28" s="27" t="n">
        <v>4.629</v>
      </c>
      <c r="I28" s="27" t="n">
        <v>1.455</v>
      </c>
      <c r="J28" s="27" t="n">
        <v>0.008</v>
      </c>
      <c r="K28" s="27" t="n">
        <v>0.048</v>
      </c>
      <c r="L28" s="28" t="n">
        <f aca="false">SUM(B28:K28)</f>
        <v>231.498</v>
      </c>
    </row>
    <row r="29" customFormat="false" ht="15" hidden="false" customHeight="false" outlineLevel="0" collapsed="false">
      <c r="A29" s="4" t="n">
        <v>2040</v>
      </c>
      <c r="B29" s="27" t="n">
        <v>35.359</v>
      </c>
      <c r="C29" s="27" t="n">
        <v>146.152</v>
      </c>
      <c r="D29" s="27" t="n">
        <v>9.429</v>
      </c>
      <c r="E29" s="27" t="n">
        <v>23.573</v>
      </c>
      <c r="F29" s="27" t="n">
        <v>11.786</v>
      </c>
      <c r="G29" s="27" t="n">
        <v>4.299</v>
      </c>
      <c r="H29" s="27" t="n">
        <v>4.715</v>
      </c>
      <c r="I29" s="27" t="n">
        <v>0.416</v>
      </c>
      <c r="J29" s="27" t="n">
        <v>0.008</v>
      </c>
      <c r="K29" s="27" t="n">
        <v>0.049</v>
      </c>
      <c r="L29" s="28" t="n">
        <f aca="false">SUM(B29:K29)</f>
        <v>235.786</v>
      </c>
    </row>
    <row r="30" customFormat="false" ht="15" hidden="false" customHeight="false" outlineLevel="0" collapsed="false">
      <c r="A30" s="4" t="n">
        <v>2041</v>
      </c>
      <c r="B30" s="27" t="n">
        <v>36.015</v>
      </c>
      <c r="C30" s="27" t="n">
        <v>148.863</v>
      </c>
      <c r="D30" s="27" t="n">
        <v>9.604</v>
      </c>
      <c r="E30" s="27" t="n">
        <v>24.01</v>
      </c>
      <c r="F30" s="27" t="n">
        <v>12.005</v>
      </c>
      <c r="G30" s="27" t="n">
        <v>4.378</v>
      </c>
      <c r="H30" s="27" t="n">
        <v>4.802</v>
      </c>
      <c r="I30" s="27" t="n">
        <v>0.424</v>
      </c>
      <c r="J30" s="27" t="n">
        <v>0.008</v>
      </c>
      <c r="K30" s="27" t="n">
        <v>0.05</v>
      </c>
      <c r="L30" s="28" t="n">
        <f aca="false">SUM(B30:K30)</f>
        <v>240.159</v>
      </c>
    </row>
    <row r="31" customFormat="false" ht="15" hidden="false" customHeight="false" outlineLevel="0" collapsed="false">
      <c r="A31" s="4" t="n">
        <v>2042</v>
      </c>
      <c r="B31" s="27" t="n">
        <v>36.684</v>
      </c>
      <c r="C31" s="27" t="n">
        <v>151.629</v>
      </c>
      <c r="D31" s="27" t="n">
        <v>9.783</v>
      </c>
      <c r="E31" s="27" t="n">
        <v>24.456</v>
      </c>
      <c r="F31" s="27" t="n">
        <v>12.228</v>
      </c>
      <c r="G31" s="27" t="n">
        <v>4.459</v>
      </c>
      <c r="H31" s="27" t="n">
        <v>4.891</v>
      </c>
      <c r="I31" s="27" t="n">
        <v>0.432</v>
      </c>
      <c r="J31" s="27" t="n">
        <v>0.008</v>
      </c>
      <c r="K31" s="27" t="n">
        <v>0.051</v>
      </c>
      <c r="L31" s="28" t="n">
        <f aca="false">SUM(B31:K31)</f>
        <v>244.621</v>
      </c>
    </row>
    <row r="32" customFormat="false" ht="15" hidden="false" customHeight="false" outlineLevel="0" collapsed="false">
      <c r="A32" s="4" t="n">
        <v>2043</v>
      </c>
      <c r="B32" s="27" t="n">
        <v>37.367</v>
      </c>
      <c r="C32" s="27" t="n">
        <v>154.451</v>
      </c>
      <c r="D32" s="27" t="n">
        <v>9.965</v>
      </c>
      <c r="E32" s="27" t="n">
        <v>24.911</v>
      </c>
      <c r="F32" s="27" t="n">
        <v>12.456</v>
      </c>
      <c r="G32" s="27" t="n">
        <v>4.542</v>
      </c>
      <c r="H32" s="27" t="n">
        <v>4.982</v>
      </c>
      <c r="I32" s="27" t="n">
        <v>0.44</v>
      </c>
      <c r="J32" s="27" t="n">
        <v>0.008</v>
      </c>
      <c r="K32" s="27" t="n">
        <v>0.052</v>
      </c>
      <c r="L32" s="28" t="n">
        <f aca="false">SUM(B32:K32)</f>
        <v>249.174</v>
      </c>
    </row>
    <row r="33" customFormat="false" ht="15" hidden="false" customHeight="false" outlineLevel="0" collapsed="false">
      <c r="A33" s="4" t="n">
        <v>2044</v>
      </c>
      <c r="B33" s="27" t="n">
        <v>38.064</v>
      </c>
      <c r="C33" s="27" t="n">
        <v>157.33</v>
      </c>
      <c r="D33" s="27" t="n">
        <v>10.15</v>
      </c>
      <c r="E33" s="27" t="n">
        <v>25.376</v>
      </c>
      <c r="F33" s="27" t="n">
        <v>12.688</v>
      </c>
      <c r="G33" s="27" t="n">
        <v>4.745</v>
      </c>
      <c r="H33" s="27" t="n">
        <v>5.075</v>
      </c>
      <c r="I33" s="27" t="n">
        <v>0.33</v>
      </c>
      <c r="J33" s="27" t="n">
        <v>0.009</v>
      </c>
      <c r="K33" s="27" t="n">
        <v>0.054</v>
      </c>
      <c r="L33" s="28" t="n">
        <f aca="false">SUM(B33:K33)</f>
        <v>253.821</v>
      </c>
    </row>
    <row r="34" customFormat="false" ht="15" hidden="false" customHeight="false" outlineLevel="0" collapsed="false">
      <c r="A34" s="4" t="n">
        <v>2045</v>
      </c>
      <c r="B34" s="27" t="n">
        <v>38.775</v>
      </c>
      <c r="C34" s="27" t="n">
        <v>160.269</v>
      </c>
      <c r="D34" s="27" t="n">
        <v>10.34</v>
      </c>
      <c r="E34" s="27" t="n">
        <v>25.85</v>
      </c>
      <c r="F34" s="27" t="n">
        <v>12.925</v>
      </c>
      <c r="G34" s="27" t="n">
        <v>5.071</v>
      </c>
      <c r="H34" s="27" t="n">
        <v>5.17</v>
      </c>
      <c r="I34" s="27" t="n">
        <v>0.099</v>
      </c>
      <c r="J34" s="27" t="n">
        <v>0.009</v>
      </c>
      <c r="K34" s="27" t="n">
        <v>0.055</v>
      </c>
      <c r="L34" s="28" t="n">
        <f aca="false">SUM(B34:K34)</f>
        <v>258.563</v>
      </c>
    </row>
    <row r="35" customFormat="false" ht="15" hidden="false" customHeight="false" outlineLevel="0" collapsed="false">
      <c r="A35" s="4" t="n">
        <v>2046</v>
      </c>
      <c r="B35" s="27" t="n">
        <v>39.5</v>
      </c>
      <c r="C35" s="27" t="n">
        <v>163.268</v>
      </c>
      <c r="D35" s="27" t="n">
        <v>10.533</v>
      </c>
      <c r="E35" s="27" t="n">
        <v>26.334</v>
      </c>
      <c r="F35" s="27" t="n">
        <v>13.167</v>
      </c>
      <c r="G35" s="27" t="n">
        <v>5.168</v>
      </c>
      <c r="H35" s="27" t="n">
        <v>5.267</v>
      </c>
      <c r="I35" s="27" t="n">
        <v>0.099</v>
      </c>
      <c r="J35" s="27" t="n">
        <v>0.009</v>
      </c>
      <c r="K35" s="27" t="n">
        <v>0.056</v>
      </c>
      <c r="L35" s="28" t="n">
        <f aca="false">SUM(B35:K35)</f>
        <v>263.401</v>
      </c>
    </row>
    <row r="36" customFormat="false" ht="15" hidden="false" customHeight="false" outlineLevel="0" collapsed="false">
      <c r="A36" s="4" t="n">
        <v>2047</v>
      </c>
      <c r="B36" s="27" t="n">
        <v>40.241</v>
      </c>
      <c r="C36" s="27" t="n">
        <v>166.329</v>
      </c>
      <c r="D36" s="27" t="n">
        <v>10.731</v>
      </c>
      <c r="E36" s="27" t="n">
        <v>26.827</v>
      </c>
      <c r="F36" s="27" t="n">
        <v>13.414</v>
      </c>
      <c r="G36" s="27" t="n">
        <v>5.267</v>
      </c>
      <c r="H36" s="27" t="n">
        <v>5.365</v>
      </c>
      <c r="I36" s="27" t="n">
        <v>0.099</v>
      </c>
      <c r="J36" s="27" t="n">
        <v>0.009</v>
      </c>
      <c r="K36" s="27" t="n">
        <v>0.057</v>
      </c>
      <c r="L36" s="28" t="n">
        <f aca="false">SUM(B36:K36)</f>
        <v>268.339</v>
      </c>
    </row>
    <row r="37" customFormat="false" ht="15" hidden="false" customHeight="false" outlineLevel="0" collapsed="false">
      <c r="A37" s="4" t="n">
        <v>2048</v>
      </c>
      <c r="B37" s="27" t="n">
        <v>40.997</v>
      </c>
      <c r="C37" s="27" t="n">
        <v>169.453</v>
      </c>
      <c r="D37" s="27" t="n">
        <v>10.932</v>
      </c>
      <c r="E37" s="27" t="n">
        <v>27.331</v>
      </c>
      <c r="F37" s="27" t="n">
        <v>13.666</v>
      </c>
      <c r="G37" s="27" t="n">
        <v>5.368</v>
      </c>
      <c r="H37" s="27" t="n">
        <v>5.466</v>
      </c>
      <c r="I37" s="27" t="n">
        <v>0.099</v>
      </c>
      <c r="J37" s="27" t="n">
        <v>0.009</v>
      </c>
      <c r="K37" s="27" t="n">
        <v>0.058</v>
      </c>
      <c r="L37" s="28" t="n">
        <f aca="false">SUM(B37:K37)</f>
        <v>273.379</v>
      </c>
    </row>
    <row r="38" customFormat="false" ht="15" hidden="false" customHeight="false" outlineLevel="0" collapsed="false">
      <c r="A38" s="4" t="n">
        <v>2049</v>
      </c>
      <c r="B38" s="27" t="n">
        <v>41.768</v>
      </c>
      <c r="C38" s="27" t="n">
        <v>172.641</v>
      </c>
      <c r="D38" s="27" t="n">
        <v>11.138</v>
      </c>
      <c r="E38" s="27" t="n">
        <v>27.845</v>
      </c>
      <c r="F38" s="27" t="n">
        <v>13.923</v>
      </c>
      <c r="G38" s="27" t="n">
        <v>5.47</v>
      </c>
      <c r="H38" s="27" t="n">
        <v>5.569</v>
      </c>
      <c r="I38" s="27" t="n">
        <v>0.099</v>
      </c>
      <c r="J38" s="27" t="n">
        <v>0.009</v>
      </c>
      <c r="K38" s="27" t="n">
        <v>0.06</v>
      </c>
      <c r="L38" s="28" t="n">
        <f aca="false">SUM(B38:K38)</f>
        <v>278.522</v>
      </c>
    </row>
    <row r="39" customFormat="false" ht="15" hidden="false" customHeight="false" outlineLevel="0" collapsed="false">
      <c r="A39" s="4" t="n">
        <v>2050</v>
      </c>
      <c r="B39" s="27" t="n">
        <v>42.555</v>
      </c>
      <c r="C39" s="27" t="n">
        <v>175.894</v>
      </c>
      <c r="D39" s="27" t="n">
        <v>11.348</v>
      </c>
      <c r="E39" s="27" t="n">
        <v>28.37</v>
      </c>
      <c r="F39" s="27" t="n">
        <v>14.185</v>
      </c>
      <c r="G39" s="27" t="n">
        <v>5.575</v>
      </c>
      <c r="H39" s="27" t="n">
        <v>5.674</v>
      </c>
      <c r="I39" s="27" t="n">
        <v>0.099</v>
      </c>
      <c r="J39" s="27" t="n">
        <v>0.009</v>
      </c>
      <c r="K39" s="27" t="n">
        <v>0.061</v>
      </c>
      <c r="L39" s="28" t="n">
        <f aca="false">SUM(B39:K39)</f>
        <v>283.77</v>
      </c>
    </row>
    <row r="41" customFormat="false" ht="15" hidden="false" customHeight="false" outlineLevel="0" collapsed="false">
      <c r="A41" s="10" t="s">
        <v>270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</row>
    <row r="42" customFormat="false" ht="26.85" hidden="false" customHeight="false" outlineLevel="0" collapsed="false">
      <c r="A42" s="3" t="s">
        <v>113</v>
      </c>
      <c r="B42" s="3" t="s">
        <v>260</v>
      </c>
      <c r="C42" s="3" t="s">
        <v>261</v>
      </c>
      <c r="D42" s="3" t="s">
        <v>262</v>
      </c>
      <c r="E42" s="3" t="s">
        <v>263</v>
      </c>
      <c r="F42" s="3" t="s">
        <v>264</v>
      </c>
      <c r="G42" s="3" t="s">
        <v>265</v>
      </c>
      <c r="H42" s="3" t="s">
        <v>266</v>
      </c>
      <c r="I42" s="3" t="s">
        <v>267</v>
      </c>
      <c r="J42" s="3" t="s">
        <v>268</v>
      </c>
      <c r="K42" s="3" t="s">
        <v>269</v>
      </c>
      <c r="L42" s="3" t="s">
        <v>58</v>
      </c>
    </row>
    <row r="43" customFormat="false" ht="15" hidden="false" customHeight="false" outlineLevel="0" collapsed="false">
      <c r="A43" s="4" t="n">
        <v>2023</v>
      </c>
      <c r="B43" s="27" t="n">
        <v>25.367</v>
      </c>
      <c r="C43" s="27" t="n">
        <v>104.852</v>
      </c>
      <c r="D43" s="27" t="n">
        <v>7.544</v>
      </c>
      <c r="E43" s="27" t="n">
        <v>16.912</v>
      </c>
      <c r="F43" s="27" t="n">
        <v>8.456</v>
      </c>
      <c r="G43" s="27" t="n">
        <v>1.691</v>
      </c>
      <c r="H43" s="27" t="n">
        <v>3.382</v>
      </c>
      <c r="I43" s="27" t="n">
        <v>0.912</v>
      </c>
      <c r="J43" s="27" t="n">
        <v>0.006</v>
      </c>
      <c r="K43" s="27" t="n">
        <v>0.035</v>
      </c>
      <c r="L43" s="28" t="n">
        <f aca="false">SUM(B43:K43)</f>
        <v>169.157</v>
      </c>
    </row>
    <row r="44" customFormat="false" ht="15" hidden="false" customHeight="false" outlineLevel="0" collapsed="false">
      <c r="A44" s="4" t="n">
        <v>2024</v>
      </c>
      <c r="B44" s="27" t="n">
        <v>28.199</v>
      </c>
      <c r="C44" s="27" t="n">
        <v>104.16</v>
      </c>
      <c r="D44" s="27" t="n">
        <v>8.905</v>
      </c>
      <c r="E44" s="27" t="n">
        <v>16.8</v>
      </c>
      <c r="F44" s="27" t="n">
        <v>8.4</v>
      </c>
      <c r="G44" s="27" t="n">
        <v>1.724</v>
      </c>
      <c r="H44" s="27" t="n">
        <v>3.36</v>
      </c>
      <c r="I44" s="27" t="n">
        <v>0.908</v>
      </c>
      <c r="J44" s="27" t="n">
        <v>0.006</v>
      </c>
      <c r="K44" s="27" t="n">
        <v>0.035</v>
      </c>
      <c r="L44" s="28" t="n">
        <f aca="false">SUM(B44:K44)</f>
        <v>172.497</v>
      </c>
    </row>
    <row r="45" customFormat="false" ht="15" hidden="false" customHeight="false" outlineLevel="0" collapsed="false">
      <c r="A45" s="4" t="n">
        <v>2025</v>
      </c>
      <c r="B45" s="27" t="n">
        <v>29.789</v>
      </c>
      <c r="C45" s="27" t="n">
        <v>103.415</v>
      </c>
      <c r="D45" s="27" t="n">
        <v>11.135</v>
      </c>
      <c r="E45" s="27" t="n">
        <v>16.68</v>
      </c>
      <c r="F45" s="27" t="n">
        <v>8.34</v>
      </c>
      <c r="G45" s="27" t="n">
        <v>1.759</v>
      </c>
      <c r="H45" s="27" t="n">
        <v>3.336</v>
      </c>
      <c r="I45" s="27" t="n">
        <v>1.448</v>
      </c>
      <c r="J45" s="27" t="n">
        <v>0.007</v>
      </c>
      <c r="K45" s="27" t="n">
        <v>0.036</v>
      </c>
      <c r="L45" s="28" t="n">
        <f aca="false">SUM(B45:K45)</f>
        <v>175.945</v>
      </c>
    </row>
    <row r="46" customFormat="false" ht="15" hidden="false" customHeight="false" outlineLevel="0" collapsed="false">
      <c r="A46" s="4" t="n">
        <v>2026</v>
      </c>
      <c r="B46" s="27" t="n">
        <v>31.512</v>
      </c>
      <c r="C46" s="27" t="n">
        <v>102.128</v>
      </c>
      <c r="D46" s="27" t="n">
        <v>13.4</v>
      </c>
      <c r="E46" s="27" t="n">
        <v>16.472</v>
      </c>
      <c r="F46" s="27" t="n">
        <v>8.236</v>
      </c>
      <c r="G46" s="27" t="n">
        <v>1.785</v>
      </c>
      <c r="H46" s="27" t="n">
        <v>3.294</v>
      </c>
      <c r="I46" s="27" t="n">
        <v>1.786</v>
      </c>
      <c r="J46" s="27" t="n">
        <v>0.007</v>
      </c>
      <c r="K46" s="27" t="n">
        <v>0.037</v>
      </c>
      <c r="L46" s="28" t="n">
        <f aca="false">SUM(B46:K46)</f>
        <v>178.657</v>
      </c>
    </row>
    <row r="47" customFormat="false" ht="15" hidden="false" customHeight="false" outlineLevel="0" collapsed="false">
      <c r="A47" s="4" t="n">
        <v>2027</v>
      </c>
      <c r="B47" s="27" t="n">
        <v>33.901</v>
      </c>
      <c r="C47" s="27" t="n">
        <v>100.677</v>
      </c>
      <c r="D47" s="27" t="n">
        <v>15.738</v>
      </c>
      <c r="E47" s="27" t="n">
        <v>16.238</v>
      </c>
      <c r="F47" s="27" t="n">
        <v>8.119</v>
      </c>
      <c r="G47" s="27" t="n">
        <v>2.669</v>
      </c>
      <c r="H47" s="27" t="n">
        <v>3.248</v>
      </c>
      <c r="I47" s="27" t="n">
        <v>0.643</v>
      </c>
      <c r="J47" s="27" t="n">
        <v>0.007</v>
      </c>
      <c r="K47" s="27" t="n">
        <v>0.038</v>
      </c>
      <c r="L47" s="28" t="n">
        <f aca="false">SUM(B47:K47)</f>
        <v>181.278</v>
      </c>
    </row>
    <row r="48" customFormat="false" ht="15" hidden="false" customHeight="false" outlineLevel="0" collapsed="false">
      <c r="A48" s="4" t="n">
        <v>2028</v>
      </c>
      <c r="B48" s="27" t="n">
        <v>36.521</v>
      </c>
      <c r="C48" s="27" t="n">
        <v>99.184</v>
      </c>
      <c r="D48" s="27" t="n">
        <v>18.186</v>
      </c>
      <c r="E48" s="27" t="n">
        <v>15.997</v>
      </c>
      <c r="F48" s="27" t="n">
        <v>7.999</v>
      </c>
      <c r="G48" s="27" t="n">
        <v>2.383</v>
      </c>
      <c r="H48" s="27" t="n">
        <v>3.199</v>
      </c>
      <c r="I48" s="27" t="n">
        <v>0.543</v>
      </c>
      <c r="J48" s="27" t="n">
        <v>0.007</v>
      </c>
      <c r="K48" s="27" t="n">
        <v>0.038</v>
      </c>
      <c r="L48" s="28" t="n">
        <f aca="false">SUM(B48:K48)</f>
        <v>184.057</v>
      </c>
    </row>
    <row r="49" customFormat="false" ht="15" hidden="false" customHeight="false" outlineLevel="0" collapsed="false">
      <c r="A49" s="4" t="n">
        <v>2029</v>
      </c>
      <c r="B49" s="27" t="n">
        <v>39.204</v>
      </c>
      <c r="C49" s="27" t="n">
        <v>97.566</v>
      </c>
      <c r="D49" s="27" t="n">
        <v>20.766</v>
      </c>
      <c r="E49" s="27" t="n">
        <v>15.736</v>
      </c>
      <c r="F49" s="27" t="n">
        <v>7.868</v>
      </c>
      <c r="G49" s="27" t="n">
        <v>2.08</v>
      </c>
      <c r="H49" s="27" t="n">
        <v>3.147</v>
      </c>
      <c r="I49" s="27" t="n">
        <v>0.51</v>
      </c>
      <c r="J49" s="27" t="n">
        <v>0.007</v>
      </c>
      <c r="K49" s="27" t="n">
        <v>0.039</v>
      </c>
      <c r="L49" s="28" t="n">
        <f aca="false">SUM(B49:K49)</f>
        <v>186.923</v>
      </c>
    </row>
    <row r="50" customFormat="false" ht="15" hidden="false" customHeight="false" outlineLevel="0" collapsed="false">
      <c r="A50" s="4" t="n">
        <v>2030</v>
      </c>
      <c r="B50" s="27" t="n">
        <v>41.906</v>
      </c>
      <c r="C50" s="27" t="n">
        <v>95.717</v>
      </c>
      <c r="D50" s="27" t="n">
        <v>23.522</v>
      </c>
      <c r="E50" s="27" t="n">
        <v>15.438</v>
      </c>
      <c r="F50" s="27" t="n">
        <v>7.719</v>
      </c>
      <c r="G50" s="27" t="n">
        <v>1.896</v>
      </c>
      <c r="H50" s="27" t="n">
        <v>3.088</v>
      </c>
      <c r="I50" s="27" t="n">
        <v>0.475</v>
      </c>
      <c r="J50" s="27" t="n">
        <v>0.007</v>
      </c>
      <c r="K50" s="27" t="n">
        <v>0.04</v>
      </c>
      <c r="L50" s="28" t="n">
        <f aca="false">SUM(B50:K50)</f>
        <v>189.808</v>
      </c>
    </row>
    <row r="51" customFormat="false" ht="15" hidden="false" customHeight="false" outlineLevel="0" collapsed="false">
      <c r="A51" s="4" t="n">
        <v>2031</v>
      </c>
      <c r="B51" s="27" t="n">
        <v>44.582</v>
      </c>
      <c r="C51" s="27" t="n">
        <v>93.525</v>
      </c>
      <c r="D51" s="27" t="n">
        <v>26.536</v>
      </c>
      <c r="E51" s="27" t="n">
        <v>15.085</v>
      </c>
      <c r="F51" s="27" t="n">
        <v>7.542</v>
      </c>
      <c r="G51" s="27" t="n">
        <v>1.925</v>
      </c>
      <c r="H51" s="27" t="n">
        <v>3.017</v>
      </c>
      <c r="I51" s="27" t="n">
        <v>0.448</v>
      </c>
      <c r="J51" s="27" t="n">
        <v>0.007</v>
      </c>
      <c r="K51" s="27" t="n">
        <v>0.041</v>
      </c>
      <c r="L51" s="28" t="n">
        <f aca="false">SUM(B51:K51)</f>
        <v>192.708</v>
      </c>
    </row>
    <row r="52" customFormat="false" ht="15" hidden="false" customHeight="false" outlineLevel="0" collapsed="false">
      <c r="A52" s="4" t="n">
        <v>2032</v>
      </c>
      <c r="B52" s="27" t="n">
        <v>47.531</v>
      </c>
      <c r="C52" s="27" t="n">
        <v>90.803</v>
      </c>
      <c r="D52" s="27" t="n">
        <v>29.941</v>
      </c>
      <c r="E52" s="27" t="n">
        <v>14.646</v>
      </c>
      <c r="F52" s="27" t="n">
        <v>7.323</v>
      </c>
      <c r="G52" s="27" t="n">
        <v>1.953</v>
      </c>
      <c r="H52" s="27" t="n">
        <v>2.929</v>
      </c>
      <c r="I52" s="27" t="n">
        <v>0.446</v>
      </c>
      <c r="J52" s="27" t="n">
        <v>0.007</v>
      </c>
      <c r="K52" s="27" t="n">
        <v>0.042</v>
      </c>
      <c r="L52" s="28" t="n">
        <f aca="false">SUM(B52:K52)</f>
        <v>195.621</v>
      </c>
    </row>
    <row r="53" customFormat="false" ht="15" hidden="false" customHeight="false" outlineLevel="0" collapsed="false">
      <c r="A53" s="4" t="n">
        <v>2033</v>
      </c>
      <c r="B53" s="27" t="n">
        <v>50.928</v>
      </c>
      <c r="C53" s="27" t="n">
        <v>87.278</v>
      </c>
      <c r="D53" s="27" t="n">
        <v>33.936</v>
      </c>
      <c r="E53" s="27" t="n">
        <v>14.077</v>
      </c>
      <c r="F53" s="27" t="n">
        <v>7.039</v>
      </c>
      <c r="G53" s="27" t="n">
        <v>1.982</v>
      </c>
      <c r="H53" s="27" t="n">
        <v>2.815</v>
      </c>
      <c r="I53" s="27" t="n">
        <v>0.443</v>
      </c>
      <c r="J53" s="27" t="n">
        <v>0.007</v>
      </c>
      <c r="K53" s="27" t="n">
        <v>0.043</v>
      </c>
      <c r="L53" s="28" t="n">
        <f aca="false">SUM(B53:K53)</f>
        <v>198.548</v>
      </c>
    </row>
    <row r="54" customFormat="false" ht="15" hidden="false" customHeight="false" outlineLevel="0" collapsed="false">
      <c r="A54" s="4" t="n">
        <v>2034</v>
      </c>
      <c r="B54" s="27" t="n">
        <v>54.953</v>
      </c>
      <c r="C54" s="27" t="n">
        <v>82.609</v>
      </c>
      <c r="D54" s="27" t="n">
        <v>38.765</v>
      </c>
      <c r="E54" s="27" t="n">
        <v>13.324</v>
      </c>
      <c r="F54" s="27" t="n">
        <v>6.662</v>
      </c>
      <c r="G54" s="27" t="n">
        <v>2.011</v>
      </c>
      <c r="H54" s="27" t="n">
        <v>2.665</v>
      </c>
      <c r="I54" s="27" t="n">
        <v>0.441</v>
      </c>
      <c r="J54" s="27" t="n">
        <v>0.007</v>
      </c>
      <c r="K54" s="27" t="n">
        <v>0.044</v>
      </c>
      <c r="L54" s="28" t="n">
        <f aca="false">SUM(B54:K54)</f>
        <v>201.481</v>
      </c>
    </row>
    <row r="55" customFormat="false" ht="15" hidden="false" customHeight="false" outlineLevel="0" collapsed="false">
      <c r="A55" s="4" t="n">
        <v>2035</v>
      </c>
      <c r="B55" s="27" t="n">
        <v>59.754</v>
      </c>
      <c r="C55" s="27" t="n">
        <v>76.542</v>
      </c>
      <c r="D55" s="27" t="n">
        <v>44.617</v>
      </c>
      <c r="E55" s="27" t="n">
        <v>12.345</v>
      </c>
      <c r="F55" s="27" t="n">
        <v>6.173</v>
      </c>
      <c r="G55" s="27" t="n">
        <v>2.04</v>
      </c>
      <c r="H55" s="27" t="n">
        <v>2.469</v>
      </c>
      <c r="I55" s="27" t="n">
        <v>0.438</v>
      </c>
      <c r="J55" s="27" t="n">
        <v>0.008</v>
      </c>
      <c r="K55" s="27" t="n">
        <v>0.045</v>
      </c>
      <c r="L55" s="28" t="n">
        <f aca="false">SUM(B55:K55)</f>
        <v>204.431</v>
      </c>
    </row>
    <row r="56" customFormat="false" ht="15" hidden="false" customHeight="false" outlineLevel="0" collapsed="false">
      <c r="A56" s="4" t="n">
        <v>2036</v>
      </c>
      <c r="B56" s="27" t="n">
        <v>63.642</v>
      </c>
      <c r="C56" s="27" t="n">
        <v>69.155</v>
      </c>
      <c r="D56" s="27" t="n">
        <v>51.43</v>
      </c>
      <c r="E56" s="27" t="n">
        <v>11.154</v>
      </c>
      <c r="F56" s="27" t="n">
        <v>5.577</v>
      </c>
      <c r="G56" s="27" t="n">
        <v>2.069</v>
      </c>
      <c r="H56" s="27" t="n">
        <v>3.869</v>
      </c>
      <c r="I56" s="27" t="n">
        <v>0.435</v>
      </c>
      <c r="J56" s="27" t="n">
        <v>0.008</v>
      </c>
      <c r="K56" s="27" t="n">
        <v>0.045</v>
      </c>
      <c r="L56" s="28" t="n">
        <f aca="false">SUM(B56:K56)</f>
        <v>207.384</v>
      </c>
    </row>
    <row r="57" customFormat="false" ht="15" hidden="false" customHeight="false" outlineLevel="0" collapsed="false">
      <c r="A57" s="4" t="n">
        <v>2037</v>
      </c>
      <c r="B57" s="27" t="n">
        <v>69.527</v>
      </c>
      <c r="C57" s="27" t="n">
        <v>61.064</v>
      </c>
      <c r="D57" s="27" t="n">
        <v>58.76</v>
      </c>
      <c r="E57" s="27" t="n">
        <v>9.849</v>
      </c>
      <c r="F57" s="27" t="n">
        <v>4.925</v>
      </c>
      <c r="G57" s="27" t="n">
        <v>2.097</v>
      </c>
      <c r="H57" s="27" t="n">
        <v>3.711</v>
      </c>
      <c r="I57" s="27" t="n">
        <v>0.362</v>
      </c>
      <c r="J57" s="27" t="n">
        <v>0.008</v>
      </c>
      <c r="K57" s="27" t="n">
        <v>0.046</v>
      </c>
      <c r="L57" s="28" t="n">
        <f aca="false">SUM(B57:K57)</f>
        <v>210.349</v>
      </c>
    </row>
    <row r="58" customFormat="false" ht="15" hidden="false" customHeight="false" outlineLevel="0" collapsed="false">
      <c r="A58" s="4" t="n">
        <v>2038</v>
      </c>
      <c r="B58" s="27" t="n">
        <v>75.296</v>
      </c>
      <c r="C58" s="27" t="n">
        <v>53.191</v>
      </c>
      <c r="D58" s="27" t="n">
        <v>65.935</v>
      </c>
      <c r="E58" s="27" t="n">
        <v>8.579</v>
      </c>
      <c r="F58" s="27" t="n">
        <v>4.29</v>
      </c>
      <c r="G58" s="27" t="n">
        <v>2.126</v>
      </c>
      <c r="H58" s="27" t="n">
        <v>3.59</v>
      </c>
      <c r="I58" s="27" t="n">
        <v>0.258</v>
      </c>
      <c r="J58" s="27" t="n">
        <v>0.008</v>
      </c>
      <c r="K58" s="27" t="n">
        <v>0.047</v>
      </c>
      <c r="L58" s="28" t="n">
        <f aca="false">SUM(B58:K58)</f>
        <v>213.32</v>
      </c>
    </row>
    <row r="59" customFormat="false" ht="15" hidden="false" customHeight="false" outlineLevel="0" collapsed="false">
      <c r="A59" s="4" t="n">
        <v>2039</v>
      </c>
      <c r="B59" s="27" t="n">
        <v>80.565</v>
      </c>
      <c r="C59" s="27" t="n">
        <v>46.235</v>
      </c>
      <c r="D59" s="27" t="n">
        <v>72.447</v>
      </c>
      <c r="E59" s="27" t="n">
        <v>7.457</v>
      </c>
      <c r="F59" s="27" t="n">
        <v>3.729</v>
      </c>
      <c r="G59" s="27" t="n">
        <v>2.155</v>
      </c>
      <c r="H59" s="27" t="n">
        <v>3.654</v>
      </c>
      <c r="I59" s="27" t="n">
        <v>0</v>
      </c>
      <c r="J59" s="27" t="n">
        <v>0.008</v>
      </c>
      <c r="K59" s="27" t="n">
        <v>0.048</v>
      </c>
      <c r="L59" s="28" t="n">
        <f aca="false">SUM(B59:K59)</f>
        <v>216.298</v>
      </c>
    </row>
    <row r="60" customFormat="false" ht="15" hidden="false" customHeight="false" outlineLevel="0" collapsed="false">
      <c r="A60" s="4" t="n">
        <v>2040</v>
      </c>
      <c r="B60" s="27" t="n">
        <v>85.238</v>
      </c>
      <c r="C60" s="27" t="n">
        <v>40.392</v>
      </c>
      <c r="D60" s="27" t="n">
        <v>78.164</v>
      </c>
      <c r="E60" s="27" t="n">
        <v>6.515</v>
      </c>
      <c r="F60" s="27" t="n">
        <v>3.257</v>
      </c>
      <c r="G60" s="27" t="n">
        <v>2.185</v>
      </c>
      <c r="H60" s="27" t="n">
        <v>3.495</v>
      </c>
      <c r="I60" s="27" t="n">
        <v>0</v>
      </c>
      <c r="J60" s="27" t="n">
        <v>0.008</v>
      </c>
      <c r="K60" s="27" t="n">
        <v>0.049</v>
      </c>
      <c r="L60" s="28" t="n">
        <f aca="false">SUM(B60:K60)</f>
        <v>219.303</v>
      </c>
    </row>
    <row r="61" customFormat="false" ht="15" hidden="false" customHeight="false" outlineLevel="0" collapsed="false">
      <c r="A61" s="4" t="n">
        <v>2041</v>
      </c>
      <c r="B61" s="27" t="n">
        <v>89.552</v>
      </c>
      <c r="C61" s="27" t="n">
        <v>35.537</v>
      </c>
      <c r="D61" s="27" t="n">
        <v>83.346</v>
      </c>
      <c r="E61" s="27" t="n">
        <v>5.732</v>
      </c>
      <c r="F61" s="27" t="n">
        <v>2.866</v>
      </c>
      <c r="G61" s="27" t="n">
        <v>2.218</v>
      </c>
      <c r="H61" s="27" t="n">
        <v>3.373</v>
      </c>
      <c r="I61" s="27" t="n">
        <v>0</v>
      </c>
      <c r="J61" s="27" t="n">
        <v>0.008</v>
      </c>
      <c r="K61" s="27" t="n">
        <v>0.05</v>
      </c>
      <c r="L61" s="28" t="n">
        <f aca="false">SUM(B61:K61)</f>
        <v>222.682</v>
      </c>
    </row>
    <row r="62" customFormat="false" ht="15" hidden="false" customHeight="false" outlineLevel="0" collapsed="false">
      <c r="A62" s="4" t="n">
        <v>2042</v>
      </c>
      <c r="B62" s="27" t="n">
        <v>93.419</v>
      </c>
      <c r="C62" s="27" t="n">
        <v>31.26</v>
      </c>
      <c r="D62" s="27" t="n">
        <v>87.978</v>
      </c>
      <c r="E62" s="27" t="n">
        <v>5.042</v>
      </c>
      <c r="F62" s="27" t="n">
        <v>2.521</v>
      </c>
      <c r="G62" s="27" t="n">
        <v>2.249</v>
      </c>
      <c r="H62" s="27" t="n">
        <v>3.266</v>
      </c>
      <c r="I62" s="27" t="n">
        <v>0</v>
      </c>
      <c r="J62" s="27" t="n">
        <v>0.008</v>
      </c>
      <c r="K62" s="27" t="n">
        <v>0.051</v>
      </c>
      <c r="L62" s="28" t="n">
        <f aca="false">SUM(B62:K62)</f>
        <v>225.794</v>
      </c>
    </row>
    <row r="63" customFormat="false" ht="15" hidden="false" customHeight="false" outlineLevel="0" collapsed="false">
      <c r="A63" s="4" t="n">
        <v>2043</v>
      </c>
      <c r="B63" s="27" t="n">
        <v>97.109</v>
      </c>
      <c r="C63" s="27" t="n">
        <v>27.357</v>
      </c>
      <c r="D63" s="27" t="n">
        <v>92.366</v>
      </c>
      <c r="E63" s="27" t="n">
        <v>4.412</v>
      </c>
      <c r="F63" s="27" t="n">
        <v>2.206</v>
      </c>
      <c r="G63" s="27" t="n">
        <v>2.28</v>
      </c>
      <c r="H63" s="27" t="n">
        <v>3.172</v>
      </c>
      <c r="I63" s="27" t="n">
        <v>0</v>
      </c>
      <c r="J63" s="27" t="n">
        <v>0.008</v>
      </c>
      <c r="K63" s="27" t="n">
        <v>0.052</v>
      </c>
      <c r="L63" s="28" t="n">
        <f aca="false">SUM(B63:K63)</f>
        <v>228.962</v>
      </c>
    </row>
    <row r="64" customFormat="false" ht="15" hidden="false" customHeight="false" outlineLevel="0" collapsed="false">
      <c r="A64" s="4" t="n">
        <v>2044</v>
      </c>
      <c r="B64" s="27" t="n">
        <v>100.949</v>
      </c>
      <c r="C64" s="27" t="n">
        <v>23.693</v>
      </c>
      <c r="D64" s="27" t="n">
        <v>96.862</v>
      </c>
      <c r="E64" s="27" t="n">
        <v>3.821</v>
      </c>
      <c r="F64" s="27" t="n">
        <v>1.911</v>
      </c>
      <c r="G64" s="27" t="n">
        <v>2.595</v>
      </c>
      <c r="H64" s="27" t="n">
        <v>2.427</v>
      </c>
      <c r="I64" s="27" t="n">
        <v>0.385</v>
      </c>
      <c r="J64" s="27" t="n">
        <v>0.009</v>
      </c>
      <c r="K64" s="27" t="n">
        <v>0.054</v>
      </c>
      <c r="L64" s="28" t="n">
        <f aca="false">SUM(B64:K64)</f>
        <v>232.706</v>
      </c>
    </row>
    <row r="65" customFormat="false" ht="15" hidden="false" customHeight="false" outlineLevel="0" collapsed="false">
      <c r="A65" s="4" t="n">
        <v>2045</v>
      </c>
      <c r="B65" s="27" t="n">
        <v>104.846</v>
      </c>
      <c r="C65" s="27" t="n">
        <v>20.032</v>
      </c>
      <c r="D65" s="27" t="n">
        <v>101.119</v>
      </c>
      <c r="E65" s="27" t="n">
        <v>3.231</v>
      </c>
      <c r="F65" s="27" t="n">
        <v>1.615</v>
      </c>
      <c r="G65" s="27" t="n">
        <v>2.349</v>
      </c>
      <c r="H65" s="27" t="n">
        <v>2.449</v>
      </c>
      <c r="I65" s="27" t="n">
        <v>0.262</v>
      </c>
      <c r="J65" s="27" t="n">
        <v>0.009</v>
      </c>
      <c r="K65" s="27" t="n">
        <v>0.055</v>
      </c>
      <c r="L65" s="28" t="n">
        <f aca="false">SUM(B65:K65)</f>
        <v>235.967</v>
      </c>
    </row>
    <row r="66" customFormat="false" ht="15" hidden="false" customHeight="false" outlineLevel="0" collapsed="false">
      <c r="A66" s="4" t="n">
        <v>2046</v>
      </c>
      <c r="B66" s="27" t="n">
        <v>108.103</v>
      </c>
      <c r="C66" s="27" t="n">
        <v>16.353</v>
      </c>
      <c r="D66" s="27" t="n">
        <v>105.329</v>
      </c>
      <c r="E66" s="27" t="n">
        <v>2.638</v>
      </c>
      <c r="F66" s="27" t="n">
        <v>1.319</v>
      </c>
      <c r="G66" s="27" t="n">
        <v>2.38</v>
      </c>
      <c r="H66" s="27" t="n">
        <v>2.918</v>
      </c>
      <c r="I66" s="27" t="n">
        <v>0</v>
      </c>
      <c r="J66" s="27" t="n">
        <v>0.009</v>
      </c>
      <c r="K66" s="27" t="n">
        <v>0.056</v>
      </c>
      <c r="L66" s="28" t="n">
        <f aca="false">SUM(B66:K66)</f>
        <v>239.105</v>
      </c>
    </row>
    <row r="67" customFormat="false" ht="15" hidden="false" customHeight="false" outlineLevel="0" collapsed="false">
      <c r="A67" s="4" t="n">
        <v>2047</v>
      </c>
      <c r="B67" s="27" t="n">
        <v>112.34</v>
      </c>
      <c r="C67" s="27" t="n">
        <v>12.703</v>
      </c>
      <c r="D67" s="27" t="n">
        <v>110.22</v>
      </c>
      <c r="E67" s="27" t="n">
        <v>2.049</v>
      </c>
      <c r="F67" s="27" t="n">
        <v>1.024</v>
      </c>
      <c r="G67" s="27" t="n">
        <v>2.425</v>
      </c>
      <c r="H67" s="27" t="n">
        <v>2.846</v>
      </c>
      <c r="I67" s="27" t="n">
        <v>0</v>
      </c>
      <c r="J67" s="27" t="n">
        <v>0.009</v>
      </c>
      <c r="K67" s="27" t="n">
        <v>0.057</v>
      </c>
      <c r="L67" s="28" t="n">
        <f aca="false">SUM(B67:K67)</f>
        <v>243.673</v>
      </c>
    </row>
    <row r="68" customFormat="false" ht="15" hidden="false" customHeight="false" outlineLevel="0" collapsed="false">
      <c r="A68" s="4" t="n">
        <v>2048</v>
      </c>
      <c r="B68" s="27" t="n">
        <v>117.353</v>
      </c>
      <c r="C68" s="27" t="n">
        <v>8.991</v>
      </c>
      <c r="D68" s="27" t="n">
        <v>115.899</v>
      </c>
      <c r="E68" s="27" t="n">
        <v>1.45</v>
      </c>
      <c r="F68" s="27" t="n">
        <v>0.725</v>
      </c>
      <c r="G68" s="27" t="n">
        <v>2.485</v>
      </c>
      <c r="H68" s="27" t="n">
        <v>2.788</v>
      </c>
      <c r="I68" s="27" t="n">
        <v>0</v>
      </c>
      <c r="J68" s="27" t="n">
        <v>0.009</v>
      </c>
      <c r="K68" s="27" t="n">
        <v>0.058</v>
      </c>
      <c r="L68" s="28" t="n">
        <f aca="false">SUM(B68:K68)</f>
        <v>249.758</v>
      </c>
    </row>
    <row r="69" customFormat="false" ht="15" hidden="false" customHeight="false" outlineLevel="0" collapsed="false">
      <c r="A69" s="4" t="n">
        <v>2049</v>
      </c>
      <c r="B69" s="27" t="n">
        <v>122.638</v>
      </c>
      <c r="C69" s="27" t="n">
        <v>5.109</v>
      </c>
      <c r="D69" s="27" t="n">
        <v>121.881</v>
      </c>
      <c r="E69" s="27" t="n">
        <v>0.824</v>
      </c>
      <c r="F69" s="27" t="n">
        <v>0.412</v>
      </c>
      <c r="G69" s="27" t="n">
        <v>2.549</v>
      </c>
      <c r="H69" s="27" t="n">
        <v>2.728</v>
      </c>
      <c r="I69" s="27" t="n">
        <v>0</v>
      </c>
      <c r="J69" s="27" t="n">
        <v>0.009</v>
      </c>
      <c r="K69" s="27" t="n">
        <v>0.06</v>
      </c>
      <c r="L69" s="28" t="n">
        <f aca="false">SUM(B69:K69)</f>
        <v>256.21</v>
      </c>
    </row>
    <row r="70" customFormat="false" ht="15" hidden="false" customHeight="false" outlineLevel="0" collapsed="false">
      <c r="A70" s="4" t="n">
        <v>2050</v>
      </c>
      <c r="B70" s="27" t="n">
        <v>128.165</v>
      </c>
      <c r="C70" s="27" t="n">
        <v>1.031</v>
      </c>
      <c r="D70" s="27" t="n">
        <v>128.139</v>
      </c>
      <c r="E70" s="27" t="n">
        <v>0.166</v>
      </c>
      <c r="F70" s="27" t="n">
        <v>0.083</v>
      </c>
      <c r="G70" s="27" t="n">
        <v>2.688</v>
      </c>
      <c r="H70" s="27" t="n">
        <v>2.593</v>
      </c>
      <c r="I70" s="27" t="n">
        <v>0</v>
      </c>
      <c r="J70" s="27" t="n">
        <v>0.009</v>
      </c>
      <c r="K70" s="27" t="n">
        <v>0.061</v>
      </c>
      <c r="L70" s="28" t="n">
        <f aca="false">SUM(B70:K70)</f>
        <v>262.935</v>
      </c>
    </row>
    <row r="72" customFormat="false" ht="15" hidden="false" customHeight="false" outlineLevel="0" collapsed="false">
      <c r="A72" s="10" t="s">
        <v>271</v>
      </c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</row>
    <row r="73" customFormat="false" ht="26.85" hidden="false" customHeight="false" outlineLevel="0" collapsed="false">
      <c r="A73" s="3" t="s">
        <v>113</v>
      </c>
      <c r="B73" s="3" t="s">
        <v>260</v>
      </c>
      <c r="C73" s="3" t="s">
        <v>261</v>
      </c>
      <c r="D73" s="3" t="s">
        <v>262</v>
      </c>
      <c r="E73" s="3" t="s">
        <v>263</v>
      </c>
      <c r="F73" s="3" t="s">
        <v>264</v>
      </c>
      <c r="G73" s="3" t="s">
        <v>265</v>
      </c>
      <c r="H73" s="3" t="s">
        <v>266</v>
      </c>
      <c r="I73" s="3" t="s">
        <v>267</v>
      </c>
      <c r="J73" s="3" t="s">
        <v>268</v>
      </c>
      <c r="K73" s="3" t="s">
        <v>269</v>
      </c>
      <c r="L73" s="3" t="s">
        <v>58</v>
      </c>
    </row>
    <row r="74" customFormat="false" ht="15" hidden="false" customHeight="false" outlineLevel="0" collapsed="false">
      <c r="A74" s="4" t="n">
        <v>2023</v>
      </c>
      <c r="B74" s="27" t="n">
        <v>26.921</v>
      </c>
      <c r="C74" s="27" t="n">
        <v>111.274</v>
      </c>
      <c r="D74" s="27" t="n">
        <v>7.23</v>
      </c>
      <c r="E74" s="27" t="n">
        <v>17.947</v>
      </c>
      <c r="F74" s="27" t="n">
        <v>8.974</v>
      </c>
      <c r="G74" s="27" t="n">
        <v>1.795</v>
      </c>
      <c r="H74" s="27" t="n">
        <v>3.589</v>
      </c>
      <c r="I74" s="27" t="n">
        <v>1.744</v>
      </c>
      <c r="J74" s="27" t="n">
        <v>0.012</v>
      </c>
      <c r="K74" s="27" t="n">
        <v>0.034</v>
      </c>
      <c r="L74" s="28" t="n">
        <f aca="false">SUM(B74:K74)</f>
        <v>179.52</v>
      </c>
    </row>
    <row r="75" customFormat="false" ht="15" hidden="false" customHeight="false" outlineLevel="0" collapsed="false">
      <c r="A75" s="4" t="n">
        <v>2024</v>
      </c>
      <c r="B75" s="27" t="n">
        <v>29.864</v>
      </c>
      <c r="C75" s="27" t="n">
        <v>113.453</v>
      </c>
      <c r="D75" s="27" t="n">
        <v>9.68</v>
      </c>
      <c r="E75" s="27" t="n">
        <v>18.299</v>
      </c>
      <c r="F75" s="27" t="n">
        <v>9.149</v>
      </c>
      <c r="G75" s="27" t="n">
        <v>1.94</v>
      </c>
      <c r="H75" s="27" t="n">
        <v>3.66</v>
      </c>
      <c r="I75" s="27" t="n">
        <v>1.762</v>
      </c>
      <c r="J75" s="27" t="n">
        <v>0.016</v>
      </c>
      <c r="K75" s="27" t="n">
        <v>0.034</v>
      </c>
      <c r="L75" s="28" t="n">
        <f aca="false">SUM(B75:K75)</f>
        <v>187.857</v>
      </c>
    </row>
    <row r="76" customFormat="false" ht="15" hidden="false" customHeight="false" outlineLevel="0" collapsed="false">
      <c r="A76" s="4" t="n">
        <v>2025</v>
      </c>
      <c r="B76" s="27" t="n">
        <v>32.905</v>
      </c>
      <c r="C76" s="27" t="n">
        <v>113.763</v>
      </c>
      <c r="D76" s="27" t="n">
        <v>12.385</v>
      </c>
      <c r="E76" s="27" t="n">
        <v>18.349</v>
      </c>
      <c r="F76" s="27" t="n">
        <v>9.174</v>
      </c>
      <c r="G76" s="27" t="n">
        <v>1.938</v>
      </c>
      <c r="H76" s="27" t="n">
        <v>3.67</v>
      </c>
      <c r="I76" s="27" t="n">
        <v>1.601</v>
      </c>
      <c r="J76" s="27" t="n">
        <v>0.02</v>
      </c>
      <c r="K76" s="27" t="n">
        <v>0.034</v>
      </c>
      <c r="L76" s="28" t="n">
        <f aca="false">SUM(B76:K76)</f>
        <v>193.839</v>
      </c>
    </row>
    <row r="77" customFormat="false" ht="15" hidden="false" customHeight="false" outlineLevel="0" collapsed="false">
      <c r="A77" s="4" t="n">
        <v>2026</v>
      </c>
      <c r="B77" s="27" t="n">
        <v>35.276</v>
      </c>
      <c r="C77" s="27" t="n">
        <v>111.073</v>
      </c>
      <c r="D77" s="27" t="n">
        <v>15.569</v>
      </c>
      <c r="E77" s="27" t="n">
        <v>17.915</v>
      </c>
      <c r="F77" s="27" t="n">
        <v>8.957</v>
      </c>
      <c r="G77" s="27" t="n">
        <v>1.963</v>
      </c>
      <c r="H77" s="27" t="n">
        <v>3.583</v>
      </c>
      <c r="I77" s="27" t="n">
        <v>1.963</v>
      </c>
      <c r="J77" s="27" t="n">
        <v>0.108</v>
      </c>
      <c r="K77" s="27" t="n">
        <v>0.034</v>
      </c>
      <c r="L77" s="28" t="n">
        <f aca="false">SUM(B77:K77)</f>
        <v>196.441</v>
      </c>
    </row>
    <row r="78" customFormat="false" ht="15" hidden="false" customHeight="false" outlineLevel="0" collapsed="false">
      <c r="A78" s="4" t="n">
        <v>2027</v>
      </c>
      <c r="B78" s="27" t="n">
        <v>40.581</v>
      </c>
      <c r="C78" s="27" t="n">
        <v>104.94</v>
      </c>
      <c r="D78" s="27" t="n">
        <v>20.867</v>
      </c>
      <c r="E78" s="27" t="n">
        <v>16.926</v>
      </c>
      <c r="F78" s="27" t="n">
        <v>8.463</v>
      </c>
      <c r="G78" s="27" t="n">
        <v>1.98</v>
      </c>
      <c r="H78" s="27" t="n">
        <v>3.385</v>
      </c>
      <c r="I78" s="27" t="n">
        <v>0.884</v>
      </c>
      <c r="J78" s="27" t="n">
        <v>0.209</v>
      </c>
      <c r="K78" s="27" t="n">
        <v>0.034</v>
      </c>
      <c r="L78" s="28" t="n">
        <f aca="false">SUM(B78:K78)</f>
        <v>198.269</v>
      </c>
    </row>
    <row r="79" customFormat="false" ht="15" hidden="false" customHeight="false" outlineLevel="0" collapsed="false">
      <c r="A79" s="4" t="n">
        <v>2028</v>
      </c>
      <c r="B79" s="27" t="n">
        <v>48.422</v>
      </c>
      <c r="C79" s="27" t="n">
        <v>90.413</v>
      </c>
      <c r="D79" s="27" t="n">
        <v>32.381</v>
      </c>
      <c r="E79" s="27" t="n">
        <v>14.583</v>
      </c>
      <c r="F79" s="27" t="n">
        <v>7.291</v>
      </c>
      <c r="G79" s="27" t="n">
        <v>2</v>
      </c>
      <c r="H79" s="27" t="n">
        <v>4.376</v>
      </c>
      <c r="I79" s="27" t="n">
        <v>0.541</v>
      </c>
      <c r="J79" s="27" t="n">
        <v>0.323</v>
      </c>
      <c r="K79" s="27" t="n">
        <v>0.034</v>
      </c>
      <c r="L79" s="28" t="n">
        <f aca="false">SUM(B79:K79)</f>
        <v>200.364</v>
      </c>
    </row>
    <row r="80" customFormat="false" ht="15" hidden="false" customHeight="false" outlineLevel="0" collapsed="false">
      <c r="A80" s="4" t="n">
        <v>2029</v>
      </c>
      <c r="B80" s="27" t="n">
        <v>64.647</v>
      </c>
      <c r="C80" s="27" t="n">
        <v>62.627</v>
      </c>
      <c r="D80" s="27" t="n">
        <v>53.536</v>
      </c>
      <c r="E80" s="27" t="n">
        <v>10.101</v>
      </c>
      <c r="F80" s="27" t="n">
        <v>5.051</v>
      </c>
      <c r="G80" s="27" t="n">
        <v>2.02</v>
      </c>
      <c r="H80" s="27" t="n">
        <v>4.042</v>
      </c>
      <c r="I80" s="27" t="n">
        <v>0</v>
      </c>
      <c r="J80" s="27" t="n">
        <v>0.452</v>
      </c>
      <c r="K80" s="27" t="n">
        <v>0.034</v>
      </c>
      <c r="L80" s="28" t="n">
        <f aca="false">SUM(B80:K80)</f>
        <v>202.51</v>
      </c>
    </row>
    <row r="81" customFormat="false" ht="15" hidden="false" customHeight="false" outlineLevel="0" collapsed="false">
      <c r="A81" s="4" t="n">
        <v>2030</v>
      </c>
      <c r="B81" s="27" t="n">
        <v>82.02</v>
      </c>
      <c r="C81" s="27" t="n">
        <v>34.62</v>
      </c>
      <c r="D81" s="27" t="n">
        <v>75.878</v>
      </c>
      <c r="E81" s="27" t="n">
        <v>5.584</v>
      </c>
      <c r="F81" s="27" t="n">
        <v>2.792</v>
      </c>
      <c r="G81" s="27" t="n">
        <v>2.061</v>
      </c>
      <c r="H81" s="27" t="n">
        <v>3.186</v>
      </c>
      <c r="I81" s="27" t="n">
        <v>0</v>
      </c>
      <c r="J81" s="27" t="n">
        <v>0.597</v>
      </c>
      <c r="K81" s="27" t="n">
        <v>0.034</v>
      </c>
      <c r="L81" s="28" t="n">
        <f aca="false">SUM(B81:K81)</f>
        <v>206.772</v>
      </c>
    </row>
    <row r="82" customFormat="false" ht="15" hidden="false" customHeight="false" outlineLevel="0" collapsed="false">
      <c r="A82" s="4" t="n">
        <v>2031</v>
      </c>
      <c r="B82" s="27" t="n">
        <v>95.021</v>
      </c>
      <c r="C82" s="27" t="n">
        <v>19.424</v>
      </c>
      <c r="D82" s="27" t="n">
        <v>91.574</v>
      </c>
      <c r="E82" s="27" t="n">
        <v>3.133</v>
      </c>
      <c r="F82" s="27" t="n">
        <v>1.566</v>
      </c>
      <c r="G82" s="27" t="n">
        <v>2.157</v>
      </c>
      <c r="H82" s="27" t="n">
        <v>2.823</v>
      </c>
      <c r="I82" s="27" t="n">
        <v>0</v>
      </c>
      <c r="J82" s="27" t="n">
        <v>0.758</v>
      </c>
      <c r="K82" s="27" t="n">
        <v>0.035</v>
      </c>
      <c r="L82" s="28" t="n">
        <f aca="false">SUM(B82:K82)</f>
        <v>216.491</v>
      </c>
    </row>
    <row r="83" customFormat="false" ht="15" hidden="false" customHeight="false" outlineLevel="0" collapsed="false">
      <c r="A83" s="4" t="n">
        <v>2032</v>
      </c>
      <c r="B83" s="27" t="n">
        <v>102.133</v>
      </c>
      <c r="C83" s="27" t="n">
        <v>12.019</v>
      </c>
      <c r="D83" s="27" t="n">
        <v>100.001</v>
      </c>
      <c r="E83" s="27" t="n">
        <v>1.938</v>
      </c>
      <c r="F83" s="27" t="n">
        <v>0.969</v>
      </c>
      <c r="G83" s="27" t="n">
        <v>2.219</v>
      </c>
      <c r="H83" s="27" t="n">
        <v>2.675</v>
      </c>
      <c r="I83" s="27" t="n">
        <v>0</v>
      </c>
      <c r="J83" s="27" t="n">
        <v>0.938</v>
      </c>
      <c r="K83" s="27" t="n">
        <v>0.035</v>
      </c>
      <c r="L83" s="28" t="n">
        <f aca="false">SUM(B83:K83)</f>
        <v>222.927</v>
      </c>
    </row>
    <row r="84" customFormat="false" ht="15" hidden="false" customHeight="false" outlineLevel="0" collapsed="false">
      <c r="A84" s="4" t="n">
        <v>2033</v>
      </c>
      <c r="B84" s="27" t="n">
        <v>111.1</v>
      </c>
      <c r="C84" s="27" t="n">
        <v>7.755</v>
      </c>
      <c r="D84" s="27" t="n">
        <v>109.724</v>
      </c>
      <c r="E84" s="27" t="n">
        <v>1.251</v>
      </c>
      <c r="F84" s="27" t="n">
        <v>0.625</v>
      </c>
      <c r="G84" s="27" t="n">
        <v>2.354</v>
      </c>
      <c r="H84" s="27" t="n">
        <v>2.73</v>
      </c>
      <c r="I84" s="27" t="n">
        <v>0</v>
      </c>
      <c r="J84" s="27" t="n">
        <v>1.137</v>
      </c>
      <c r="K84" s="27" t="n">
        <v>0.036</v>
      </c>
      <c r="L84" s="28" t="n">
        <f aca="false">SUM(B84:K84)</f>
        <v>236.712</v>
      </c>
    </row>
    <row r="85" customFormat="false" ht="15" hidden="false" customHeight="false" outlineLevel="0" collapsed="false">
      <c r="A85" s="4" t="n">
        <v>2034</v>
      </c>
      <c r="B85" s="27" t="n">
        <v>120.54</v>
      </c>
      <c r="C85" s="27" t="n">
        <v>3.984</v>
      </c>
      <c r="D85" s="27" t="n">
        <v>119.833</v>
      </c>
      <c r="E85" s="27" t="n">
        <v>0.643</v>
      </c>
      <c r="F85" s="27" t="n">
        <v>0.321</v>
      </c>
      <c r="G85" s="27" t="n">
        <v>2.76</v>
      </c>
      <c r="H85" s="27" t="n">
        <v>2.582</v>
      </c>
      <c r="I85" s="27" t="n">
        <v>0</v>
      </c>
      <c r="J85" s="27" t="n">
        <v>1.356</v>
      </c>
      <c r="K85" s="27" t="n">
        <v>0.036</v>
      </c>
      <c r="L85" s="28" t="n">
        <f aca="false">SUM(B85:K85)</f>
        <v>252.055</v>
      </c>
    </row>
    <row r="86" customFormat="false" ht="15" hidden="false" customHeight="false" outlineLevel="0" collapsed="false">
      <c r="A86" s="4" t="n">
        <v>2035</v>
      </c>
      <c r="B86" s="27" t="n">
        <v>131.452</v>
      </c>
      <c r="C86" s="27" t="n">
        <v>0</v>
      </c>
      <c r="D86" s="27" t="n">
        <v>131.452</v>
      </c>
      <c r="E86" s="27" t="n">
        <v>0</v>
      </c>
      <c r="F86" s="27" t="n">
        <v>0</v>
      </c>
      <c r="G86" s="27" t="n">
        <v>4.61</v>
      </c>
      <c r="H86" s="27" t="n">
        <v>1.067</v>
      </c>
      <c r="I86" s="27" t="n">
        <v>0</v>
      </c>
      <c r="J86" s="27" t="n">
        <v>1.598</v>
      </c>
      <c r="K86" s="27" t="n">
        <v>0.037</v>
      </c>
      <c r="L86" s="28" t="n">
        <f aca="false">SUM(B86:K86)</f>
        <v>270.216</v>
      </c>
    </row>
    <row r="87" customFormat="false" ht="15" hidden="false" customHeight="false" outlineLevel="0" collapsed="false">
      <c r="A87" s="4" t="n">
        <v>2036</v>
      </c>
      <c r="B87" s="27" t="n">
        <v>137.844</v>
      </c>
      <c r="C87" s="27" t="n">
        <v>0</v>
      </c>
      <c r="D87" s="27" t="n">
        <v>137.844</v>
      </c>
      <c r="E87" s="27" t="n">
        <v>0</v>
      </c>
      <c r="F87" s="27" t="n">
        <v>0</v>
      </c>
      <c r="G87" s="27" t="n">
        <v>4.808</v>
      </c>
      <c r="H87" s="27" t="n">
        <v>1.156</v>
      </c>
      <c r="I87" s="27" t="n">
        <v>0</v>
      </c>
      <c r="J87" s="27" t="n">
        <v>1.639</v>
      </c>
      <c r="K87" s="27" t="n">
        <v>0.038</v>
      </c>
      <c r="L87" s="28" t="n">
        <f aca="false">SUM(B87:K87)</f>
        <v>283.329</v>
      </c>
    </row>
    <row r="88" customFormat="false" ht="15" hidden="false" customHeight="false" outlineLevel="0" collapsed="false">
      <c r="A88" s="4" t="n">
        <v>2037</v>
      </c>
      <c r="B88" s="27" t="n">
        <v>144.783</v>
      </c>
      <c r="C88" s="27" t="n">
        <v>0</v>
      </c>
      <c r="D88" s="27" t="n">
        <v>144.783</v>
      </c>
      <c r="E88" s="27" t="n">
        <v>0</v>
      </c>
      <c r="F88" s="27" t="n">
        <v>0</v>
      </c>
      <c r="G88" s="27" t="n">
        <v>5.015</v>
      </c>
      <c r="H88" s="27" t="n">
        <v>1.179</v>
      </c>
      <c r="I88" s="27" t="n">
        <v>0.077</v>
      </c>
      <c r="J88" s="27" t="n">
        <v>1.681</v>
      </c>
      <c r="K88" s="27" t="n">
        <v>0.038</v>
      </c>
      <c r="L88" s="28" t="n">
        <f aca="false">SUM(B88:K88)</f>
        <v>297.556</v>
      </c>
    </row>
    <row r="89" customFormat="false" ht="15" hidden="false" customHeight="false" outlineLevel="0" collapsed="false">
      <c r="A89" s="4" t="n">
        <v>2038</v>
      </c>
      <c r="B89" s="27" t="n">
        <v>151.45</v>
      </c>
      <c r="C89" s="27" t="n">
        <v>0</v>
      </c>
      <c r="D89" s="27" t="n">
        <v>151.45</v>
      </c>
      <c r="E89" s="27" t="n">
        <v>0</v>
      </c>
      <c r="F89" s="27" t="n">
        <v>0</v>
      </c>
      <c r="G89" s="27" t="n">
        <v>5.217</v>
      </c>
      <c r="H89" s="27" t="n">
        <v>1.216</v>
      </c>
      <c r="I89" s="27" t="n">
        <v>0.134</v>
      </c>
      <c r="J89" s="27" t="n">
        <v>1.724</v>
      </c>
      <c r="K89" s="27" t="n">
        <v>0.039</v>
      </c>
      <c r="L89" s="28" t="n">
        <f aca="false">SUM(B89:K89)</f>
        <v>311.23</v>
      </c>
    </row>
    <row r="90" customFormat="false" ht="15" hidden="false" customHeight="false" outlineLevel="0" collapsed="false">
      <c r="A90" s="4" t="n">
        <v>2039</v>
      </c>
      <c r="B90" s="27" t="n">
        <v>157.503</v>
      </c>
      <c r="C90" s="27" t="n">
        <v>0</v>
      </c>
      <c r="D90" s="27" t="n">
        <v>157.503</v>
      </c>
      <c r="E90" s="27" t="n">
        <v>0</v>
      </c>
      <c r="F90" s="27" t="n">
        <v>0</v>
      </c>
      <c r="G90" s="27" t="n">
        <v>5.409</v>
      </c>
      <c r="H90" s="27" t="n">
        <v>1.173</v>
      </c>
      <c r="I90" s="27" t="n">
        <v>0.257</v>
      </c>
      <c r="J90" s="27" t="n">
        <v>1.767</v>
      </c>
      <c r="K90" s="27" t="n">
        <v>0.04</v>
      </c>
      <c r="L90" s="28" t="n">
        <f aca="false">SUM(B90:K90)</f>
        <v>323.652</v>
      </c>
    </row>
    <row r="91" customFormat="false" ht="15" hidden="false" customHeight="false" outlineLevel="0" collapsed="false">
      <c r="A91" s="4" t="n">
        <v>2040</v>
      </c>
      <c r="B91" s="27" t="n">
        <v>162.415</v>
      </c>
      <c r="C91" s="27" t="n">
        <v>0</v>
      </c>
      <c r="D91" s="27" t="n">
        <v>162.415</v>
      </c>
      <c r="E91" s="27" t="n">
        <v>0</v>
      </c>
      <c r="F91" s="27" t="n">
        <v>0</v>
      </c>
      <c r="G91" s="27" t="n">
        <v>5.572</v>
      </c>
      <c r="H91" s="27" t="n">
        <v>1.204</v>
      </c>
      <c r="I91" s="27" t="n">
        <v>0.283</v>
      </c>
      <c r="J91" s="27" t="n">
        <v>1.81</v>
      </c>
      <c r="K91" s="27" t="n">
        <v>0.041</v>
      </c>
      <c r="L91" s="28" t="n">
        <f aca="false">SUM(B91:K91)</f>
        <v>333.74</v>
      </c>
    </row>
    <row r="92" customFormat="false" ht="15" hidden="false" customHeight="false" outlineLevel="0" collapsed="false">
      <c r="A92" s="4" t="n">
        <v>2041</v>
      </c>
      <c r="B92" s="27" t="n">
        <v>168.638</v>
      </c>
      <c r="C92" s="27" t="n">
        <v>0</v>
      </c>
      <c r="D92" s="27" t="n">
        <v>168.638</v>
      </c>
      <c r="E92" s="27" t="n">
        <v>0</v>
      </c>
      <c r="F92" s="27" t="n">
        <v>0</v>
      </c>
      <c r="G92" s="27" t="n">
        <v>5.787</v>
      </c>
      <c r="H92" s="27" t="n">
        <v>1.287</v>
      </c>
      <c r="I92" s="27" t="n">
        <v>0.283</v>
      </c>
      <c r="J92" s="27" t="n">
        <v>1.855</v>
      </c>
      <c r="K92" s="27" t="n">
        <v>0.041</v>
      </c>
      <c r="L92" s="28" t="n">
        <f aca="false">SUM(B92:K92)</f>
        <v>346.529</v>
      </c>
    </row>
    <row r="93" customFormat="false" ht="15" hidden="false" customHeight="false" outlineLevel="0" collapsed="false">
      <c r="A93" s="4" t="n">
        <v>2042</v>
      </c>
      <c r="B93" s="27" t="n">
        <v>173.245</v>
      </c>
      <c r="C93" s="27" t="n">
        <v>0</v>
      </c>
      <c r="D93" s="27" t="n">
        <v>173.245</v>
      </c>
      <c r="E93" s="27" t="n">
        <v>0</v>
      </c>
      <c r="F93" s="27" t="n">
        <v>0</v>
      </c>
      <c r="G93" s="27" t="n">
        <v>5.95</v>
      </c>
      <c r="H93" s="27" t="n">
        <v>1.335</v>
      </c>
      <c r="I93" s="27" t="n">
        <v>0.283</v>
      </c>
      <c r="J93" s="27" t="n">
        <v>1.9</v>
      </c>
      <c r="K93" s="27" t="n">
        <v>0.042</v>
      </c>
      <c r="L93" s="28" t="n">
        <f aca="false">SUM(B93:K93)</f>
        <v>356</v>
      </c>
    </row>
    <row r="94" customFormat="false" ht="15" hidden="false" customHeight="false" outlineLevel="0" collapsed="false">
      <c r="A94" s="4" t="n">
        <v>2043</v>
      </c>
      <c r="B94" s="27" t="n">
        <v>175.977</v>
      </c>
      <c r="C94" s="27" t="n">
        <v>0</v>
      </c>
      <c r="D94" s="27" t="n">
        <v>175.977</v>
      </c>
      <c r="E94" s="27" t="n">
        <v>0</v>
      </c>
      <c r="F94" s="27" t="n">
        <v>0</v>
      </c>
      <c r="G94" s="27" t="n">
        <v>6.049</v>
      </c>
      <c r="H94" s="27" t="n">
        <v>1.344</v>
      </c>
      <c r="I94" s="27" t="n">
        <v>0.283</v>
      </c>
      <c r="J94" s="27" t="n">
        <v>1.946</v>
      </c>
      <c r="K94" s="27" t="n">
        <v>0.043</v>
      </c>
      <c r="L94" s="28" t="n">
        <f aca="false">SUM(B94:K94)</f>
        <v>361.619</v>
      </c>
    </row>
    <row r="95" customFormat="false" ht="15" hidden="false" customHeight="false" outlineLevel="0" collapsed="false">
      <c r="A95" s="4" t="n">
        <v>2044</v>
      </c>
      <c r="B95" s="27" t="n">
        <v>180.521</v>
      </c>
      <c r="C95" s="27" t="n">
        <v>0</v>
      </c>
      <c r="D95" s="27" t="n">
        <v>180.521</v>
      </c>
      <c r="E95" s="27" t="n">
        <v>0</v>
      </c>
      <c r="F95" s="27" t="n">
        <v>0</v>
      </c>
      <c r="G95" s="27" t="n">
        <v>6.211</v>
      </c>
      <c r="H95" s="27" t="n">
        <v>1.449</v>
      </c>
      <c r="I95" s="27" t="n">
        <v>0.223</v>
      </c>
      <c r="J95" s="27" t="n">
        <v>1.993</v>
      </c>
      <c r="K95" s="27" t="n">
        <v>0.044</v>
      </c>
      <c r="L95" s="28" t="n">
        <f aca="false">SUM(B95:K95)</f>
        <v>370.962</v>
      </c>
    </row>
    <row r="96" customFormat="false" ht="15" hidden="false" customHeight="false" outlineLevel="0" collapsed="false">
      <c r="A96" s="4" t="n">
        <v>2045</v>
      </c>
      <c r="B96" s="27" t="n">
        <v>184.939</v>
      </c>
      <c r="C96" s="27" t="n">
        <v>0</v>
      </c>
      <c r="D96" s="27" t="n">
        <v>184.939</v>
      </c>
      <c r="E96" s="27" t="n">
        <v>0</v>
      </c>
      <c r="F96" s="27" t="n">
        <v>0</v>
      </c>
      <c r="G96" s="27" t="n">
        <v>6.372</v>
      </c>
      <c r="H96" s="27" t="n">
        <v>1.665</v>
      </c>
      <c r="I96" s="27" t="n">
        <v>0.049</v>
      </c>
      <c r="J96" s="27" t="n">
        <v>2.041</v>
      </c>
      <c r="K96" s="27" t="n">
        <v>0.045</v>
      </c>
      <c r="L96" s="28" t="n">
        <f aca="false">SUM(B96:K96)</f>
        <v>380.05</v>
      </c>
    </row>
    <row r="97" customFormat="false" ht="15" hidden="false" customHeight="false" outlineLevel="0" collapsed="false">
      <c r="A97" s="4" t="n">
        <v>2046</v>
      </c>
      <c r="B97" s="27" t="n">
        <v>189.54</v>
      </c>
      <c r="C97" s="27" t="n">
        <v>0</v>
      </c>
      <c r="D97" s="27" t="n">
        <v>189.54</v>
      </c>
      <c r="E97" s="27" t="n">
        <v>0</v>
      </c>
      <c r="F97" s="27" t="n">
        <v>0</v>
      </c>
      <c r="G97" s="27" t="n">
        <v>6.536</v>
      </c>
      <c r="H97" s="27" t="n">
        <v>1.709</v>
      </c>
      <c r="I97" s="27" t="n">
        <v>0.049</v>
      </c>
      <c r="J97" s="27" t="n">
        <v>2.091</v>
      </c>
      <c r="K97" s="27" t="n">
        <v>0.046</v>
      </c>
      <c r="L97" s="28" t="n">
        <f aca="false">SUM(B97:K97)</f>
        <v>389.511</v>
      </c>
    </row>
    <row r="98" customFormat="false" ht="15" hidden="false" customHeight="false" outlineLevel="0" collapsed="false">
      <c r="A98" s="4" t="n">
        <v>2047</v>
      </c>
      <c r="B98" s="27" t="n">
        <v>194.035</v>
      </c>
      <c r="C98" s="27" t="n">
        <v>0</v>
      </c>
      <c r="D98" s="27" t="n">
        <v>194.035</v>
      </c>
      <c r="E98" s="27" t="n">
        <v>0</v>
      </c>
      <c r="F98" s="27" t="n">
        <v>0</v>
      </c>
      <c r="G98" s="27" t="n">
        <v>6.698</v>
      </c>
      <c r="H98" s="27" t="n">
        <v>1.75</v>
      </c>
      <c r="I98" s="27" t="n">
        <v>0.049</v>
      </c>
      <c r="J98" s="27" t="n">
        <v>2.141</v>
      </c>
      <c r="K98" s="27" t="n">
        <v>0.047</v>
      </c>
      <c r="L98" s="28" t="n">
        <f aca="false">SUM(B98:K98)</f>
        <v>398.755</v>
      </c>
    </row>
    <row r="99" customFormat="false" ht="15" hidden="false" customHeight="false" outlineLevel="0" collapsed="false">
      <c r="A99" s="4" t="n">
        <v>2048</v>
      </c>
      <c r="B99" s="27" t="n">
        <v>198.457</v>
      </c>
      <c r="C99" s="27" t="n">
        <v>0</v>
      </c>
      <c r="D99" s="27" t="n">
        <v>198.457</v>
      </c>
      <c r="E99" s="27" t="n">
        <v>0</v>
      </c>
      <c r="F99" s="27" t="n">
        <v>0</v>
      </c>
      <c r="G99" s="27" t="n">
        <v>6.858</v>
      </c>
      <c r="H99" s="27" t="n">
        <v>1.788</v>
      </c>
      <c r="I99" s="27" t="n">
        <v>0.049</v>
      </c>
      <c r="J99" s="27" t="n">
        <v>2.193</v>
      </c>
      <c r="K99" s="27" t="n">
        <v>0.048</v>
      </c>
      <c r="L99" s="28" t="n">
        <f aca="false">SUM(B99:K99)</f>
        <v>407.85</v>
      </c>
    </row>
    <row r="100" customFormat="false" ht="15" hidden="false" customHeight="false" outlineLevel="0" collapsed="false">
      <c r="A100" s="4" t="n">
        <v>2049</v>
      </c>
      <c r="B100" s="27" t="n">
        <v>202.761</v>
      </c>
      <c r="C100" s="27" t="n">
        <v>0</v>
      </c>
      <c r="D100" s="27" t="n">
        <v>202.761</v>
      </c>
      <c r="E100" s="27" t="n">
        <v>0</v>
      </c>
      <c r="F100" s="27" t="n">
        <v>0</v>
      </c>
      <c r="G100" s="27" t="n">
        <v>7.015</v>
      </c>
      <c r="H100" s="27" t="n">
        <v>1.822</v>
      </c>
      <c r="I100" s="27" t="n">
        <v>0.049</v>
      </c>
      <c r="J100" s="27" t="n">
        <v>2.246</v>
      </c>
      <c r="K100" s="27" t="n">
        <v>0.05</v>
      </c>
      <c r="L100" s="28" t="n">
        <f aca="false">SUM(B100:K100)</f>
        <v>416.704</v>
      </c>
    </row>
    <row r="101" customFormat="false" ht="15" hidden="false" customHeight="false" outlineLevel="0" collapsed="false">
      <c r="A101" s="4" t="n">
        <v>2050</v>
      </c>
      <c r="B101" s="27" t="n">
        <v>207.032</v>
      </c>
      <c r="C101" s="27" t="n">
        <v>0</v>
      </c>
      <c r="D101" s="27" t="n">
        <v>207.032</v>
      </c>
      <c r="E101" s="27" t="n">
        <v>0</v>
      </c>
      <c r="F101" s="27" t="n">
        <v>0</v>
      </c>
      <c r="G101" s="27" t="n">
        <v>7.172</v>
      </c>
      <c r="H101" s="27" t="n">
        <v>1.855</v>
      </c>
      <c r="I101" s="27" t="n">
        <v>0.049</v>
      </c>
      <c r="J101" s="27" t="n">
        <v>2.3</v>
      </c>
      <c r="K101" s="27" t="n">
        <v>0.051</v>
      </c>
      <c r="L101" s="28" t="n">
        <f aca="false">SUM(B101:K101)</f>
        <v>425.491</v>
      </c>
    </row>
    <row r="104" customFormat="false" ht="15" hidden="false" customHeight="false" outlineLevel="0" collapsed="false">
      <c r="A104" s="13" t="s">
        <v>272</v>
      </c>
    </row>
    <row r="105" customFormat="false" ht="15" hidden="false" customHeight="false" outlineLevel="0" collapsed="false">
      <c r="A105" s="10" t="s">
        <v>273</v>
      </c>
      <c r="B105" s="12"/>
      <c r="C105" s="12"/>
      <c r="D105" s="12"/>
      <c r="E105" s="12"/>
      <c r="F105" s="12"/>
      <c r="G105" s="12"/>
      <c r="H105" s="12"/>
      <c r="I105" s="12"/>
      <c r="J105" s="12"/>
      <c r="K105" s="12"/>
    </row>
    <row r="106" customFormat="false" ht="26.85" hidden="false" customHeight="false" outlineLevel="0" collapsed="false">
      <c r="A106" s="3" t="s">
        <v>113</v>
      </c>
      <c r="B106" s="3" t="s">
        <v>260</v>
      </c>
      <c r="C106" s="3" t="s">
        <v>261</v>
      </c>
      <c r="D106" s="3" t="s">
        <v>262</v>
      </c>
      <c r="E106" s="3" t="s">
        <v>263</v>
      </c>
      <c r="F106" s="3" t="s">
        <v>264</v>
      </c>
      <c r="G106" s="3" t="s">
        <v>265</v>
      </c>
      <c r="H106" s="3" t="s">
        <v>266</v>
      </c>
      <c r="I106" s="3" t="s">
        <v>267</v>
      </c>
      <c r="J106" s="3" t="s">
        <v>268</v>
      </c>
      <c r="K106" s="3" t="s">
        <v>269</v>
      </c>
    </row>
    <row r="107" customFormat="false" ht="15" hidden="false" customHeight="false" outlineLevel="0" collapsed="false">
      <c r="A107" s="4" t="n">
        <v>2023</v>
      </c>
      <c r="B107" s="8" t="n">
        <f aca="false">B12/L12</f>
        <v>0.14996541715191</v>
      </c>
      <c r="C107" s="8" t="n">
        <f aca="false">C12/L12</f>
        <v>0.61984878132408</v>
      </c>
      <c r="D107" s="8" t="n">
        <f aca="false">D12/L12</f>
        <v>0.0432256043131019</v>
      </c>
      <c r="E107" s="8" t="n">
        <f aca="false">E12/L12</f>
        <v>0.0999769447679402</v>
      </c>
      <c r="F107" s="8" t="n">
        <f aca="false">F12/L12</f>
        <v>0.0499884723839701</v>
      </c>
      <c r="G107" s="8" t="n">
        <f aca="false">G12/L12</f>
        <v>0.00999651215720122</v>
      </c>
      <c r="H107" s="8" t="n">
        <f aca="false">H12/L12</f>
        <v>0.0199930243144024</v>
      </c>
      <c r="I107" s="8" t="n">
        <f aca="false">I12/L12</f>
        <v>0.00676286807086824</v>
      </c>
      <c r="J107" s="8" t="n">
        <f aca="false">J12/L12</f>
        <v>3.5469587784274E-005</v>
      </c>
      <c r="K107" s="8" t="n">
        <f aca="false">K12/L12</f>
        <v>0.000206905928741598</v>
      </c>
    </row>
    <row r="108" customFormat="false" ht="15" hidden="false" customHeight="false" outlineLevel="0" collapsed="false">
      <c r="A108" s="4" t="n">
        <v>2024</v>
      </c>
      <c r="B108" s="8" t="n">
        <f aca="false">B13/L13</f>
        <v>0.150911894630662</v>
      </c>
      <c r="C108" s="8" t="n">
        <f aca="false">C13/L13</f>
        <v>0.619850664935246</v>
      </c>
      <c r="D108" s="8" t="n">
        <f aca="false">D13/L13</f>
        <v>0.0412758408793145</v>
      </c>
      <c r="E108" s="8" t="n">
        <f aca="false">E13/L13</f>
        <v>0.0999779707590813</v>
      </c>
      <c r="F108" s="8" t="n">
        <f aca="false">F13/L13</f>
        <v>0.0499889853795406</v>
      </c>
      <c r="G108" s="8" t="n">
        <f aca="false">G13/L13</f>
        <v>0.0100001159433733</v>
      </c>
      <c r="H108" s="8" t="n">
        <f aca="false">H13/L13</f>
        <v>0.0199944347180837</v>
      </c>
      <c r="I108" s="8" t="n">
        <f aca="false">I13/L13</f>
        <v>0.00776240883952278</v>
      </c>
      <c r="J108" s="8" t="n">
        <f aca="false">J13/L13</f>
        <v>3.47830119769505E-005</v>
      </c>
      <c r="K108" s="8" t="n">
        <f aca="false">K13/L13</f>
        <v>0.000202900903198878</v>
      </c>
    </row>
    <row r="109" customFormat="false" ht="15" hidden="false" customHeight="false" outlineLevel="0" collapsed="false">
      <c r="A109" s="4" t="n">
        <v>2025</v>
      </c>
      <c r="B109" s="8" t="n">
        <f aca="false">B14/L14</f>
        <v>0.149965602915508</v>
      </c>
      <c r="C109" s="8" t="n">
        <f aca="false">C14/L14</f>
        <v>0.619852518946824</v>
      </c>
      <c r="D109" s="8" t="n">
        <f aca="false">D14/L14</f>
        <v>0.0409467442164572</v>
      </c>
      <c r="E109" s="8" t="n">
        <f aca="false">E14/L14</f>
        <v>0.0999732782979981</v>
      </c>
      <c r="F109" s="8" t="n">
        <f aca="false">F14/L14</f>
        <v>0.0499866391489991</v>
      </c>
      <c r="G109" s="8" t="n">
        <f aca="false">G14/L14</f>
        <v>0.0099950536423954</v>
      </c>
      <c r="H109" s="8" t="n">
        <f aca="false">H14/L14</f>
        <v>0.0199957927533018</v>
      </c>
      <c r="I109" s="8" t="n">
        <f aca="false">I14/L14</f>
        <v>0.00903989493254192</v>
      </c>
      <c r="J109" s="8" t="n">
        <f aca="false">J14/L14</f>
        <v>3.97982795772286E-005</v>
      </c>
      <c r="K109" s="8" t="n">
        <f aca="false">K14/L14</f>
        <v>0.000204676866397175</v>
      </c>
    </row>
    <row r="110" customFormat="false" ht="15" hidden="false" customHeight="false" outlineLevel="0" collapsed="false">
      <c r="A110" s="4" t="n">
        <v>2026</v>
      </c>
      <c r="B110" s="8" t="n">
        <f aca="false">B15/L15</f>
        <v>0.149964055438217</v>
      </c>
      <c r="C110" s="8" t="n">
        <f aca="false">C15/L15</f>
        <v>0.619845856344354</v>
      </c>
      <c r="D110" s="8" t="n">
        <f aca="false">D15/L15</f>
        <v>0.0399904147835246</v>
      </c>
      <c r="E110" s="8" t="n">
        <f aca="false">E15/L15</f>
        <v>0.0999760369588114</v>
      </c>
      <c r="F110" s="8" t="n">
        <f aca="false">F15/L15</f>
        <v>0.0499880184794057</v>
      </c>
      <c r="G110" s="8" t="n">
        <f aca="false">G15/L15</f>
        <v>0.00999760369588114</v>
      </c>
      <c r="H110" s="8" t="n">
        <f aca="false">H15/L15</f>
        <v>0.0199952073917623</v>
      </c>
      <c r="I110" s="8" t="n">
        <f aca="false">I15/L15</f>
        <v>0.00999760369588114</v>
      </c>
      <c r="J110" s="8" t="n">
        <f aca="false">J15/L15</f>
        <v>3.90096019348763E-005</v>
      </c>
      <c r="K110" s="8" t="n">
        <f aca="false">K15/L15</f>
        <v>0.000206193610227203</v>
      </c>
    </row>
    <row r="111" customFormat="false" ht="15" hidden="false" customHeight="false" outlineLevel="0" collapsed="false">
      <c r="A111" s="4" t="n">
        <v>2027</v>
      </c>
      <c r="B111" s="8" t="n">
        <f aca="false">B16/L16</f>
        <v>0.14996395491087</v>
      </c>
      <c r="C111" s="8" t="n">
        <f aca="false">C16/L16</f>
        <v>0.619844459979028</v>
      </c>
      <c r="D111" s="8" t="n">
        <f aca="false">D16/L16</f>
        <v>0.0401848130024467</v>
      </c>
      <c r="E111" s="8" t="n">
        <f aca="false">E16/L16</f>
        <v>0.0999759699405802</v>
      </c>
      <c r="F111" s="8" t="n">
        <f aca="false">F16/L16</f>
        <v>0.0499879849702901</v>
      </c>
      <c r="G111" s="8" t="n">
        <f aca="false">G16/L16</f>
        <v>0.00999978154491437</v>
      </c>
      <c r="H111" s="8" t="n">
        <f aca="false">H16/L16</f>
        <v>0.0199941017126879</v>
      </c>
      <c r="I111" s="8" t="n">
        <f aca="false">I16/L16</f>
        <v>0.00980317196784341</v>
      </c>
      <c r="J111" s="8" t="n">
        <f aca="false">J16/L16</f>
        <v>3.82296399860189E-005</v>
      </c>
      <c r="K111" s="8" t="n">
        <f aca="false">K16/L16</f>
        <v>0.000207532331352674</v>
      </c>
    </row>
    <row r="112" customFormat="false" ht="15" hidden="false" customHeight="false" outlineLevel="0" collapsed="false">
      <c r="A112" s="4" t="n">
        <v>2028</v>
      </c>
      <c r="B112" s="8" t="n">
        <f aca="false">B17/L17</f>
        <v>0.149964140057162</v>
      </c>
      <c r="C112" s="8" t="n">
        <f aca="false">C17/L17</f>
        <v>0.619847140303365</v>
      </c>
      <c r="D112" s="8" t="n">
        <f aca="false">D17/L17</f>
        <v>0.0403718729594622</v>
      </c>
      <c r="E112" s="8" t="n">
        <f aca="false">E17/L17</f>
        <v>0.0999743092946831</v>
      </c>
      <c r="F112" s="8" t="n">
        <f aca="false">F17/L17</f>
        <v>0.0499898307624787</v>
      </c>
      <c r="G112" s="8" t="n">
        <f aca="false">G17/L17</f>
        <v>0.00999796615249575</v>
      </c>
      <c r="H112" s="8" t="n">
        <f aca="false">H17/L17</f>
        <v>0.0199959323049915</v>
      </c>
      <c r="I112" s="8" t="n">
        <f aca="false">I17/L17</f>
        <v>0.00961795780301652</v>
      </c>
      <c r="J112" s="8" t="n">
        <f aca="false">J17/L17</f>
        <v>3.74656119204873E-005</v>
      </c>
      <c r="K112" s="8" t="n">
        <f aca="false">K17/L17</f>
        <v>0.000203384750425502</v>
      </c>
    </row>
    <row r="113" customFormat="false" ht="15" hidden="false" customHeight="false" outlineLevel="0" collapsed="false">
      <c r="A113" s="4" t="n">
        <v>2029</v>
      </c>
      <c r="B113" s="8" t="n">
        <f aca="false">B18/L18</f>
        <v>0.149963814857934</v>
      </c>
      <c r="C113" s="8" t="n">
        <f aca="false">C18/L18</f>
        <v>0.619851483590825</v>
      </c>
      <c r="D113" s="8" t="n">
        <f aca="false">D18/L18</f>
        <v>0.0405378475609117</v>
      </c>
      <c r="E113" s="8" t="n">
        <f aca="false">E18/L18</f>
        <v>0.099975876571956</v>
      </c>
      <c r="F113" s="8" t="n">
        <f aca="false">F18/L18</f>
        <v>0.049987938285978</v>
      </c>
      <c r="G113" s="8" t="n">
        <f aca="false">G18/L18</f>
        <v>0.0100164668617518</v>
      </c>
      <c r="H113" s="8" t="n">
        <f aca="false">H18/L18</f>
        <v>0.0199962241590888</v>
      </c>
      <c r="I113" s="8" t="n">
        <f aca="false">I18/L18</f>
        <v>0.00942911383111503</v>
      </c>
      <c r="J113" s="8" t="n">
        <f aca="false">J18/L18</f>
        <v>3.67095644147971E-005</v>
      </c>
      <c r="K113" s="8" t="n">
        <f aca="false">K18/L18</f>
        <v>0.000204524716025298</v>
      </c>
    </row>
    <row r="114" customFormat="false" ht="15" hidden="false" customHeight="false" outlineLevel="0" collapsed="false">
      <c r="A114" s="4" t="n">
        <v>2030</v>
      </c>
      <c r="B114" s="8" t="n">
        <f aca="false">B19/L19</f>
        <v>0.149960942317971</v>
      </c>
      <c r="C114" s="8" t="n">
        <f aca="false">C19/L19</f>
        <v>0.619845413805863</v>
      </c>
      <c r="D114" s="8" t="n">
        <f aca="false">D19/L19</f>
        <v>0.0400187065740246</v>
      </c>
      <c r="E114" s="8" t="n">
        <f aca="false">E19/L19</f>
        <v>0.0999773876577725</v>
      </c>
      <c r="F114" s="8" t="n">
        <f aca="false">F19/L19</f>
        <v>0.0499886938288862</v>
      </c>
      <c r="G114" s="8" t="n">
        <f aca="false">G19/L19</f>
        <v>0.0107203058833203</v>
      </c>
      <c r="H114" s="8" t="n">
        <f aca="false">H19/L19</f>
        <v>0.0199965053652921</v>
      </c>
      <c r="I114" s="8" t="n">
        <f aca="false">I19/L19</f>
        <v>0.00925050363853143</v>
      </c>
      <c r="J114" s="8" t="n">
        <f aca="false">J19/L19</f>
        <v>3.59741808165111E-005</v>
      </c>
      <c r="K114" s="8" t="n">
        <f aca="false">K19/L19</f>
        <v>0.000205566747522921</v>
      </c>
    </row>
    <row r="115" customFormat="false" ht="15" hidden="false" customHeight="false" outlineLevel="0" collapsed="false">
      <c r="A115" s="4" t="n">
        <v>2031</v>
      </c>
      <c r="B115" s="8" t="n">
        <f aca="false">B20/L20</f>
        <v>0.149963983659159</v>
      </c>
      <c r="C115" s="8" t="n">
        <f aca="false">C20/L20</f>
        <v>0.619853818991442</v>
      </c>
      <c r="D115" s="8" t="n">
        <f aca="false">D20/L20</f>
        <v>0.0399907314591403</v>
      </c>
      <c r="E115" s="8" t="n">
        <f aca="false">E20/L20</f>
        <v>0.0999743100226173</v>
      </c>
      <c r="F115" s="8" t="n">
        <f aca="false">F20/L20</f>
        <v>0.0499896736365422</v>
      </c>
      <c r="G115" s="8" t="n">
        <f aca="false">G20/L20</f>
        <v>0.0112280312913999</v>
      </c>
      <c r="H115" s="8" t="n">
        <f aca="false">H20/L20</f>
        <v>0.0199928471043366</v>
      </c>
      <c r="I115" s="8" t="n">
        <f aca="false">I20/L20</f>
        <v>0.00876481581293667</v>
      </c>
      <c r="J115" s="8" t="n">
        <f aca="false">J20/L20</f>
        <v>3.52607532704349E-005</v>
      </c>
      <c r="K115" s="8" t="n">
        <f aca="false">K20/L20</f>
        <v>0.000206527269155404</v>
      </c>
    </row>
    <row r="116" customFormat="false" ht="15" hidden="false" customHeight="false" outlineLevel="0" collapsed="false">
      <c r="A116" s="4" t="n">
        <v>2032</v>
      </c>
      <c r="B116" s="8" t="n">
        <f aca="false">B21/L21</f>
        <v>0.149961729340016</v>
      </c>
      <c r="C116" s="8" t="n">
        <f aca="false">C21/L21</f>
        <v>0.619851361694773</v>
      </c>
      <c r="D116" s="8" t="n">
        <f aca="false">D21/L21</f>
        <v>0.0399891360707143</v>
      </c>
      <c r="E116" s="8" t="n">
        <f aca="false">E21/L21</f>
        <v>0.0999777783264611</v>
      </c>
      <c r="F116" s="8" t="n">
        <f aca="false">F21/L21</f>
        <v>0.0499888891632305</v>
      </c>
      <c r="G116" s="8" t="n">
        <f aca="false">G21/L21</f>
        <v>0.011757734376929</v>
      </c>
      <c r="H116" s="8" t="n">
        <f aca="false">H21/L21</f>
        <v>0.0199945680353572</v>
      </c>
      <c r="I116" s="8" t="n">
        <f aca="false">I21/L21</f>
        <v>0.00823683365842819</v>
      </c>
      <c r="J116" s="8" t="n">
        <f aca="false">J21/L21</f>
        <v>3.45670477272166E-005</v>
      </c>
      <c r="K116" s="8" t="n">
        <f aca="false">K21/L21</f>
        <v>0.0002074022863633</v>
      </c>
    </row>
    <row r="117" customFormat="false" ht="15" hidden="false" customHeight="false" outlineLevel="0" collapsed="false">
      <c r="A117" s="4" t="n">
        <v>2033</v>
      </c>
      <c r="B117" s="8" t="n">
        <f aca="false">B22/L22</f>
        <v>0.149962959555708</v>
      </c>
      <c r="C117" s="8" t="n">
        <f aca="false">C22/L22</f>
        <v>0.619848836252185</v>
      </c>
      <c r="D117" s="8" t="n">
        <f aca="false">D22/L22</f>
        <v>0.0399891541705604</v>
      </c>
      <c r="E117" s="8" t="n">
        <f aca="false">E22/L22</f>
        <v>0.0999753063704722</v>
      </c>
      <c r="F117" s="8" t="n">
        <f aca="false">F22/L22</f>
        <v>0.0499876531852361</v>
      </c>
      <c r="G117" s="8" t="n">
        <f aca="false">G22/L22</f>
        <v>0.0122160837840324</v>
      </c>
      <c r="H117" s="8" t="n">
        <f aca="false">H22/L22</f>
        <v>0.0199969980293515</v>
      </c>
      <c r="I117" s="8" t="n">
        <f aca="false">I22/L22</f>
        <v>0.0077809142453191</v>
      </c>
      <c r="J117" s="8" t="n">
        <f aca="false">J22/L22</f>
        <v>3.38932169989009E-005</v>
      </c>
      <c r="K117" s="8" t="n">
        <f aca="false">K22/L22</f>
        <v>0.000208201190136105</v>
      </c>
    </row>
    <row r="118" customFormat="false" ht="15" hidden="false" customHeight="false" outlineLevel="0" collapsed="false">
      <c r="A118" s="4" t="n">
        <v>2034</v>
      </c>
      <c r="B118" s="8" t="n">
        <f aca="false">B23/L23</f>
        <v>0.149964149536793</v>
      </c>
      <c r="C118" s="8" t="n">
        <f aca="false">C23/L23</f>
        <v>0.61984738624007</v>
      </c>
      <c r="D118" s="8" t="n">
        <f aca="false">D23/L23</f>
        <v>0.0399910729972412</v>
      </c>
      <c r="E118" s="8" t="n">
        <f aca="false">E23/L23</f>
        <v>0.0999776824931029</v>
      </c>
      <c r="F118" s="8" t="n">
        <f aca="false">F23/L23</f>
        <v>0.0499864670436901</v>
      </c>
      <c r="G118" s="8" t="n">
        <f aca="false">G23/L23</f>
        <v>0.0126592496569277</v>
      </c>
      <c r="H118" s="8" t="n">
        <f aca="false">H23/L23</f>
        <v>0.0199955364986206</v>
      </c>
      <c r="I118" s="8" t="n">
        <f aca="false">I23/L23</f>
        <v>0.0073362868416929</v>
      </c>
      <c r="J118" s="8" t="n">
        <f aca="false">J23/L23</f>
        <v>3.323884005945E-005</v>
      </c>
      <c r="K118" s="8" t="n">
        <f aca="false">K23/L23</f>
        <v>0.000208929851802257</v>
      </c>
    </row>
    <row r="119" customFormat="false" ht="15" hidden="false" customHeight="false" outlineLevel="0" collapsed="false">
      <c r="A119" s="4" t="n">
        <v>2035</v>
      </c>
      <c r="B119" s="8" t="n">
        <f aca="false">B24/L24</f>
        <v>0.149961341766728</v>
      </c>
      <c r="C119" s="8" t="n">
        <f aca="false">C24/L24</f>
        <v>0.619849838380639</v>
      </c>
      <c r="D119" s="8" t="n">
        <f aca="false">D24/L24</f>
        <v>0.0399903121535896</v>
      </c>
      <c r="E119" s="8" t="n">
        <f aca="false">E24/L24</f>
        <v>0.0999757803839741</v>
      </c>
      <c r="F119" s="8" t="n">
        <f aca="false">F24/L24</f>
        <v>0.0499855613827538</v>
      </c>
      <c r="G119" s="8" t="n">
        <f aca="false">G24/L24</f>
        <v>0.0130925655094037</v>
      </c>
      <c r="H119" s="8" t="n">
        <f aca="false">H24/L24</f>
        <v>0.0199951560767948</v>
      </c>
      <c r="I119" s="8" t="n">
        <f aca="false">I24/L24</f>
        <v>0.00690259056739108</v>
      </c>
      <c r="J119" s="8" t="n">
        <f aca="false">J24/L24</f>
        <v>3.72609477322056E-005</v>
      </c>
      <c r="K119" s="8" t="n">
        <f aca="false">K24/L24</f>
        <v>0.000209592830993656</v>
      </c>
    </row>
    <row r="120" customFormat="false" ht="15" hidden="false" customHeight="false" outlineLevel="0" collapsed="false">
      <c r="A120" s="4" t="n">
        <v>2036</v>
      </c>
      <c r="B120" s="8" t="n">
        <f aca="false">B25/L25</f>
        <v>0.149963901556346</v>
      </c>
      <c r="C120" s="8" t="n">
        <f aca="false">C25/L25</f>
        <v>0.619846832932747</v>
      </c>
      <c r="D120" s="8" t="n">
        <f aca="false">D25/L25</f>
        <v>0.0399915922612248</v>
      </c>
      <c r="E120" s="8" t="n">
        <f aca="false">E25/L25</f>
        <v>0.0999744112298146</v>
      </c>
      <c r="F120" s="8" t="n">
        <f aca="false">F25/L25</f>
        <v>0.049989490326531</v>
      </c>
      <c r="G120" s="8" t="n">
        <f aca="false">G25/L25</f>
        <v>0.0135026456960602</v>
      </c>
      <c r="H120" s="8" t="n">
        <f aca="false">H25/L25</f>
        <v>0.0199957961306124</v>
      </c>
      <c r="I120" s="8" t="n">
        <f aca="false">I25/L25</f>
        <v>0.00649315043455215</v>
      </c>
      <c r="J120" s="8" t="n">
        <f aca="false">J25/L25</f>
        <v>3.65553859791817E-005</v>
      </c>
      <c r="K120" s="8" t="n">
        <f aca="false">K25/L25</f>
        <v>0.000205624046132897</v>
      </c>
    </row>
    <row r="121" customFormat="false" ht="15" hidden="false" customHeight="false" outlineLevel="0" collapsed="false">
      <c r="A121" s="4" t="n">
        <v>2037</v>
      </c>
      <c r="B121" s="8" t="n">
        <f aca="false">B26/L26</f>
        <v>0.149964578120937</v>
      </c>
      <c r="C121" s="8" t="n">
        <f aca="false">C26/L26</f>
        <v>0.619851497134863</v>
      </c>
      <c r="D121" s="8" t="n">
        <f aca="false">D26/L26</f>
        <v>0.0399908530843938</v>
      </c>
      <c r="E121" s="8" t="n">
        <f aca="false">E26/L26</f>
        <v>0.0999748908199044</v>
      </c>
      <c r="F121" s="8" t="n">
        <f aca="false">F26/L26</f>
        <v>0.0499896873010322</v>
      </c>
      <c r="G121" s="8" t="n">
        <f aca="false">G26/L26</f>
        <v>0.0135724085981007</v>
      </c>
      <c r="H121" s="8" t="n">
        <f aca="false">H26/L26</f>
        <v>0.0199931846511169</v>
      </c>
      <c r="I121" s="8" t="n">
        <f aca="false">I26/L26</f>
        <v>0.00642077605301624</v>
      </c>
      <c r="J121" s="8" t="n">
        <f aca="false">J26/L26</f>
        <v>3.58702572794203E-005</v>
      </c>
      <c r="K121" s="8" t="n">
        <f aca="false">K26/L26</f>
        <v>0.000206253979356667</v>
      </c>
    </row>
    <row r="122" customFormat="false" ht="15" hidden="false" customHeight="false" outlineLevel="0" collapsed="false">
      <c r="A122" s="4" t="n">
        <v>2038</v>
      </c>
      <c r="B122" s="8" t="n">
        <f aca="false">B27/L27</f>
        <v>0.149961495302427</v>
      </c>
      <c r="C122" s="8" t="n">
        <f aca="false">C27/L27</f>
        <v>0.61985082180026</v>
      </c>
      <c r="D122" s="8" t="n">
        <f aca="false">D27/L27</f>
        <v>0.0399920790336421</v>
      </c>
      <c r="E122" s="8" t="n">
        <f aca="false">E27/L27</f>
        <v>0.0999757970472398</v>
      </c>
      <c r="F122" s="8" t="n">
        <f aca="false">F27/L27</f>
        <v>0.0499856982551871</v>
      </c>
      <c r="G122" s="8" t="n">
        <f aca="false">G27/L27</f>
        <v>0.0136416642830425</v>
      </c>
      <c r="H122" s="8" t="n">
        <f aca="false">H27/L27</f>
        <v>0.0199960395168211</v>
      </c>
      <c r="I122" s="8" t="n">
        <f aca="false">I27/L27</f>
        <v>0.00635437523377852</v>
      </c>
      <c r="J122" s="8" t="n">
        <f aca="false">J27/L27</f>
        <v>3.52042949239807E-005</v>
      </c>
      <c r="K122" s="8" t="n">
        <f aca="false">K27/L27</f>
        <v>0.000206825232678387</v>
      </c>
    </row>
    <row r="123" customFormat="false" ht="15" hidden="false" customHeight="false" outlineLevel="0" collapsed="false">
      <c r="A123" s="4" t="n">
        <v>2039</v>
      </c>
      <c r="B123" s="8" t="n">
        <f aca="false">B28/L28</f>
        <v>0.149962418681803</v>
      </c>
      <c r="C123" s="8" t="n">
        <f aca="false">C28/L28</f>
        <v>0.619849847514881</v>
      </c>
      <c r="D123" s="8" t="n">
        <f aca="false">D28/L28</f>
        <v>0.0399917061918461</v>
      </c>
      <c r="E123" s="8" t="n">
        <f aca="false">E28/L28</f>
        <v>0.0999749457878686</v>
      </c>
      <c r="F123" s="8" t="n">
        <f aca="false">F28/L28</f>
        <v>0.0499874728939343</v>
      </c>
      <c r="G123" s="8" t="n">
        <f aca="false">G28/L28</f>
        <v>0.0137107016043335</v>
      </c>
      <c r="H123" s="8" t="n">
        <f aca="false">H28/L28</f>
        <v>0.0199958530959231</v>
      </c>
      <c r="I123" s="8" t="n">
        <f aca="false">I28/L28</f>
        <v>0.00628515149158956</v>
      </c>
      <c r="J123" s="8" t="n">
        <f aca="false">J28/L28</f>
        <v>3.45575339743756E-005</v>
      </c>
      <c r="K123" s="8" t="n">
        <f aca="false">K28/L28</f>
        <v>0.000207345203846254</v>
      </c>
    </row>
    <row r="124" customFormat="false" ht="15" hidden="false" customHeight="false" outlineLevel="0" collapsed="false">
      <c r="A124" s="4" t="n">
        <v>2040</v>
      </c>
      <c r="B124" s="8" t="n">
        <f aca="false">B29/L29</f>
        <v>0.149962253908205</v>
      </c>
      <c r="C124" s="8" t="n">
        <f aca="false">C29/L29</f>
        <v>0.619850203150314</v>
      </c>
      <c r="D124" s="8" t="n">
        <f aca="false">D29/L29</f>
        <v>0.0399896516332607</v>
      </c>
      <c r="E124" s="8" t="n">
        <f aca="false">E29/L29</f>
        <v>0.0999762496501065</v>
      </c>
      <c r="F124" s="8" t="n">
        <f aca="false">F29/L29</f>
        <v>0.0499860042580984</v>
      </c>
      <c r="G124" s="8" t="n">
        <f aca="false">G29/L29</f>
        <v>0.0182326346772073</v>
      </c>
      <c r="H124" s="8" t="n">
        <f aca="false">H29/L29</f>
        <v>0.0199969463835851</v>
      </c>
      <c r="I124" s="8" t="n">
        <f aca="false">I29/L29</f>
        <v>0.00176431170637782</v>
      </c>
      <c r="J124" s="8" t="n">
        <f aca="false">J29/L29</f>
        <v>3.39290712764965E-005</v>
      </c>
      <c r="K124" s="8" t="n">
        <f aca="false">K29/L29</f>
        <v>0.000207815561568541</v>
      </c>
    </row>
    <row r="125" customFormat="false" ht="15" hidden="false" customHeight="false" outlineLevel="0" collapsed="false">
      <c r="A125" s="4" t="n">
        <v>2041</v>
      </c>
      <c r="B125" s="8" t="n">
        <f aca="false">B30/L30</f>
        <v>0.149963149413514</v>
      </c>
      <c r="C125" s="8" t="n">
        <f aca="false">C30/L30</f>
        <v>0.6198518481506</v>
      </c>
      <c r="D125" s="8" t="n">
        <f aca="false">D30/L30</f>
        <v>0.0399901731769369</v>
      </c>
      <c r="E125" s="8" t="n">
        <f aca="false">E30/L30</f>
        <v>0.0999754329423424</v>
      </c>
      <c r="F125" s="8" t="n">
        <f aca="false">F30/L30</f>
        <v>0.0499877164711712</v>
      </c>
      <c r="G125" s="8" t="n">
        <f aca="false">G30/L30</f>
        <v>0.0182295895635808</v>
      </c>
      <c r="H125" s="8" t="n">
        <f aca="false">H30/L30</f>
        <v>0.0199950865884685</v>
      </c>
      <c r="I125" s="8" t="n">
        <f aca="false">I30/L30</f>
        <v>0.00176549702488768</v>
      </c>
      <c r="J125" s="8" t="n">
        <f aca="false">J30/L30</f>
        <v>3.33112646205222E-005</v>
      </c>
      <c r="K125" s="8" t="n">
        <f aca="false">K30/L30</f>
        <v>0.000208195403878264</v>
      </c>
    </row>
    <row r="126" customFormat="false" ht="15" hidden="false" customHeight="false" outlineLevel="0" collapsed="false">
      <c r="A126" s="4" t="n">
        <v>2042</v>
      </c>
      <c r="B126" s="8" t="n">
        <f aca="false">B31/L31</f>
        <v>0.149962595198286</v>
      </c>
      <c r="C126" s="8" t="n">
        <f aca="false">C31/L31</f>
        <v>0.619852751807899</v>
      </c>
      <c r="D126" s="8" t="n">
        <f aca="false">D31/L31</f>
        <v>0.0399924781600926</v>
      </c>
      <c r="E126" s="8" t="n">
        <f aca="false">E31/L31</f>
        <v>0.0999750634655242</v>
      </c>
      <c r="F126" s="8" t="n">
        <f aca="false">F31/L31</f>
        <v>0.0499875317327621</v>
      </c>
      <c r="G126" s="8" t="n">
        <f aca="false">G31/L31</f>
        <v>0.0182281979061487</v>
      </c>
      <c r="H126" s="8" t="n">
        <f aca="false">H31/L31</f>
        <v>0.0199941951018106</v>
      </c>
      <c r="I126" s="8" t="n">
        <f aca="false">I31/L31</f>
        <v>0.00176599719566186</v>
      </c>
      <c r="J126" s="8" t="n">
        <f aca="false">J31/L31</f>
        <v>3.27036517715159E-005</v>
      </c>
      <c r="K126" s="8" t="n">
        <f aca="false">K31/L31</f>
        <v>0.000208485780043414</v>
      </c>
    </row>
    <row r="127" customFormat="false" ht="15" hidden="false" customHeight="false" outlineLevel="0" collapsed="false">
      <c r="A127" s="4" t="n">
        <v>2043</v>
      </c>
      <c r="B127" s="8" t="n">
        <f aca="false">B32/L32</f>
        <v>0.149963479335725</v>
      </c>
      <c r="C127" s="8" t="n">
        <f aca="false">C32/L32</f>
        <v>0.619851990978192</v>
      </c>
      <c r="D127" s="8" t="n">
        <f aca="false">D32/L32</f>
        <v>0.0399921340107716</v>
      </c>
      <c r="E127" s="8" t="n">
        <f aca="false">E32/L32</f>
        <v>0.0999743151372134</v>
      </c>
      <c r="F127" s="8" t="n">
        <f aca="false">F32/L32</f>
        <v>0.0499891641985119</v>
      </c>
      <c r="G127" s="8" t="n">
        <f aca="false">G32/L32</f>
        <v>0.0182282260588986</v>
      </c>
      <c r="H127" s="8" t="n">
        <f aca="false">H32/L32</f>
        <v>0.0199940603754806</v>
      </c>
      <c r="I127" s="8" t="n">
        <f aca="false">I32/L32</f>
        <v>0.00176583431658199</v>
      </c>
      <c r="J127" s="8" t="n">
        <f aca="false">J32/L32</f>
        <v>3.21060784833089E-005</v>
      </c>
      <c r="K127" s="8" t="n">
        <f aca="false">K32/L32</f>
        <v>0.000208689510141508</v>
      </c>
    </row>
    <row r="128" customFormat="false" ht="15" hidden="false" customHeight="false" outlineLevel="0" collapsed="false">
      <c r="A128" s="4" t="n">
        <v>2044</v>
      </c>
      <c r="B128" s="8" t="n">
        <f aca="false">B33/L33</f>
        <v>0.149963950973324</v>
      </c>
      <c r="C128" s="8" t="n">
        <f aca="false">C33/L33</f>
        <v>0.619846269615201</v>
      </c>
      <c r="D128" s="8" t="n">
        <f aca="false">D33/L33</f>
        <v>0.0399888110124852</v>
      </c>
      <c r="E128" s="8" t="n">
        <f aca="false">E33/L33</f>
        <v>0.0999759673155491</v>
      </c>
      <c r="F128" s="8" t="n">
        <f aca="false">F33/L33</f>
        <v>0.0499879836577746</v>
      </c>
      <c r="G128" s="8" t="n">
        <f aca="false">G33/L33</f>
        <v>0.0186942766752948</v>
      </c>
      <c r="H128" s="8" t="n">
        <f aca="false">H33/L33</f>
        <v>0.0199944055062426</v>
      </c>
      <c r="I128" s="8" t="n">
        <f aca="false">I33/L33</f>
        <v>0.00130012883094779</v>
      </c>
      <c r="J128" s="8" t="n">
        <f aca="false">J33/L33</f>
        <v>3.54580590258489E-005</v>
      </c>
      <c r="K128" s="8" t="n">
        <f aca="false">K33/L33</f>
        <v>0.000212748354155094</v>
      </c>
    </row>
    <row r="129" customFormat="false" ht="15" hidden="false" customHeight="false" outlineLevel="0" collapsed="false">
      <c r="A129" s="4" t="n">
        <v>2045</v>
      </c>
      <c r="B129" s="8" t="n">
        <f aca="false">B34/L34</f>
        <v>0.149963451847325</v>
      </c>
      <c r="C129" s="8" t="n">
        <f aca="false">C34/L34</f>
        <v>0.619845066772895</v>
      </c>
      <c r="D129" s="8" t="n">
        <f aca="false">D34/L34</f>
        <v>0.0399902538259534</v>
      </c>
      <c r="E129" s="8" t="n">
        <f aca="false">E34/L34</f>
        <v>0.0999756345648836</v>
      </c>
      <c r="F129" s="8" t="n">
        <f aca="false">F34/L34</f>
        <v>0.0499878172824418</v>
      </c>
      <c r="G129" s="8" t="n">
        <f aca="false">G34/L34</f>
        <v>0.0196122415040048</v>
      </c>
      <c r="H129" s="8" t="n">
        <f aca="false">H34/L34</f>
        <v>0.0199951269129767</v>
      </c>
      <c r="I129" s="8" t="n">
        <f aca="false">I34/L34</f>
        <v>0.000382885408971895</v>
      </c>
      <c r="J129" s="8" t="n">
        <f aca="false">J34/L34</f>
        <v>3.48077644519904E-005</v>
      </c>
      <c r="K129" s="8" t="n">
        <f aca="false">K34/L34</f>
        <v>0.000212714116095497</v>
      </c>
    </row>
    <row r="130" customFormat="false" ht="15" hidden="false" customHeight="false" outlineLevel="0" collapsed="false">
      <c r="A130" s="4" t="n">
        <v>2046</v>
      </c>
      <c r="B130" s="8" t="n">
        <f aca="false">B35/L35</f>
        <v>0.149961465598081</v>
      </c>
      <c r="C130" s="8" t="n">
        <f aca="false">C35/L35</f>
        <v>0.619845786462466</v>
      </c>
      <c r="D130" s="8" t="n">
        <f aca="false">D35/L35</f>
        <v>0.0399884586618881</v>
      </c>
      <c r="E130" s="8" t="n">
        <f aca="false">E35/L35</f>
        <v>0.0999768413939203</v>
      </c>
      <c r="F130" s="8" t="n">
        <f aca="false">F35/L35</f>
        <v>0.0499884206969602</v>
      </c>
      <c r="G130" s="8" t="n">
        <f aca="false">G35/L35</f>
        <v>0.0196202747901489</v>
      </c>
      <c r="H130" s="8" t="n">
        <f aca="false">H35/L35</f>
        <v>0.0199961275773441</v>
      </c>
      <c r="I130" s="8" t="n">
        <f aca="false">I35/L35</f>
        <v>0.000375852787195189</v>
      </c>
      <c r="J130" s="8" t="n">
        <f aca="false">J35/L35</f>
        <v>3.41684351995626E-005</v>
      </c>
      <c r="K130" s="8" t="n">
        <f aca="false">K35/L35</f>
        <v>0.000212603596797279</v>
      </c>
    </row>
    <row r="131" customFormat="false" ht="15" hidden="false" customHeight="false" outlineLevel="0" collapsed="false">
      <c r="A131" s="4" t="n">
        <v>2047</v>
      </c>
      <c r="B131" s="8" t="n">
        <f aca="false">B36/L36</f>
        <v>0.149963292700651</v>
      </c>
      <c r="C131" s="8" t="n">
        <f aca="false">C36/L36</f>
        <v>0.619846537402316</v>
      </c>
      <c r="D131" s="8" t="n">
        <f aca="false">D36/L36</f>
        <v>0.0399904598287987</v>
      </c>
      <c r="E131" s="8" t="n">
        <f aca="false">E36/L36</f>
        <v>0.0999742862573089</v>
      </c>
      <c r="F131" s="8" t="n">
        <f aca="false">F36/L36</f>
        <v>0.0499890064433422</v>
      </c>
      <c r="G131" s="8" t="n">
        <f aca="false">G36/L36</f>
        <v>0.0196281569209097</v>
      </c>
      <c r="H131" s="8" t="n">
        <f aca="false">H36/L36</f>
        <v>0.0199933665997116</v>
      </c>
      <c r="I131" s="8" t="n">
        <f aca="false">I36/L36</f>
        <v>0.000368936308177343</v>
      </c>
      <c r="J131" s="8" t="n">
        <f aca="false">J36/L36</f>
        <v>3.35396643797584E-005</v>
      </c>
      <c r="K131" s="8" t="n">
        <f aca="false">K36/L36</f>
        <v>0.000212417874405137</v>
      </c>
    </row>
    <row r="132" customFormat="false" ht="15" hidden="false" customHeight="false" outlineLevel="0" collapsed="false">
      <c r="A132" s="4" t="n">
        <v>2048</v>
      </c>
      <c r="B132" s="8" t="n">
        <f aca="false">B37/L37</f>
        <v>0.149963969434375</v>
      </c>
      <c r="C132" s="8" t="n">
        <f aca="false">C37/L37</f>
        <v>0.619846440289854</v>
      </c>
      <c r="D132" s="8" t="n">
        <f aca="false">D37/L37</f>
        <v>0.0399884409555964</v>
      </c>
      <c r="E132" s="8" t="n">
        <f aca="false">E37/L37</f>
        <v>0.0999747603144353</v>
      </c>
      <c r="F132" s="8" t="n">
        <f aca="false">F37/L37</f>
        <v>0.0499892091199397</v>
      </c>
      <c r="G132" s="8" t="n">
        <f aca="false">G37/L37</f>
        <v>0.0196357437842702</v>
      </c>
      <c r="H132" s="8" t="n">
        <f aca="false">H37/L37</f>
        <v>0.0199942204777982</v>
      </c>
      <c r="I132" s="8" t="n">
        <f aca="false">I37/L37</f>
        <v>0.000362134618972196</v>
      </c>
      <c r="J132" s="8" t="n">
        <f aca="false">J37/L37</f>
        <v>3.29213289974724E-005</v>
      </c>
      <c r="K132" s="8" t="n">
        <f aca="false">K37/L37</f>
        <v>0.000212159675761489</v>
      </c>
    </row>
    <row r="133" customFormat="false" ht="15" hidden="false" customHeight="false" outlineLevel="0" collapsed="false">
      <c r="A133" s="4" t="n">
        <v>2049</v>
      </c>
      <c r="B133" s="8" t="n">
        <f aca="false">B38/L38</f>
        <v>0.149963019079283</v>
      </c>
      <c r="C133" s="8" t="n">
        <f aca="false">C38/L38</f>
        <v>0.619846906168992</v>
      </c>
      <c r="D133" s="8" t="n">
        <f aca="false">D38/L38</f>
        <v>0.0399896597037218</v>
      </c>
      <c r="E133" s="8" t="n">
        <f aca="false">E38/L38</f>
        <v>0.0999741492593045</v>
      </c>
      <c r="F133" s="8" t="n">
        <f aca="false">F38/L38</f>
        <v>0.0499888698199783</v>
      </c>
      <c r="G133" s="8" t="n">
        <f aca="false">G38/L38</f>
        <v>0.0196393821672974</v>
      </c>
      <c r="H133" s="8" t="n">
        <f aca="false">H38/L38</f>
        <v>0.0199948298518609</v>
      </c>
      <c r="I133" s="8" t="n">
        <f aca="false">I38/L38</f>
        <v>0.000355447684563517</v>
      </c>
      <c r="J133" s="8" t="n">
        <f aca="false">J38/L38</f>
        <v>3.23134258694107E-005</v>
      </c>
      <c r="K133" s="8" t="n">
        <f aca="false">K38/L38</f>
        <v>0.000215422839129405</v>
      </c>
    </row>
    <row r="134" customFormat="false" ht="15" hidden="false" customHeight="false" outlineLevel="0" collapsed="false">
      <c r="A134" s="4" t="n">
        <v>2050</v>
      </c>
      <c r="B134" s="8" t="n">
        <f aca="false">B39/L39</f>
        <v>0.14996299820277</v>
      </c>
      <c r="C134" s="8" t="n">
        <f aca="false">C39/L39</f>
        <v>0.619847059238115</v>
      </c>
      <c r="D134" s="8" t="n">
        <f aca="false">D39/L39</f>
        <v>0.039990132854072</v>
      </c>
      <c r="E134" s="8" t="n">
        <f aca="false">E39/L39</f>
        <v>0.0999753321351799</v>
      </c>
      <c r="F134" s="8" t="n">
        <f aca="false">F39/L39</f>
        <v>0.04998766606759</v>
      </c>
      <c r="G134" s="8" t="n">
        <f aca="false">G39/L39</f>
        <v>0.019646192338866</v>
      </c>
      <c r="H134" s="8" t="n">
        <f aca="false">H39/L39</f>
        <v>0.019995066427036</v>
      </c>
      <c r="I134" s="8" t="n">
        <f aca="false">I39/L39</f>
        <v>0.000348874088169997</v>
      </c>
      <c r="J134" s="8" t="n">
        <f aca="false">J39/L39</f>
        <v>3.17158261972724E-005</v>
      </c>
      <c r="K134" s="8" t="n">
        <f aca="false">K39/L39</f>
        <v>0.000214962822003735</v>
      </c>
    </row>
    <row r="137" customFormat="false" ht="15" hidden="false" customHeight="false" outlineLevel="0" collapsed="false">
      <c r="A137" s="10" t="s">
        <v>274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</row>
    <row r="138" customFormat="false" ht="26.85" hidden="false" customHeight="false" outlineLevel="0" collapsed="false">
      <c r="A138" s="3" t="s">
        <v>113</v>
      </c>
      <c r="B138" s="3" t="s">
        <v>260</v>
      </c>
      <c r="C138" s="3" t="s">
        <v>261</v>
      </c>
      <c r="D138" s="3" t="s">
        <v>262</v>
      </c>
      <c r="E138" s="3" t="s">
        <v>263</v>
      </c>
      <c r="F138" s="3" t="s">
        <v>264</v>
      </c>
      <c r="G138" s="3" t="s">
        <v>265</v>
      </c>
      <c r="H138" s="3" t="s">
        <v>266</v>
      </c>
      <c r="I138" s="3" t="s">
        <v>267</v>
      </c>
      <c r="J138" s="3" t="s">
        <v>268</v>
      </c>
      <c r="K138" s="3" t="s">
        <v>269</v>
      </c>
    </row>
    <row r="139" customFormat="false" ht="15" hidden="false" customHeight="false" outlineLevel="0" collapsed="false">
      <c r="A139" s="4" t="n">
        <v>2023</v>
      </c>
      <c r="B139" s="8" t="n">
        <f aca="false">B43/L43</f>
        <v>0.149961278575525</v>
      </c>
      <c r="C139" s="8" t="n">
        <f aca="false">C43/L43</f>
        <v>0.619850198336457</v>
      </c>
      <c r="D139" s="8" t="n">
        <f aca="false">D43/L43</f>
        <v>0.0445976223271872</v>
      </c>
      <c r="E139" s="8" t="n">
        <f aca="false">E43/L43</f>
        <v>0.0999781268289222</v>
      </c>
      <c r="F139" s="8" t="n">
        <f aca="false">F43/L43</f>
        <v>0.0499890634144611</v>
      </c>
      <c r="G139" s="8" t="n">
        <f aca="false">G43/L43</f>
        <v>0.00999663034932045</v>
      </c>
      <c r="H139" s="8" t="n">
        <f aca="false">H43/L43</f>
        <v>0.0199932606986409</v>
      </c>
      <c r="I139" s="8" t="n">
        <f aca="false">I43/L43</f>
        <v>0.00539144108727395</v>
      </c>
      <c r="J139" s="8" t="n">
        <f aca="false">J43/L43</f>
        <v>3.54700071531181E-005</v>
      </c>
      <c r="K139" s="8" t="n">
        <f aca="false">K43/L43</f>
        <v>0.000206908375059856</v>
      </c>
    </row>
    <row r="140" customFormat="false" ht="15" hidden="false" customHeight="false" outlineLevel="0" collapsed="false">
      <c r="A140" s="4" t="n">
        <v>2024</v>
      </c>
      <c r="B140" s="8" t="n">
        <f aca="false">B44/L44</f>
        <v>0.16347530681693</v>
      </c>
      <c r="C140" s="8" t="n">
        <f aca="false">C44/L44</f>
        <v>0.603836588462408</v>
      </c>
      <c r="D140" s="8" t="n">
        <f aca="false">D44/L44</f>
        <v>0.0516240862159922</v>
      </c>
      <c r="E140" s="8" t="n">
        <f aca="false">E44/L44</f>
        <v>0.0973929981390981</v>
      </c>
      <c r="F140" s="8" t="n">
        <f aca="false">F44/L44</f>
        <v>0.048696499069549</v>
      </c>
      <c r="G140" s="8" t="n">
        <f aca="false">G44/L44</f>
        <v>0.00999437671379792</v>
      </c>
      <c r="H140" s="8" t="n">
        <f aca="false">H44/L44</f>
        <v>0.0194785996278196</v>
      </c>
      <c r="I140" s="8" t="n">
        <f aca="false">I44/L44</f>
        <v>0.00526385966132744</v>
      </c>
      <c r="J140" s="8" t="n">
        <f aca="false">J44/L44</f>
        <v>3.47832136211065E-005</v>
      </c>
      <c r="K140" s="8" t="n">
        <f aca="false">K44/L44</f>
        <v>0.000202902079456454</v>
      </c>
    </row>
    <row r="141" customFormat="false" ht="15" hidden="false" customHeight="false" outlineLevel="0" collapsed="false">
      <c r="A141" s="4" t="n">
        <v>2025</v>
      </c>
      <c r="B141" s="8" t="n">
        <f aca="false">B45/L45</f>
        <v>0.169308590752792</v>
      </c>
      <c r="C141" s="8" t="n">
        <f aca="false">C45/L45</f>
        <v>0.587768905055557</v>
      </c>
      <c r="D141" s="8" t="n">
        <f aca="false">D45/L45</f>
        <v>0.0632868225866038</v>
      </c>
      <c r="E141" s="8" t="n">
        <f aca="false">E45/L45</f>
        <v>0.0948023530080423</v>
      </c>
      <c r="F141" s="8" t="n">
        <f aca="false">F45/L45</f>
        <v>0.0474011765040212</v>
      </c>
      <c r="G141" s="8" t="n">
        <f aca="false">G45/L45</f>
        <v>0.00999744238256273</v>
      </c>
      <c r="H141" s="8" t="n">
        <f aca="false">H45/L45</f>
        <v>0.0189604706016085</v>
      </c>
      <c r="I141" s="8" t="n">
        <f aca="false">I45/L45</f>
        <v>0.00822984455369576</v>
      </c>
      <c r="J141" s="8" t="n">
        <f aca="false">J45/L45</f>
        <v>3.97851601352695E-005</v>
      </c>
      <c r="K141" s="8" t="n">
        <f aca="false">K45/L45</f>
        <v>0.000204609394981386</v>
      </c>
    </row>
    <row r="142" customFormat="false" ht="15" hidden="false" customHeight="false" outlineLevel="0" collapsed="false">
      <c r="A142" s="4" t="n">
        <v>2026</v>
      </c>
      <c r="B142" s="8" t="n">
        <f aca="false">B46/L46</f>
        <v>0.17638267742098</v>
      </c>
      <c r="C142" s="8" t="n">
        <f aca="false">C46/L46</f>
        <v>0.571642868737301</v>
      </c>
      <c r="D142" s="8" t="n">
        <f aca="false">D46/L46</f>
        <v>0.0750040580553799</v>
      </c>
      <c r="E142" s="8" t="n">
        <f aca="false">E46/L46</f>
        <v>0.092199018230464</v>
      </c>
      <c r="F142" s="8" t="n">
        <f aca="false">F46/L46</f>
        <v>0.046099509115232</v>
      </c>
      <c r="G142" s="8" t="n">
        <f aca="false">G46/L46</f>
        <v>0.00999121221110844</v>
      </c>
      <c r="H142" s="8" t="n">
        <f aca="false">H46/L46</f>
        <v>0.0184375647189867</v>
      </c>
      <c r="I142" s="8" t="n">
        <f aca="false">I46/L46</f>
        <v>0.00999680952887376</v>
      </c>
      <c r="J142" s="8" t="n">
        <f aca="false">J46/L46</f>
        <v>3.9181224357288E-005</v>
      </c>
      <c r="K142" s="8" t="n">
        <f aca="false">K46/L46</f>
        <v>0.000207100757317094</v>
      </c>
    </row>
    <row r="143" customFormat="false" ht="15" hidden="false" customHeight="false" outlineLevel="0" collapsed="false">
      <c r="A143" s="4" t="n">
        <v>2027</v>
      </c>
      <c r="B143" s="8" t="n">
        <f aca="false">B47/L47</f>
        <v>0.187011110007833</v>
      </c>
      <c r="C143" s="8" t="n">
        <f aca="false">C47/L47</f>
        <v>0.55537351471221</v>
      </c>
      <c r="D143" s="8" t="n">
        <f aca="false">D47/L47</f>
        <v>0.0868169331082647</v>
      </c>
      <c r="E143" s="8" t="n">
        <f aca="false">E47/L47</f>
        <v>0.0895751277044098</v>
      </c>
      <c r="F143" s="8" t="n">
        <f aca="false">F47/L47</f>
        <v>0.0447875638522049</v>
      </c>
      <c r="G143" s="8" t="n">
        <f aca="false">G47/L47</f>
        <v>0.0147232427542228</v>
      </c>
      <c r="H143" s="8" t="n">
        <f aca="false">H47/L47</f>
        <v>0.0179172320965589</v>
      </c>
      <c r="I143" s="8" t="n">
        <f aca="false">I47/L47</f>
        <v>0.00354703825064266</v>
      </c>
      <c r="J143" s="8" t="n">
        <f aca="false">J47/L47</f>
        <v>3.86147243460321E-005</v>
      </c>
      <c r="K143" s="8" t="n">
        <f aca="false">K47/L47</f>
        <v>0.000209622789307031</v>
      </c>
    </row>
    <row r="144" customFormat="false" ht="15" hidden="false" customHeight="false" outlineLevel="0" collapsed="false">
      <c r="A144" s="4" t="n">
        <v>2028</v>
      </c>
      <c r="B144" s="8" t="n">
        <f aca="false">B48/L48</f>
        <v>0.198422227896793</v>
      </c>
      <c r="C144" s="8" t="n">
        <f aca="false">C48/L48</f>
        <v>0.538876543679404</v>
      </c>
      <c r="D144" s="8" t="n">
        <f aca="false">D48/L48</f>
        <v>0.0988063480334896</v>
      </c>
      <c r="E144" s="8" t="n">
        <f aca="false">E48/L48</f>
        <v>0.0869132931646175</v>
      </c>
      <c r="F144" s="8" t="n">
        <f aca="false">F48/L48</f>
        <v>0.0434593631320732</v>
      </c>
      <c r="G144" s="8" t="n">
        <f aca="false">G48/L48</f>
        <v>0.0129470761774885</v>
      </c>
      <c r="H144" s="8" t="n">
        <f aca="false">H48/L48</f>
        <v>0.0173804853931119</v>
      </c>
      <c r="I144" s="8" t="n">
        <f aca="false">I48/L48</f>
        <v>0.00295017304422</v>
      </c>
      <c r="J144" s="8" t="n">
        <f aca="false">J48/L48</f>
        <v>3.80316967026519E-005</v>
      </c>
      <c r="K144" s="8" t="n">
        <f aca="false">K48/L48</f>
        <v>0.00020645778210011</v>
      </c>
    </row>
    <row r="145" customFormat="false" ht="15" hidden="false" customHeight="false" outlineLevel="0" collapsed="false">
      <c r="A145" s="4" t="n">
        <v>2029</v>
      </c>
      <c r="B145" s="8" t="n">
        <f aca="false">B49/L49</f>
        <v>0.209733419643383</v>
      </c>
      <c r="C145" s="8" t="n">
        <f aca="false">C49/L49</f>
        <v>0.521958239488988</v>
      </c>
      <c r="D145" s="8" t="n">
        <f aca="false">D49/L49</f>
        <v>0.111093872878137</v>
      </c>
      <c r="E145" s="8" t="n">
        <f aca="false">E49/L49</f>
        <v>0.0841843967837024</v>
      </c>
      <c r="F145" s="8" t="n">
        <f aca="false">F49/L49</f>
        <v>0.0420921983918512</v>
      </c>
      <c r="G145" s="8" t="n">
        <f aca="false">G49/L49</f>
        <v>0.0111275765957105</v>
      </c>
      <c r="H145" s="8" t="n">
        <f aca="false">H49/L49</f>
        <v>0.0168358093974524</v>
      </c>
      <c r="I145" s="8" t="n">
        <f aca="false">I49/L49</f>
        <v>0.00272839618452518</v>
      </c>
      <c r="J145" s="8" t="n">
        <f aca="false">J49/L49</f>
        <v>3.74485750817181E-005</v>
      </c>
      <c r="K145" s="8" t="n">
        <f aca="false">K49/L49</f>
        <v>0.000208642061169572</v>
      </c>
    </row>
    <row r="146" customFormat="false" ht="15" hidden="false" customHeight="false" outlineLevel="0" collapsed="false">
      <c r="A146" s="4" t="n">
        <v>2030</v>
      </c>
      <c r="B146" s="8" t="n">
        <f aca="false">B50/L50</f>
        <v>0.220780999747113</v>
      </c>
      <c r="C146" s="8" t="n">
        <f aca="false">C50/L50</f>
        <v>0.504283275731265</v>
      </c>
      <c r="D146" s="8" t="n">
        <f aca="false">D50/L50</f>
        <v>0.123925229705808</v>
      </c>
      <c r="E146" s="8" t="n">
        <f aca="false">E50/L50</f>
        <v>0.0813348225575318</v>
      </c>
      <c r="F146" s="8" t="n">
        <f aca="false">F50/L50</f>
        <v>0.0406674112787659</v>
      </c>
      <c r="G146" s="8" t="n">
        <f aca="false">G50/L50</f>
        <v>0.00998904155778471</v>
      </c>
      <c r="H146" s="8" t="n">
        <f aca="false">H50/L50</f>
        <v>0.0162690719042401</v>
      </c>
      <c r="I146" s="8" t="n">
        <f aca="false">I50/L50</f>
        <v>0.00250252887128045</v>
      </c>
      <c r="J146" s="8" t="n">
        <f aca="false">J50/L50</f>
        <v>3.68793728399225E-005</v>
      </c>
      <c r="K146" s="8" t="n">
        <f aca="false">K50/L50</f>
        <v>0.000210739273370985</v>
      </c>
    </row>
    <row r="147" customFormat="false" ht="15" hidden="false" customHeight="false" outlineLevel="0" collapsed="false">
      <c r="A147" s="4" t="n">
        <v>2031</v>
      </c>
      <c r="B147" s="8" t="n">
        <f aca="false">B51/L51</f>
        <v>0.231344832596467</v>
      </c>
      <c r="C147" s="8" t="n">
        <f aca="false">C51/L51</f>
        <v>0.485319758390933</v>
      </c>
      <c r="D147" s="8" t="n">
        <f aca="false">D51/L51</f>
        <v>0.137700562509081</v>
      </c>
      <c r="E147" s="8" t="n">
        <f aca="false">E51/L51</f>
        <v>0.0782790543205264</v>
      </c>
      <c r="F147" s="8" t="n">
        <f aca="false">F51/L51</f>
        <v>0.0391369325611806</v>
      </c>
      <c r="G147" s="8" t="n">
        <f aca="false">G51/L51</f>
        <v>0.00998920646781659</v>
      </c>
      <c r="H147" s="8" t="n">
        <f aca="false">H51/L51</f>
        <v>0.0156558108641053</v>
      </c>
      <c r="I147" s="8" t="n">
        <f aca="false">I51/L51</f>
        <v>0.00232476077796459</v>
      </c>
      <c r="J147" s="8" t="n">
        <f aca="false">J51/L51</f>
        <v>3.63243871556967E-005</v>
      </c>
      <c r="K147" s="8" t="n">
        <f aca="false">K51/L51</f>
        <v>0.000212757124769081</v>
      </c>
    </row>
    <row r="148" customFormat="false" ht="15" hidden="false" customHeight="false" outlineLevel="0" collapsed="false">
      <c r="A148" s="4" t="n">
        <v>2032</v>
      </c>
      <c r="B148" s="8" t="n">
        <f aca="false">B52/L52</f>
        <v>0.242974936228728</v>
      </c>
      <c r="C148" s="8" t="n">
        <f aca="false">C52/L52</f>
        <v>0.464178181279106</v>
      </c>
      <c r="D148" s="8" t="n">
        <f aca="false">D52/L52</f>
        <v>0.153056164726691</v>
      </c>
      <c r="E148" s="8" t="n">
        <f aca="false">E52/L52</f>
        <v>0.0748692625024921</v>
      </c>
      <c r="F148" s="8" t="n">
        <f aca="false">F52/L52</f>
        <v>0.037434631251246</v>
      </c>
      <c r="G148" s="8" t="n">
        <f aca="false">G52/L52</f>
        <v>0.00998359071878786</v>
      </c>
      <c r="H148" s="8" t="n">
        <f aca="false">H52/L52</f>
        <v>0.0149728301153762</v>
      </c>
      <c r="I148" s="8" t="n">
        <f aca="false">I52/L52</f>
        <v>0.00227991882262129</v>
      </c>
      <c r="J148" s="8" t="n">
        <f aca="false">J52/L52</f>
        <v>3.57834792788095E-005</v>
      </c>
      <c r="K148" s="8" t="n">
        <f aca="false">K52/L52</f>
        <v>0.000214700875672857</v>
      </c>
    </row>
    <row r="149" customFormat="false" ht="15" hidden="false" customHeight="false" outlineLevel="0" collapsed="false">
      <c r="A149" s="4" t="n">
        <v>2033</v>
      </c>
      <c r="B149" s="8" t="n">
        <f aca="false">B53/L53</f>
        <v>0.256502206015674</v>
      </c>
      <c r="C149" s="8" t="n">
        <f aca="false">C53/L53</f>
        <v>0.439581360678526</v>
      </c>
      <c r="D149" s="8" t="n">
        <f aca="false">D53/L53</f>
        <v>0.170920885629671</v>
      </c>
      <c r="E149" s="8" t="n">
        <f aca="false">E53/L53</f>
        <v>0.0708997320547173</v>
      </c>
      <c r="F149" s="8" t="n">
        <f aca="false">F53/L53</f>
        <v>0.0354523843100913</v>
      </c>
      <c r="G149" s="8" t="n">
        <f aca="false">G53/L53</f>
        <v>0.00998247275218083</v>
      </c>
      <c r="H149" s="8" t="n">
        <f aca="false">H53/L53</f>
        <v>0.0141779317847573</v>
      </c>
      <c r="I149" s="8" t="n">
        <f aca="false">I53/L53</f>
        <v>0.00223119850111812</v>
      </c>
      <c r="J149" s="8" t="n">
        <f aca="false">J53/L53</f>
        <v>3.52559582569454E-005</v>
      </c>
      <c r="K149" s="8" t="n">
        <f aca="false">K53/L53</f>
        <v>0.00021657231500695</v>
      </c>
    </row>
    <row r="150" customFormat="false" ht="15" hidden="false" customHeight="false" outlineLevel="0" collapsed="false">
      <c r="A150" s="4" t="n">
        <v>2034</v>
      </c>
      <c r="B150" s="8" t="n">
        <f aca="false">B54/L54</f>
        <v>0.272745320898745</v>
      </c>
      <c r="C150" s="8" t="n">
        <f aca="false">C54/L54</f>
        <v>0.410008884212407</v>
      </c>
      <c r="D150" s="8" t="n">
        <f aca="false">D54/L54</f>
        <v>0.192400275956542</v>
      </c>
      <c r="E150" s="8" t="n">
        <f aca="false">E54/L54</f>
        <v>0.0661303050908026</v>
      </c>
      <c r="F150" s="8" t="n">
        <f aca="false">F54/L54</f>
        <v>0.0330651525454013</v>
      </c>
      <c r="G150" s="8" t="n">
        <f aca="false">G54/L54</f>
        <v>0.00998109002834014</v>
      </c>
      <c r="H150" s="8" t="n">
        <f aca="false">H54/L54</f>
        <v>0.0132270536675915</v>
      </c>
      <c r="I150" s="8" t="n">
        <f aca="false">I54/L54</f>
        <v>0.00218879199527499</v>
      </c>
      <c r="J150" s="8" t="n">
        <f aca="false">J54/L54</f>
        <v>3.474273008373E-005</v>
      </c>
      <c r="K150" s="8" t="n">
        <f aca="false">K54/L54</f>
        <v>0.000218382874812017</v>
      </c>
    </row>
    <row r="151" customFormat="false" ht="15" hidden="false" customHeight="false" outlineLevel="0" collapsed="false">
      <c r="A151" s="4" t="n">
        <v>2035</v>
      </c>
      <c r="B151" s="8" t="n">
        <f aca="false">B55/L55</f>
        <v>0.292294221522176</v>
      </c>
      <c r="C151" s="8" t="n">
        <f aca="false">C55/L55</f>
        <v>0.374414839236711</v>
      </c>
      <c r="D151" s="8" t="n">
        <f aca="false">D55/L55</f>
        <v>0.218249678375589</v>
      </c>
      <c r="E151" s="8" t="n">
        <f aca="false">E55/L55</f>
        <v>0.0603871232836507</v>
      </c>
      <c r="F151" s="8" t="n">
        <f aca="false">F55/L55</f>
        <v>0.0301960074548381</v>
      </c>
      <c r="G151" s="8" t="n">
        <f aca="false">G55/L55</f>
        <v>0.0099789170918305</v>
      </c>
      <c r="H151" s="8" t="n">
        <f aca="false">H55/L55</f>
        <v>0.0120774246567301</v>
      </c>
      <c r="I151" s="8" t="n">
        <f aca="false">I55/L55</f>
        <v>0.00214253219912831</v>
      </c>
      <c r="J151" s="8" t="n">
        <f aca="false">J55/L55</f>
        <v>3.91330082032568E-005</v>
      </c>
      <c r="K151" s="8" t="n">
        <f aca="false">K55/L55</f>
        <v>0.00022012317114332</v>
      </c>
    </row>
    <row r="152" customFormat="false" ht="15" hidden="false" customHeight="false" outlineLevel="0" collapsed="false">
      <c r="A152" s="4" t="n">
        <v>2036</v>
      </c>
      <c r="B152" s="8" t="n">
        <f aca="false">B56/L56</f>
        <v>0.306879990741812</v>
      </c>
      <c r="C152" s="8" t="n">
        <f aca="false">C56/L56</f>
        <v>0.333463526598002</v>
      </c>
      <c r="D152" s="8" t="n">
        <f aca="false">D56/L56</f>
        <v>0.247994059329553</v>
      </c>
      <c r="E152" s="8" t="n">
        <f aca="false">E56/L56</f>
        <v>0.0537842842263627</v>
      </c>
      <c r="F152" s="8" t="n">
        <f aca="false">F56/L56</f>
        <v>0.0268921421131813</v>
      </c>
      <c r="G152" s="8" t="n">
        <f aca="false">G56/L56</f>
        <v>0.00997666165181499</v>
      </c>
      <c r="H152" s="8" t="n">
        <f aca="false">H56/L56</f>
        <v>0.0186562126297111</v>
      </c>
      <c r="I152" s="8" t="n">
        <f aca="false">I56/L56</f>
        <v>0.00209755815299155</v>
      </c>
      <c r="J152" s="8" t="n">
        <f aca="false">J56/L56</f>
        <v>3.85757821239826E-005</v>
      </c>
      <c r="K152" s="8" t="n">
        <f aca="false">K56/L56</f>
        <v>0.000216988774447402</v>
      </c>
    </row>
    <row r="153" customFormat="false" ht="15" hidden="false" customHeight="false" outlineLevel="0" collapsed="false">
      <c r="A153" s="4" t="n">
        <v>2037</v>
      </c>
      <c r="B153" s="8" t="n">
        <f aca="false">B57/L57</f>
        <v>0.330531640274021</v>
      </c>
      <c r="C153" s="8" t="n">
        <f aca="false">C57/L57</f>
        <v>0.290298503914922</v>
      </c>
      <c r="D153" s="8" t="n">
        <f aca="false">D57/L57</f>
        <v>0.279345278560868</v>
      </c>
      <c r="E153" s="8" t="n">
        <f aca="false">E57/L57</f>
        <v>0.0468221859861468</v>
      </c>
      <c r="F153" s="8" t="n">
        <f aca="false">F57/L57</f>
        <v>0.0234134699951034</v>
      </c>
      <c r="G153" s="8" t="n">
        <f aca="false">G57/L57</f>
        <v>0.00996914651365112</v>
      </c>
      <c r="H153" s="8" t="n">
        <f aca="false">H57/L57</f>
        <v>0.0176421090663611</v>
      </c>
      <c r="I153" s="8" t="n">
        <f aca="false">I57/L57</f>
        <v>0.00172094946969085</v>
      </c>
      <c r="J153" s="8" t="n">
        <f aca="false">J57/L57</f>
        <v>3.80320324793557E-005</v>
      </c>
      <c r="K153" s="8" t="n">
        <f aca="false">K57/L57</f>
        <v>0.000218684186756296</v>
      </c>
    </row>
    <row r="154" customFormat="false" ht="15" hidden="false" customHeight="false" outlineLevel="0" collapsed="false">
      <c r="A154" s="4" t="n">
        <v>2038</v>
      </c>
      <c r="B154" s="8" t="n">
        <f aca="false">B58/L58</f>
        <v>0.352972060753797</v>
      </c>
      <c r="C154" s="8" t="n">
        <f aca="false">C58/L58</f>
        <v>0.249348396774798</v>
      </c>
      <c r="D154" s="8" t="n">
        <f aca="false">D58/L58</f>
        <v>0.309089630601913</v>
      </c>
      <c r="E154" s="8" t="n">
        <f aca="false">E58/L58</f>
        <v>0.0402165760360023</v>
      </c>
      <c r="F154" s="8" t="n">
        <f aca="false">F58/L58</f>
        <v>0.0201106319144947</v>
      </c>
      <c r="G154" s="8" t="n">
        <f aca="false">G58/L58</f>
        <v>0.00996624789049315</v>
      </c>
      <c r="H154" s="8" t="n">
        <f aca="false">H58/L58</f>
        <v>0.0168291768235515</v>
      </c>
      <c r="I154" s="8" t="n">
        <f aca="false">I58/L58</f>
        <v>0.00120945059066192</v>
      </c>
      <c r="J154" s="8" t="n">
        <f aca="false">J58/L58</f>
        <v>3.75023438964935E-005</v>
      </c>
      <c r="K154" s="8" t="n">
        <f aca="false">K58/L58</f>
        <v>0.000220326270391899</v>
      </c>
    </row>
    <row r="155" customFormat="false" ht="15" hidden="false" customHeight="false" outlineLevel="0" collapsed="false">
      <c r="A155" s="4" t="n">
        <v>2039</v>
      </c>
      <c r="B155" s="8" t="n">
        <f aca="false">B59/L59</f>
        <v>0.372472237376212</v>
      </c>
      <c r="C155" s="8" t="n">
        <f aca="false">C59/L59</f>
        <v>0.21375602178476</v>
      </c>
      <c r="D155" s="8" t="n">
        <f aca="false">D59/L59</f>
        <v>0.334940683686396</v>
      </c>
      <c r="E155" s="8" t="n">
        <f aca="false">E59/L59</f>
        <v>0.0344755846101212</v>
      </c>
      <c r="F155" s="8" t="n">
        <f aca="false">F59/L59</f>
        <v>0.0172401039306882</v>
      </c>
      <c r="G155" s="8" t="n">
        <f aca="false">G59/L59</f>
        <v>0.0099631064549834</v>
      </c>
      <c r="H155" s="8" t="n">
        <f aca="false">H59/L59</f>
        <v>0.0168933600865473</v>
      </c>
      <c r="I155" s="8" t="n">
        <f aca="false">I59/L59</f>
        <v>0</v>
      </c>
      <c r="J155" s="8" t="n">
        <f aca="false">J59/L59</f>
        <v>3.69860100417017E-005</v>
      </c>
      <c r="K155" s="8" t="n">
        <f aca="false">K59/L59</f>
        <v>0.00022191606025021</v>
      </c>
    </row>
    <row r="156" customFormat="false" ht="15" hidden="false" customHeight="false" outlineLevel="0" collapsed="false">
      <c r="A156" s="4" t="n">
        <v>2040</v>
      </c>
      <c r="B156" s="8" t="n">
        <f aca="false">B60/L60</f>
        <v>0.388676853485816</v>
      </c>
      <c r="C156" s="8" t="n">
        <f aca="false">C60/L60</f>
        <v>0.184183526901137</v>
      </c>
      <c r="D156" s="8" t="n">
        <f aca="false">D60/L60</f>
        <v>0.356420112811954</v>
      </c>
      <c r="E156" s="8" t="n">
        <f aca="false">E60/L60</f>
        <v>0.0297077559358513</v>
      </c>
      <c r="F156" s="8" t="n">
        <f aca="false">F60/L60</f>
        <v>0.014851598017355</v>
      </c>
      <c r="G156" s="8" t="n">
        <f aca="false">G60/L60</f>
        <v>0.00996338399383501</v>
      </c>
      <c r="H156" s="8" t="n">
        <f aca="false">H60/L60</f>
        <v>0.0159368544889947</v>
      </c>
      <c r="I156" s="8" t="n">
        <f aca="false">I60/L60</f>
        <v>0</v>
      </c>
      <c r="J156" s="8" t="n">
        <f aca="false">J60/L60</f>
        <v>3.64792091307461E-005</v>
      </c>
      <c r="K156" s="8" t="n">
        <f aca="false">K60/L60</f>
        <v>0.00022343515592582</v>
      </c>
    </row>
    <row r="157" customFormat="false" ht="15" hidden="false" customHeight="false" outlineLevel="0" collapsed="false">
      <c r="A157" s="4" t="n">
        <v>2041</v>
      </c>
      <c r="B157" s="8" t="n">
        <f aca="false">B61/L61</f>
        <v>0.402151947620373</v>
      </c>
      <c r="C157" s="8" t="n">
        <f aca="false">C61/L61</f>
        <v>0.159586315912377</v>
      </c>
      <c r="D157" s="8" t="n">
        <f aca="false">D61/L61</f>
        <v>0.374282609281397</v>
      </c>
      <c r="E157" s="8" t="n">
        <f aca="false">E61/L61</f>
        <v>0.0257407424039662</v>
      </c>
      <c r="F157" s="8" t="n">
        <f aca="false">F61/L61</f>
        <v>0.0128703712019831</v>
      </c>
      <c r="G157" s="8" t="n">
        <f aca="false">G61/L61</f>
        <v>0.0099603919490574</v>
      </c>
      <c r="H157" s="8" t="n">
        <f aca="false">H61/L61</f>
        <v>0.015147160524874</v>
      </c>
      <c r="I157" s="8" t="n">
        <f aca="false">I61/L61</f>
        <v>0</v>
      </c>
      <c r="J157" s="8" t="n">
        <f aca="false">J61/L61</f>
        <v>3.59256697892061E-005</v>
      </c>
      <c r="K157" s="8" t="n">
        <f aca="false">K61/L61</f>
        <v>0.000224535436182538</v>
      </c>
    </row>
    <row r="158" customFormat="false" ht="15" hidden="false" customHeight="false" outlineLevel="0" collapsed="false">
      <c r="A158" s="4" t="n">
        <v>2042</v>
      </c>
      <c r="B158" s="8" t="n">
        <f aca="false">B62/L62</f>
        <v>0.413735528844876</v>
      </c>
      <c r="C158" s="8" t="n">
        <f aca="false">C62/L62</f>
        <v>0.138444777097709</v>
      </c>
      <c r="D158" s="8" t="n">
        <f aca="false">D62/L62</f>
        <v>0.389638342914338</v>
      </c>
      <c r="E158" s="8" t="n">
        <f aca="false">E62/L62</f>
        <v>0.0223300884877366</v>
      </c>
      <c r="F158" s="8" t="n">
        <f aca="false">F62/L62</f>
        <v>0.0111650442438683</v>
      </c>
      <c r="G158" s="8" t="n">
        <f aca="false">G62/L62</f>
        <v>0.00996040638812369</v>
      </c>
      <c r="H158" s="8" t="n">
        <f aca="false">H62/L62</f>
        <v>0.0144645119002276</v>
      </c>
      <c r="I158" s="8" t="n">
        <f aca="false">I62/L62</f>
        <v>0</v>
      </c>
      <c r="J158" s="8" t="n">
        <f aca="false">J62/L62</f>
        <v>3.54305251689593E-005</v>
      </c>
      <c r="K158" s="8" t="n">
        <f aca="false">K62/L62</f>
        <v>0.000225869597952116</v>
      </c>
    </row>
    <row r="159" customFormat="false" ht="15" hidden="false" customHeight="false" outlineLevel="0" collapsed="false">
      <c r="A159" s="4" t="n">
        <v>2043</v>
      </c>
      <c r="B159" s="8" t="n">
        <f aca="false">B63/L63</f>
        <v>0.424127147736306</v>
      </c>
      <c r="C159" s="8" t="n">
        <f aca="false">C63/L63</f>
        <v>0.119482708921131</v>
      </c>
      <c r="D159" s="8" t="n">
        <f aca="false">D63/L63</f>
        <v>0.403411919881902</v>
      </c>
      <c r="E159" s="8" t="n">
        <f aca="false">E63/L63</f>
        <v>0.0192695731169364</v>
      </c>
      <c r="F159" s="8" t="n">
        <f aca="false">F63/L63</f>
        <v>0.00963478655846822</v>
      </c>
      <c r="G159" s="8" t="n">
        <f aca="false">G63/L63</f>
        <v>0.00995798429433705</v>
      </c>
      <c r="H159" s="8" t="n">
        <f aca="false">H63/L63</f>
        <v>0.0138538272726479</v>
      </c>
      <c r="I159" s="8" t="n">
        <f aca="false">I63/L63</f>
        <v>0</v>
      </c>
      <c r="J159" s="8" t="n">
        <f aca="false">J63/L63</f>
        <v>3.49402957696037E-005</v>
      </c>
      <c r="K159" s="8" t="n">
        <f aca="false">K63/L63</f>
        <v>0.000227111922502424</v>
      </c>
    </row>
    <row r="160" customFormat="false" ht="15" hidden="false" customHeight="false" outlineLevel="0" collapsed="false">
      <c r="A160" s="4" t="n">
        <v>2044</v>
      </c>
      <c r="B160" s="8" t="n">
        <f aca="false">B64/L64</f>
        <v>0.433804886852939</v>
      </c>
      <c r="C160" s="8" t="n">
        <f aca="false">C64/L64</f>
        <v>0.10181516591751</v>
      </c>
      <c r="D160" s="8" t="n">
        <f aca="false">D64/L64</f>
        <v>0.41624195336605</v>
      </c>
      <c r="E160" s="8" t="n">
        <f aca="false">E64/L64</f>
        <v>0.0164198602528512</v>
      </c>
      <c r="F160" s="8" t="n">
        <f aca="false">F64/L64</f>
        <v>0.00821207876032419</v>
      </c>
      <c r="G160" s="8" t="n">
        <f aca="false">G64/L64</f>
        <v>0.0111514099335642</v>
      </c>
      <c r="H160" s="8" t="n">
        <f aca="false">H64/L64</f>
        <v>0.0104294689436456</v>
      </c>
      <c r="I160" s="8" t="n">
        <f aca="false">I64/L64</f>
        <v>0.00165444810189681</v>
      </c>
      <c r="J160" s="8" t="n">
        <f aca="false">J64/L64</f>
        <v>3.86754101742112E-005</v>
      </c>
      <c r="K160" s="8" t="n">
        <f aca="false">K64/L64</f>
        <v>0.000232052461045267</v>
      </c>
    </row>
    <row r="161" customFormat="false" ht="15" hidden="false" customHeight="false" outlineLevel="0" collapsed="false">
      <c r="A161" s="4" t="n">
        <v>2045</v>
      </c>
      <c r="B161" s="8" t="n">
        <f aca="false">B65/L65</f>
        <v>0.444324842032996</v>
      </c>
      <c r="C161" s="8" t="n">
        <f aca="false">C65/L65</f>
        <v>0.0848932265952442</v>
      </c>
      <c r="D161" s="8" t="n">
        <f aca="false">D65/L65</f>
        <v>0.428530260587286</v>
      </c>
      <c r="E161" s="8" t="n">
        <f aca="false">E65/L65</f>
        <v>0.0136925926082884</v>
      </c>
      <c r="F161" s="8" t="n">
        <f aca="false">F65/L65</f>
        <v>0.00684417736378392</v>
      </c>
      <c r="G161" s="8" t="n">
        <f aca="false">G65/L65</f>
        <v>0.0099547818127111</v>
      </c>
      <c r="H161" s="8" t="n">
        <f aca="false">H65/L65</f>
        <v>0.010378569884772</v>
      </c>
      <c r="I161" s="8" t="n">
        <f aca="false">I65/L65</f>
        <v>0.00111032474879962</v>
      </c>
      <c r="J161" s="8" t="n">
        <f aca="false">J65/L65</f>
        <v>3.81409264854831E-005</v>
      </c>
      <c r="K161" s="8" t="n">
        <f aca="false">K65/L65</f>
        <v>0.000233083439633508</v>
      </c>
    </row>
    <row r="162" customFormat="false" ht="15" hidden="false" customHeight="false" outlineLevel="0" collapsed="false">
      <c r="A162" s="4" t="n">
        <v>2046</v>
      </c>
      <c r="B162" s="8" t="n">
        <f aca="false">B66/L66</f>
        <v>0.45211517952364</v>
      </c>
      <c r="C162" s="8" t="n">
        <f aca="false">C66/L66</f>
        <v>0.0683925472072939</v>
      </c>
      <c r="D162" s="8" t="n">
        <f aca="false">D66/L66</f>
        <v>0.440513581899166</v>
      </c>
      <c r="E162" s="8" t="n">
        <f aca="false">E66/L66</f>
        <v>0.0110328098534117</v>
      </c>
      <c r="F162" s="8" t="n">
        <f aca="false">F66/L66</f>
        <v>0.00551640492670584</v>
      </c>
      <c r="G162" s="8" t="n">
        <f aca="false">G66/L66</f>
        <v>0.00995378599360114</v>
      </c>
      <c r="H162" s="8" t="n">
        <f aca="false">H66/L66</f>
        <v>0.0122038434997177</v>
      </c>
      <c r="I162" s="8" t="n">
        <f aca="false">I66/L66</f>
        <v>0</v>
      </c>
      <c r="J162" s="8" t="n">
        <f aca="false">J66/L66</f>
        <v>3.76403672026934E-005</v>
      </c>
      <c r="K162" s="8" t="n">
        <f aca="false">K66/L66</f>
        <v>0.000234206729261203</v>
      </c>
    </row>
    <row r="163" customFormat="false" ht="15" hidden="false" customHeight="false" outlineLevel="0" collapsed="false">
      <c r="A163" s="4" t="n">
        <v>2047</v>
      </c>
      <c r="B163" s="8" t="n">
        <f aca="false">B67/L67</f>
        <v>0.461027688746804</v>
      </c>
      <c r="C163" s="8" t="n">
        <f aca="false">C67/L67</f>
        <v>0.0521313399514924</v>
      </c>
      <c r="D163" s="8" t="n">
        <f aca="false">D67/L67</f>
        <v>0.452327504483468</v>
      </c>
      <c r="E163" s="8" t="n">
        <f aca="false">E67/L67</f>
        <v>0.00840881016772478</v>
      </c>
      <c r="F163" s="8" t="n">
        <f aca="false">F67/L67</f>
        <v>0.0042023531536116</v>
      </c>
      <c r="G163" s="8" t="n">
        <f aca="false">G67/L67</f>
        <v>0.00995186171631654</v>
      </c>
      <c r="H163" s="8" t="n">
        <f aca="false">H67/L67</f>
        <v>0.0116795869874791</v>
      </c>
      <c r="I163" s="8" t="n">
        <f aca="false">I67/L67</f>
        <v>0</v>
      </c>
      <c r="J163" s="8" t="n">
        <f aca="false">J67/L67</f>
        <v>3.69347445141645E-005</v>
      </c>
      <c r="K163" s="8" t="n">
        <f aca="false">K67/L67</f>
        <v>0.000233920048589708</v>
      </c>
    </row>
    <row r="164" customFormat="false" ht="15" hidden="false" customHeight="false" outlineLevel="0" collapsed="false">
      <c r="A164" s="4" t="n">
        <v>2048</v>
      </c>
      <c r="B164" s="8" t="n">
        <f aca="false">B68/L68</f>
        <v>0.469866831092498</v>
      </c>
      <c r="C164" s="8" t="n">
        <f aca="false">C68/L68</f>
        <v>0.0359988468837835</v>
      </c>
      <c r="D164" s="8" t="n">
        <f aca="false">D68/L68</f>
        <v>0.464045195749486</v>
      </c>
      <c r="E164" s="8" t="n">
        <f aca="false">E68/L68</f>
        <v>0.00580561984000513</v>
      </c>
      <c r="F164" s="8" t="n">
        <f aca="false">F68/L68</f>
        <v>0.00290280992000256</v>
      </c>
      <c r="G164" s="8" t="n">
        <f aca="false">G68/L68</f>
        <v>0.00994963124304327</v>
      </c>
      <c r="H164" s="8" t="n">
        <f aca="false">H68/L68</f>
        <v>0.0111628055958168</v>
      </c>
      <c r="I164" s="8" t="n">
        <f aca="false">I68/L68</f>
        <v>0</v>
      </c>
      <c r="J164" s="8" t="n">
        <f aca="false">J68/L68</f>
        <v>3.60348817655491E-005</v>
      </c>
      <c r="K164" s="8" t="n">
        <f aca="false">K68/L68</f>
        <v>0.000232224793600205</v>
      </c>
    </row>
    <row r="165" customFormat="false" ht="15" hidden="false" customHeight="false" outlineLevel="0" collapsed="false">
      <c r="A165" s="4" t="n">
        <v>2049</v>
      </c>
      <c r="B165" s="8" t="n">
        <f aca="false">B69/L69</f>
        <v>0.478662035049374</v>
      </c>
      <c r="C165" s="8" t="n">
        <f aca="false">C69/L69</f>
        <v>0.0199406736661333</v>
      </c>
      <c r="D165" s="8" t="n">
        <f aca="false">D69/L69</f>
        <v>0.475707427500878</v>
      </c>
      <c r="E165" s="8" t="n">
        <f aca="false">E69/L69</f>
        <v>0.00321611178330276</v>
      </c>
      <c r="F165" s="8" t="n">
        <f aca="false">F69/L69</f>
        <v>0.00160805589165138</v>
      </c>
      <c r="G165" s="8" t="n">
        <f aca="false">G69/L69</f>
        <v>0.00994887006752274</v>
      </c>
      <c r="H165" s="8" t="n">
        <f aca="false">H69/L69</f>
        <v>0.0106475157097693</v>
      </c>
      <c r="I165" s="8" t="n">
        <f aca="false">I69/L69</f>
        <v>0</v>
      </c>
      <c r="J165" s="8" t="n">
        <f aca="false">J69/L69</f>
        <v>3.51274345263651E-005</v>
      </c>
      <c r="K165" s="8" t="n">
        <f aca="false">K69/L69</f>
        <v>0.000234182896842434</v>
      </c>
    </row>
    <row r="166" customFormat="false" ht="15" hidden="false" customHeight="false" outlineLevel="0" collapsed="false">
      <c r="A166" s="4" t="n">
        <v>2050</v>
      </c>
      <c r="B166" s="8" t="n">
        <f aca="false">B70/L70</f>
        <v>0.487439861562744</v>
      </c>
      <c r="C166" s="8" t="n">
        <f aca="false">C70/L70</f>
        <v>0.00392112118964763</v>
      </c>
      <c r="D166" s="8" t="n">
        <f aca="false">D70/L70</f>
        <v>0.487340977808204</v>
      </c>
      <c r="E166" s="8" t="n">
        <f aca="false">E70/L70</f>
        <v>0.000631334740525225</v>
      </c>
      <c r="F166" s="8" t="n">
        <f aca="false">F70/L70</f>
        <v>0.000315667370262612</v>
      </c>
      <c r="G166" s="8" t="n">
        <f aca="false">G70/L70</f>
        <v>0.0102230589309145</v>
      </c>
      <c r="H166" s="8" t="n">
        <f aca="false">H70/L70</f>
        <v>0.00986175290471029</v>
      </c>
      <c r="I166" s="8" t="n">
        <f aca="false">I70/L70</f>
        <v>0</v>
      </c>
      <c r="J166" s="8" t="n">
        <f aca="false">J70/L70</f>
        <v>3.42289919561869E-005</v>
      </c>
      <c r="K166" s="8" t="n">
        <f aca="false">K70/L70</f>
        <v>0.000231996501036378</v>
      </c>
    </row>
    <row r="169" customFormat="false" ht="15" hidden="false" customHeight="false" outlineLevel="0" collapsed="false">
      <c r="A169" s="10" t="s">
        <v>275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2"/>
    </row>
    <row r="170" customFormat="false" ht="26.85" hidden="false" customHeight="false" outlineLevel="0" collapsed="false">
      <c r="A170" s="3" t="s">
        <v>113</v>
      </c>
      <c r="B170" s="3" t="s">
        <v>260</v>
      </c>
      <c r="C170" s="3" t="s">
        <v>261</v>
      </c>
      <c r="D170" s="3" t="s">
        <v>262</v>
      </c>
      <c r="E170" s="3" t="s">
        <v>263</v>
      </c>
      <c r="F170" s="3" t="s">
        <v>264</v>
      </c>
      <c r="G170" s="3" t="s">
        <v>265</v>
      </c>
      <c r="H170" s="3" t="s">
        <v>266</v>
      </c>
      <c r="I170" s="3" t="s">
        <v>267</v>
      </c>
      <c r="J170" s="3" t="s">
        <v>268</v>
      </c>
      <c r="K170" s="3" t="s">
        <v>269</v>
      </c>
    </row>
    <row r="171" customFormat="false" ht="15" hidden="false" customHeight="false" outlineLevel="0" collapsed="false">
      <c r="A171" s="4" t="n">
        <v>2023</v>
      </c>
      <c r="B171" s="8" t="n">
        <f aca="false">B74/L74</f>
        <v>0.149961007130125</v>
      </c>
      <c r="C171" s="8" t="n">
        <f aca="false">C74/L74</f>
        <v>0.619841800356506</v>
      </c>
      <c r="D171" s="8" t="n">
        <f aca="false">D74/L74</f>
        <v>0.040274064171123</v>
      </c>
      <c r="E171" s="8" t="n">
        <f aca="false">E74/L74</f>
        <v>0.0999721479500891</v>
      </c>
      <c r="F171" s="8" t="n">
        <f aca="false">F74/L74</f>
        <v>0.0499888591800357</v>
      </c>
      <c r="G171" s="8" t="n">
        <f aca="false">G74/L74</f>
        <v>0.00999888591800357</v>
      </c>
      <c r="H171" s="8" t="n">
        <f aca="false">H74/L74</f>
        <v>0.019992201426025</v>
      </c>
      <c r="I171" s="8" t="n">
        <f aca="false">I74/L74</f>
        <v>0.00971479500891266</v>
      </c>
      <c r="J171" s="8" t="n">
        <f aca="false">J74/L74</f>
        <v>6.68449197860963E-005</v>
      </c>
      <c r="K171" s="8" t="n">
        <f aca="false">K74/L74</f>
        <v>0.000189393939393939</v>
      </c>
    </row>
    <row r="172" customFormat="false" ht="15" hidden="false" customHeight="false" outlineLevel="0" collapsed="false">
      <c r="A172" s="4" t="n">
        <v>2024</v>
      </c>
      <c r="B172" s="8" t="n">
        <f aca="false">B75/L75</f>
        <v>0.158971984009113</v>
      </c>
      <c r="C172" s="8" t="n">
        <f aca="false">C75/L75</f>
        <v>0.603932778656106</v>
      </c>
      <c r="D172" s="8" t="n">
        <f aca="false">D75/L75</f>
        <v>0.0515285562954801</v>
      </c>
      <c r="E172" s="8" t="n">
        <f aca="false">E75/L75</f>
        <v>0.0974091995507221</v>
      </c>
      <c r="F172" s="8" t="n">
        <f aca="false">F75/L75</f>
        <v>0.0487019381763788</v>
      </c>
      <c r="G172" s="8" t="n">
        <f aca="false">G75/L75</f>
        <v>0.0103270040509537</v>
      </c>
      <c r="H172" s="8" t="n">
        <f aca="false">H75/L75</f>
        <v>0.0194829045497373</v>
      </c>
      <c r="I172" s="8" t="n">
        <f aca="false">I75/L75</f>
        <v>0.00937947481328883</v>
      </c>
      <c r="J172" s="8" t="n">
        <f aca="false">J75/L75</f>
        <v>8.51711674305456E-005</v>
      </c>
      <c r="K172" s="8" t="n">
        <f aca="false">K75/L75</f>
        <v>0.000180988730789909</v>
      </c>
    </row>
    <row r="173" customFormat="false" ht="15" hidden="false" customHeight="false" outlineLevel="0" collapsed="false">
      <c r="A173" s="4" t="n">
        <v>2025</v>
      </c>
      <c r="B173" s="8" t="n">
        <f aca="false">B76/L76</f>
        <v>0.169754280614324</v>
      </c>
      <c r="C173" s="8" t="n">
        <f aca="false">C76/L76</f>
        <v>0.586894278241221</v>
      </c>
      <c r="D173" s="8" t="n">
        <f aca="false">D76/L76</f>
        <v>0.0638932309803497</v>
      </c>
      <c r="E173" s="8" t="n">
        <f aca="false">E76/L76</f>
        <v>0.0946610331254288</v>
      </c>
      <c r="F173" s="8" t="n">
        <f aca="false">F76/L76</f>
        <v>0.0473279371024407</v>
      </c>
      <c r="G173" s="8" t="n">
        <f aca="false">G76/L76</f>
        <v>0.00999798802098649</v>
      </c>
      <c r="H173" s="8" t="n">
        <f aca="false">H76/L76</f>
        <v>0.0189332384091953</v>
      </c>
      <c r="I173" s="8" t="n">
        <f aca="false">I76/L76</f>
        <v>0.0082594317964909</v>
      </c>
      <c r="J173" s="8" t="n">
        <f aca="false">J76/L76</f>
        <v>0.000103178410949293</v>
      </c>
      <c r="K173" s="8" t="n">
        <f aca="false">K76/L76</f>
        <v>0.000175403298613798</v>
      </c>
    </row>
    <row r="174" customFormat="false" ht="15" hidden="false" customHeight="false" outlineLevel="0" collapsed="false">
      <c r="A174" s="4" t="n">
        <v>2026</v>
      </c>
      <c r="B174" s="8" t="n">
        <f aca="false">B77/L77</f>
        <v>0.179575546856308</v>
      </c>
      <c r="C174" s="8" t="n">
        <f aca="false">C77/L77</f>
        <v>0.565426769360775</v>
      </c>
      <c r="D174" s="8" t="n">
        <f aca="false">D77/L77</f>
        <v>0.0792553489342856</v>
      </c>
      <c r="E174" s="8" t="n">
        <f aca="false">E77/L77</f>
        <v>0.0911978660259314</v>
      </c>
      <c r="F174" s="8" t="n">
        <f aca="false">F77/L77</f>
        <v>0.0455963877194679</v>
      </c>
      <c r="G174" s="8" t="n">
        <f aca="false">G77/L77</f>
        <v>0.00999282227233622</v>
      </c>
      <c r="H174" s="8" t="n">
        <f aca="false">H77/L77</f>
        <v>0.0182395732051863</v>
      </c>
      <c r="I174" s="8" t="n">
        <f aca="false">I77/L77</f>
        <v>0.00999282227233622</v>
      </c>
      <c r="J174" s="8" t="n">
        <f aca="false">J77/L77</f>
        <v>0.000549783395523338</v>
      </c>
      <c r="K174" s="8" t="n">
        <f aca="false">K77/L77</f>
        <v>0.00017307995784994</v>
      </c>
    </row>
    <row r="175" customFormat="false" ht="15" hidden="false" customHeight="false" outlineLevel="0" collapsed="false">
      <c r="A175" s="4" t="n">
        <v>2027</v>
      </c>
      <c r="B175" s="8" t="n">
        <f aca="false">B78/L78</f>
        <v>0.204676474890174</v>
      </c>
      <c r="C175" s="8" t="n">
        <f aca="false">C78/L78</f>
        <v>0.529280926418149</v>
      </c>
      <c r="D175" s="8" t="n">
        <f aca="false">D78/L78</f>
        <v>0.105245903293001</v>
      </c>
      <c r="E175" s="8" t="n">
        <f aca="false">E78/L78</f>
        <v>0.0853688675486334</v>
      </c>
      <c r="F175" s="8" t="n">
        <f aca="false">F78/L78</f>
        <v>0.0426844337743167</v>
      </c>
      <c r="G175" s="8" t="n">
        <f aca="false">G78/L78</f>
        <v>0.00998643257392734</v>
      </c>
      <c r="H175" s="8" t="n">
        <f aca="false">H78/L78</f>
        <v>0.0170727647791637</v>
      </c>
      <c r="I175" s="8" t="n">
        <f aca="false">I78/L78</f>
        <v>0.0044585890885615</v>
      </c>
      <c r="J175" s="8" t="n">
        <f aca="false">J78/L78</f>
        <v>0.001054123438359</v>
      </c>
      <c r="K175" s="8" t="n">
        <f aca="false">K78/L78</f>
        <v>0.000171484195713904</v>
      </c>
    </row>
    <row r="176" customFormat="false" ht="15" hidden="false" customHeight="false" outlineLevel="0" collapsed="false">
      <c r="A176" s="4" t="n">
        <v>2028</v>
      </c>
      <c r="B176" s="8" t="n">
        <f aca="false">B79/L79</f>
        <v>0.241670160308239</v>
      </c>
      <c r="C176" s="8" t="n">
        <f aca="false">C79/L79</f>
        <v>0.451243736399752</v>
      </c>
      <c r="D176" s="8" t="n">
        <f aca="false">D79/L79</f>
        <v>0.16161086821984</v>
      </c>
      <c r="E176" s="8" t="n">
        <f aca="false">E79/L79</f>
        <v>0.0727825357848715</v>
      </c>
      <c r="F176" s="8" t="n">
        <f aca="false">F79/L79</f>
        <v>0.0363887724341698</v>
      </c>
      <c r="G176" s="8" t="n">
        <f aca="false">G79/L79</f>
        <v>0.00998183306382384</v>
      </c>
      <c r="H176" s="8" t="n">
        <f aca="false">H79/L79</f>
        <v>0.0218402507436466</v>
      </c>
      <c r="I176" s="8" t="n">
        <f aca="false">I79/L79</f>
        <v>0.00270008584376435</v>
      </c>
      <c r="J176" s="8" t="n">
        <f aca="false">J79/L79</f>
        <v>0.00161206603980755</v>
      </c>
      <c r="K176" s="8" t="n">
        <f aca="false">K79/L79</f>
        <v>0.000169691162085005</v>
      </c>
    </row>
    <row r="177" customFormat="false" ht="15" hidden="false" customHeight="false" outlineLevel="0" collapsed="false">
      <c r="A177" s="4" t="n">
        <v>2029</v>
      </c>
      <c r="B177" s="8" t="n">
        <f aca="false">B80/L80</f>
        <v>0.319228680065182</v>
      </c>
      <c r="C177" s="8" t="n">
        <f aca="false">C80/L80</f>
        <v>0.309253864006716</v>
      </c>
      <c r="D177" s="8" t="n">
        <f aca="false">D80/L80</f>
        <v>0.264362253715866</v>
      </c>
      <c r="E177" s="8" t="n">
        <f aca="false">E80/L80</f>
        <v>0.049879018320083</v>
      </c>
      <c r="F177" s="8" t="n">
        <f aca="false">F80/L80</f>
        <v>0.0249419781739173</v>
      </c>
      <c r="G177" s="8" t="n">
        <f aca="false">G80/L80</f>
        <v>0.00997481605846625</v>
      </c>
      <c r="H177" s="8" t="n">
        <f aca="false">H80/L80</f>
        <v>0.0199595081724359</v>
      </c>
      <c r="I177" s="8" t="n">
        <f aca="false">I80/L80</f>
        <v>0</v>
      </c>
      <c r="J177" s="8" t="n">
        <f aca="false">J80/L80</f>
        <v>0.00223198854377562</v>
      </c>
      <c r="K177" s="8" t="n">
        <f aca="false">K80/L80</f>
        <v>0.000167892943558343</v>
      </c>
    </row>
    <row r="178" customFormat="false" ht="15" hidden="false" customHeight="false" outlineLevel="0" collapsed="false">
      <c r="A178" s="4" t="n">
        <v>2030</v>
      </c>
      <c r="B178" s="8" t="n">
        <f aca="false">B81/L81</f>
        <v>0.396668794614358</v>
      </c>
      <c r="C178" s="8" t="n">
        <f aca="false">C81/L81</f>
        <v>0.167430793337589</v>
      </c>
      <c r="D178" s="8" t="n">
        <f aca="false">D81/L81</f>
        <v>0.366964579343431</v>
      </c>
      <c r="E178" s="8" t="n">
        <f aca="false">E81/L81</f>
        <v>0.0270055906989341</v>
      </c>
      <c r="F178" s="8" t="n">
        <f aca="false">F81/L81</f>
        <v>0.013502795349467</v>
      </c>
      <c r="G178" s="8" t="n">
        <f aca="false">G81/L81</f>
        <v>0.00996750043526203</v>
      </c>
      <c r="H178" s="8" t="n">
        <f aca="false">H81/L81</f>
        <v>0.0154082757820208</v>
      </c>
      <c r="I178" s="8" t="n">
        <f aca="false">I81/L81</f>
        <v>0</v>
      </c>
      <c r="J178" s="8" t="n">
        <f aca="false">J81/L81</f>
        <v>0.00288723811734664</v>
      </c>
      <c r="K178" s="8" t="n">
        <f aca="false">K81/L81</f>
        <v>0.000164432321590931</v>
      </c>
    </row>
    <row r="179" customFormat="false" ht="15" hidden="false" customHeight="false" outlineLevel="0" collapsed="false">
      <c r="A179" s="4" t="n">
        <v>2031</v>
      </c>
      <c r="B179" s="8" t="n">
        <f aca="false">B82/L82</f>
        <v>0.43891431976387</v>
      </c>
      <c r="C179" s="8" t="n">
        <f aca="false">C82/L82</f>
        <v>0.0897219745855486</v>
      </c>
      <c r="D179" s="8" t="n">
        <f aca="false">D82/L82</f>
        <v>0.42299217981348</v>
      </c>
      <c r="E179" s="8" t="n">
        <f aca="false">E82/L82</f>
        <v>0.0144717332360237</v>
      </c>
      <c r="F179" s="8" t="n">
        <f aca="false">F82/L82</f>
        <v>0.00723355705318004</v>
      </c>
      <c r="G179" s="8" t="n">
        <f aca="false">G82/L82</f>
        <v>0.00996346268436101</v>
      </c>
      <c r="H179" s="8" t="n">
        <f aca="false">H82/L82</f>
        <v>0.0130398030403111</v>
      </c>
      <c r="I179" s="8" t="n">
        <f aca="false">I82/L82</f>
        <v>0</v>
      </c>
      <c r="J179" s="8" t="n">
        <f aca="false">J82/L82</f>
        <v>0.0035013002850003</v>
      </c>
      <c r="K179" s="8" t="n">
        <f aca="false">K82/L82</f>
        <v>0.000161669538225608</v>
      </c>
    </row>
    <row r="180" customFormat="false" ht="15" hidden="false" customHeight="false" outlineLevel="0" collapsed="false">
      <c r="A180" s="4" t="n">
        <v>2032</v>
      </c>
      <c r="B180" s="8" t="n">
        <f aca="false">B83/L83</f>
        <v>0.458145491573475</v>
      </c>
      <c r="C180" s="8" t="n">
        <f aca="false">C83/L83</f>
        <v>0.0539145101311192</v>
      </c>
      <c r="D180" s="8" t="n">
        <f aca="false">D83/L83</f>
        <v>0.448581822749151</v>
      </c>
      <c r="E180" s="8" t="n">
        <f aca="false">E83/L83</f>
        <v>0.00869342879059064</v>
      </c>
      <c r="F180" s="8" t="n">
        <f aca="false">F83/L83</f>
        <v>0.00434671439529532</v>
      </c>
      <c r="G180" s="8" t="n">
        <f aca="false">G83/L83</f>
        <v>0.00995393110749259</v>
      </c>
      <c r="H180" s="8" t="n">
        <f aca="false">H83/L83</f>
        <v>0.0119994437641022</v>
      </c>
      <c r="I180" s="8" t="n">
        <f aca="false">I83/L83</f>
        <v>0</v>
      </c>
      <c r="J180" s="8" t="n">
        <f aca="false">J83/L83</f>
        <v>0.00420765542083283</v>
      </c>
      <c r="K180" s="8" t="n">
        <f aca="false">K83/L83</f>
        <v>0.000157002067941523</v>
      </c>
    </row>
    <row r="181" customFormat="false" ht="15" hidden="false" customHeight="false" outlineLevel="0" collapsed="false">
      <c r="A181" s="4" t="n">
        <v>2033</v>
      </c>
      <c r="B181" s="8" t="n">
        <f aca="false">B84/L84</f>
        <v>0.469346716685255</v>
      </c>
      <c r="C181" s="8" t="n">
        <f aca="false">C84/L84</f>
        <v>0.0327613302240698</v>
      </c>
      <c r="D181" s="8" t="n">
        <f aca="false">D84/L84</f>
        <v>0.463533745648721</v>
      </c>
      <c r="E181" s="8" t="n">
        <f aca="false">E84/L84</f>
        <v>0.00528490317347663</v>
      </c>
      <c r="F181" s="8" t="n">
        <f aca="false">F84/L84</f>
        <v>0.00264033931528609</v>
      </c>
      <c r="G181" s="8" t="n">
        <f aca="false">G84/L84</f>
        <v>0.00994457399709352</v>
      </c>
      <c r="H181" s="8" t="n">
        <f aca="false">H84/L84</f>
        <v>0.0115330021291696</v>
      </c>
      <c r="I181" s="8" t="n">
        <f aca="false">I84/L84</f>
        <v>0</v>
      </c>
      <c r="J181" s="8" t="n">
        <f aca="false">J84/L84</f>
        <v>0.00480330528236845</v>
      </c>
      <c r="K181" s="8" t="n">
        <f aca="false">K84/L84</f>
        <v>0.000152083544560479</v>
      </c>
    </row>
    <row r="182" customFormat="false" ht="15" hidden="false" customHeight="false" outlineLevel="0" collapsed="false">
      <c r="A182" s="4" t="n">
        <v>2034</v>
      </c>
      <c r="B182" s="8" t="n">
        <f aca="false">B85/L85</f>
        <v>0.478228957965523</v>
      </c>
      <c r="C182" s="8" t="n">
        <f aca="false">C85/L85</f>
        <v>0.0158060740711353</v>
      </c>
      <c r="D182" s="8" t="n">
        <f aca="false">D85/L85</f>
        <v>0.475424014599988</v>
      </c>
      <c r="E182" s="8" t="n">
        <f aca="false">E85/L85</f>
        <v>0.0025510305290512</v>
      </c>
      <c r="F182" s="8" t="n">
        <f aca="false">F85/L85</f>
        <v>0.00127353157049057</v>
      </c>
      <c r="G182" s="8" t="n">
        <f aca="false">G85/L85</f>
        <v>0.0109499910733768</v>
      </c>
      <c r="H182" s="8" t="n">
        <f aca="false">H85/L85</f>
        <v>0.0102437959969054</v>
      </c>
      <c r="I182" s="8" t="n">
        <f aca="false">I85/L85</f>
        <v>0</v>
      </c>
      <c r="J182" s="8" t="n">
        <f aca="false">J85/L85</f>
        <v>0.00537977822300688</v>
      </c>
      <c r="K182" s="8" t="n">
        <f aca="false">K85/L85</f>
        <v>0.000142825970522307</v>
      </c>
    </row>
    <row r="183" customFormat="false" ht="15" hidden="false" customHeight="false" outlineLevel="0" collapsed="false">
      <c r="A183" s="4" t="n">
        <v>2035</v>
      </c>
      <c r="B183" s="8" t="n">
        <f aca="false">B86/L86</f>
        <v>0.486470083192705</v>
      </c>
      <c r="C183" s="8" t="n">
        <f aca="false">C86/L86</f>
        <v>0</v>
      </c>
      <c r="D183" s="8" t="n">
        <f aca="false">D86/L86</f>
        <v>0.486470083192705</v>
      </c>
      <c r="E183" s="8" t="n">
        <f aca="false">E86/L86</f>
        <v>0</v>
      </c>
      <c r="F183" s="8" t="n">
        <f aca="false">F86/L86</f>
        <v>0</v>
      </c>
      <c r="G183" s="8" t="n">
        <f aca="false">G86/L86</f>
        <v>0.0170604257334873</v>
      </c>
      <c r="H183" s="8" t="n">
        <f aca="false">H86/L86</f>
        <v>0.00394869289753382</v>
      </c>
      <c r="I183" s="8" t="n">
        <f aca="false">I86/L86</f>
        <v>0</v>
      </c>
      <c r="J183" s="8" t="n">
        <f aca="false">J86/L86</f>
        <v>0.0059137874885277</v>
      </c>
      <c r="K183" s="8" t="n">
        <f aca="false">K86/L86</f>
        <v>0.000136927495041004</v>
      </c>
    </row>
    <row r="184" customFormat="false" ht="15" hidden="false" customHeight="false" outlineLevel="0" collapsed="false">
      <c r="A184" s="4" t="n">
        <v>2036</v>
      </c>
      <c r="B184" s="8" t="n">
        <f aca="false">B87/L87</f>
        <v>0.486515676122105</v>
      </c>
      <c r="C184" s="8" t="n">
        <f aca="false">C87/L87</f>
        <v>0</v>
      </c>
      <c r="D184" s="8" t="n">
        <f aca="false">D87/L87</f>
        <v>0.486515676122105</v>
      </c>
      <c r="E184" s="8" t="n">
        <f aca="false">E87/L87</f>
        <v>0</v>
      </c>
      <c r="F184" s="8" t="n">
        <f aca="false">F87/L87</f>
        <v>0</v>
      </c>
      <c r="G184" s="8" t="n">
        <f aca="false">G87/L87</f>
        <v>0.0169696713008552</v>
      </c>
      <c r="H184" s="8" t="n">
        <f aca="false">H87/L87</f>
        <v>0.00408006240095437</v>
      </c>
      <c r="I184" s="8" t="n">
        <f aca="false">I87/L87</f>
        <v>0</v>
      </c>
      <c r="J184" s="8" t="n">
        <f aca="false">J87/L87</f>
        <v>0.00578479435567838</v>
      </c>
      <c r="K184" s="8" t="n">
        <f aca="false">K87/L87</f>
        <v>0.000134119698301268</v>
      </c>
    </row>
    <row r="185" customFormat="false" ht="15" hidden="false" customHeight="false" outlineLevel="0" collapsed="false">
      <c r="A185" s="4" t="n">
        <v>2037</v>
      </c>
      <c r="B185" s="8" t="n">
        <f aca="false">B88/L88</f>
        <v>0.486573955826802</v>
      </c>
      <c r="C185" s="8" t="n">
        <f aca="false">C88/L88</f>
        <v>0</v>
      </c>
      <c r="D185" s="8" t="n">
        <f aca="false">D88/L88</f>
        <v>0.486573955826802</v>
      </c>
      <c r="E185" s="8" t="n">
        <f aca="false">E88/L88</f>
        <v>0</v>
      </c>
      <c r="F185" s="8" t="n">
        <f aca="false">F88/L88</f>
        <v>0</v>
      </c>
      <c r="G185" s="8" t="n">
        <f aca="false">G88/L88</f>
        <v>0.0168539703450779</v>
      </c>
      <c r="H185" s="8" t="n">
        <f aca="false">H88/L88</f>
        <v>0.00396227936926159</v>
      </c>
      <c r="I185" s="8" t="n">
        <f aca="false">I88/L88</f>
        <v>0.000258774818857627</v>
      </c>
      <c r="J185" s="8" t="n">
        <f aca="false">J88/L88</f>
        <v>0.00564935675973598</v>
      </c>
      <c r="K185" s="8" t="n">
        <f aca="false">K88/L88</f>
        <v>0.000127707053462205</v>
      </c>
    </row>
    <row r="186" customFormat="false" ht="15" hidden="false" customHeight="false" outlineLevel="0" collapsed="false">
      <c r="A186" s="4" t="n">
        <v>2038</v>
      </c>
      <c r="B186" s="8" t="n">
        <f aca="false">B89/L89</f>
        <v>0.486617613983228</v>
      </c>
      <c r="C186" s="8" t="n">
        <f aca="false">C89/L89</f>
        <v>0</v>
      </c>
      <c r="D186" s="8" t="n">
        <f aca="false">D89/L89</f>
        <v>0.486617613983228</v>
      </c>
      <c r="E186" s="8" t="n">
        <f aca="false">E89/L89</f>
        <v>0</v>
      </c>
      <c r="F186" s="8" t="n">
        <f aca="false">F89/L89</f>
        <v>0</v>
      </c>
      <c r="G186" s="8" t="n">
        <f aca="false">G89/L89</f>
        <v>0.0167625228930373</v>
      </c>
      <c r="H186" s="8" t="n">
        <f aca="false">H89/L89</f>
        <v>0.00390707836648138</v>
      </c>
      <c r="I186" s="8" t="n">
        <f aca="false">I89/L89</f>
        <v>0.000430549754201073</v>
      </c>
      <c r="J186" s="8" t="n">
        <f aca="false">J89/L89</f>
        <v>0.00553931176300485</v>
      </c>
      <c r="K186" s="8" t="n">
        <f aca="false">K89/L89</f>
        <v>0.000125309256819715</v>
      </c>
    </row>
    <row r="187" customFormat="false" ht="15" hidden="false" customHeight="false" outlineLevel="0" collapsed="false">
      <c r="A187" s="4" t="n">
        <v>2039</v>
      </c>
      <c r="B187" s="8" t="n">
        <f aca="false">B90/L90</f>
        <v>0.486643061065589</v>
      </c>
      <c r="C187" s="8" t="n">
        <f aca="false">C90/L90</f>
        <v>0</v>
      </c>
      <c r="D187" s="8" t="n">
        <f aca="false">D90/L90</f>
        <v>0.486643061065589</v>
      </c>
      <c r="E187" s="8" t="n">
        <f aca="false">E90/L90</f>
        <v>0</v>
      </c>
      <c r="F187" s="8" t="n">
        <f aca="false">F90/L90</f>
        <v>0</v>
      </c>
      <c r="G187" s="8" t="n">
        <f aca="false">G90/L90</f>
        <v>0.0167123947944088</v>
      </c>
      <c r="H187" s="8" t="n">
        <f aca="false">H90/L90</f>
        <v>0.00362426309740091</v>
      </c>
      <c r="I187" s="8" t="n">
        <f aca="false">I90/L90</f>
        <v>0.000794062758765588</v>
      </c>
      <c r="J187" s="8" t="n">
        <f aca="false">J90/L90</f>
        <v>0.00545956768380854</v>
      </c>
      <c r="K187" s="8" t="n">
        <f aca="false">K90/L90</f>
        <v>0.000123589534438224</v>
      </c>
    </row>
    <row r="188" customFormat="false" ht="15" hidden="false" customHeight="false" outlineLevel="0" collapsed="false">
      <c r="A188" s="4" t="n">
        <v>2040</v>
      </c>
      <c r="B188" s="8" t="n">
        <f aca="false">B91/L91</f>
        <v>0.486651285431773</v>
      </c>
      <c r="C188" s="8" t="n">
        <f aca="false">C91/L91</f>
        <v>0</v>
      </c>
      <c r="D188" s="8" t="n">
        <f aca="false">D91/L91</f>
        <v>0.486651285431773</v>
      </c>
      <c r="E188" s="8" t="n">
        <f aca="false">E91/L91</f>
        <v>0</v>
      </c>
      <c r="F188" s="8" t="n">
        <f aca="false">F91/L91</f>
        <v>0</v>
      </c>
      <c r="G188" s="8" t="n">
        <f aca="false">G91/L91</f>
        <v>0.0166956313297777</v>
      </c>
      <c r="H188" s="8" t="n">
        <f aca="false">H91/L91</f>
        <v>0.00360759872954995</v>
      </c>
      <c r="I188" s="8" t="n">
        <f aca="false">I91/L91</f>
        <v>0.000847965482111823</v>
      </c>
      <c r="J188" s="8" t="n">
        <f aca="false">J91/L91</f>
        <v>0.00542338347216396</v>
      </c>
      <c r="K188" s="8" t="n">
        <f aca="false">K91/L91</f>
        <v>0.000122850122850123</v>
      </c>
    </row>
    <row r="189" customFormat="false" ht="15" hidden="false" customHeight="false" outlineLevel="0" collapsed="false">
      <c r="A189" s="4" t="n">
        <v>2041</v>
      </c>
      <c r="B189" s="8" t="n">
        <f aca="false">B92/L92</f>
        <v>0.486649025045523</v>
      </c>
      <c r="C189" s="8" t="n">
        <f aca="false">C92/L92</f>
        <v>0</v>
      </c>
      <c r="D189" s="8" t="n">
        <f aca="false">D92/L92</f>
        <v>0.486649025045523</v>
      </c>
      <c r="E189" s="8" t="n">
        <f aca="false">E92/L92</f>
        <v>0</v>
      </c>
      <c r="F189" s="8" t="n">
        <f aca="false">F92/L92</f>
        <v>0</v>
      </c>
      <c r="G189" s="8" t="n">
        <f aca="false">G92/L92</f>
        <v>0.0166999010183852</v>
      </c>
      <c r="H189" s="8" t="n">
        <f aca="false">H92/L92</f>
        <v>0.00371397487656156</v>
      </c>
      <c r="I189" s="8" t="n">
        <f aca="false">I92/L92</f>
        <v>0.000816670466252464</v>
      </c>
      <c r="J189" s="8" t="n">
        <f aca="false">J92/L92</f>
        <v>0.00535308733179619</v>
      </c>
      <c r="K189" s="8" t="n">
        <f aca="false">K92/L92</f>
        <v>0.000118316215958838</v>
      </c>
    </row>
    <row r="190" customFormat="false" ht="15" hidden="false" customHeight="false" outlineLevel="0" collapsed="false">
      <c r="A190" s="4" t="n">
        <v>2042</v>
      </c>
      <c r="B190" s="8" t="n">
        <f aca="false">B93/L93</f>
        <v>0.486643258426966</v>
      </c>
      <c r="C190" s="8" t="n">
        <f aca="false">C93/L93</f>
        <v>0</v>
      </c>
      <c r="D190" s="8" t="n">
        <f aca="false">D93/L93</f>
        <v>0.486643258426966</v>
      </c>
      <c r="E190" s="8" t="n">
        <f aca="false">E93/L93</f>
        <v>0</v>
      </c>
      <c r="F190" s="8" t="n">
        <f aca="false">F93/L93</f>
        <v>0</v>
      </c>
      <c r="G190" s="8" t="n">
        <f aca="false">G93/L93</f>
        <v>0.0167134831460674</v>
      </c>
      <c r="H190" s="8" t="n">
        <f aca="false">H93/L93</f>
        <v>0.00375</v>
      </c>
      <c r="I190" s="8" t="n">
        <f aca="false">I93/L93</f>
        <v>0.000794943820224719</v>
      </c>
      <c r="J190" s="8" t="n">
        <f aca="false">J93/L93</f>
        <v>0.00533707865168539</v>
      </c>
      <c r="K190" s="8" t="n">
        <f aca="false">K93/L93</f>
        <v>0.000117977528089888</v>
      </c>
    </row>
    <row r="191" customFormat="false" ht="15" hidden="false" customHeight="false" outlineLevel="0" collapsed="false">
      <c r="A191" s="4" t="n">
        <v>2043</v>
      </c>
      <c r="B191" s="8" t="n">
        <f aca="false">B94/L94</f>
        <v>0.486636487573938</v>
      </c>
      <c r="C191" s="8" t="n">
        <f aca="false">C94/L94</f>
        <v>0</v>
      </c>
      <c r="D191" s="8" t="n">
        <f aca="false">D94/L94</f>
        <v>0.486636487573938</v>
      </c>
      <c r="E191" s="8" t="n">
        <f aca="false">E94/L94</f>
        <v>0</v>
      </c>
      <c r="F191" s="8" t="n">
        <f aca="false">F94/L94</f>
        <v>0</v>
      </c>
      <c r="G191" s="8" t="n">
        <f aca="false">G94/L94</f>
        <v>0.0167275502669937</v>
      </c>
      <c r="H191" s="8" t="n">
        <f aca="false">H94/L94</f>
        <v>0.00371661887234907</v>
      </c>
      <c r="I191" s="8" t="n">
        <f aca="false">I94/L94</f>
        <v>0.000782591622674693</v>
      </c>
      <c r="J191" s="8" t="n">
        <f aca="false">J94/L94</f>
        <v>0.0053813544089221</v>
      </c>
      <c r="K191" s="8" t="n">
        <f aca="false">K94/L94</f>
        <v>0.000118909681183787</v>
      </c>
    </row>
    <row r="192" customFormat="false" ht="15" hidden="false" customHeight="false" outlineLevel="0" collapsed="false">
      <c r="A192" s="4" t="n">
        <v>2044</v>
      </c>
      <c r="B192" s="8" t="n">
        <f aca="false">B95/L95</f>
        <v>0.486629358263111</v>
      </c>
      <c r="C192" s="8" t="n">
        <f aca="false">C95/L95</f>
        <v>0</v>
      </c>
      <c r="D192" s="8" t="n">
        <f aca="false">D95/L95</f>
        <v>0.486629358263111</v>
      </c>
      <c r="E192" s="8" t="n">
        <f aca="false">E95/L95</f>
        <v>0</v>
      </c>
      <c r="F192" s="8" t="n">
        <f aca="false">F95/L95</f>
        <v>0</v>
      </c>
      <c r="G192" s="8" t="n">
        <f aca="false">G95/L95</f>
        <v>0.0167429548039961</v>
      </c>
      <c r="H192" s="8" t="n">
        <f aca="false">H95/L95</f>
        <v>0.00390606045902276</v>
      </c>
      <c r="I192" s="8" t="n">
        <f aca="false">I95/L95</f>
        <v>0.000601139739380314</v>
      </c>
      <c r="J192" s="8" t="n">
        <f aca="false">J95/L95</f>
        <v>0.0053725179398429</v>
      </c>
      <c r="K192" s="8" t="n">
        <f aca="false">K95/L95</f>
        <v>0.000118610531536923</v>
      </c>
    </row>
    <row r="193" customFormat="false" ht="15" hidden="false" customHeight="false" outlineLevel="0" collapsed="false">
      <c r="A193" s="4" t="n">
        <v>2045</v>
      </c>
      <c r="B193" s="8" t="n">
        <f aca="false">B96/L96</f>
        <v>0.486617550322326</v>
      </c>
      <c r="C193" s="8" t="n">
        <f aca="false">C96/L96</f>
        <v>0</v>
      </c>
      <c r="D193" s="8" t="n">
        <f aca="false">D96/L96</f>
        <v>0.486617550322326</v>
      </c>
      <c r="E193" s="8" t="n">
        <f aca="false">E96/L96</f>
        <v>0</v>
      </c>
      <c r="F193" s="8" t="n">
        <f aca="false">F96/L96</f>
        <v>0</v>
      </c>
      <c r="G193" s="8" t="n">
        <f aca="false">G96/L96</f>
        <v>0.0167662149717143</v>
      </c>
      <c r="H193" s="8" t="n">
        <f aca="false">H96/L96</f>
        <v>0.0043810024996711</v>
      </c>
      <c r="I193" s="8" t="n">
        <f aca="false">I96/L96</f>
        <v>0.000128930403894224</v>
      </c>
      <c r="J193" s="8" t="n">
        <f aca="false">J96/L96</f>
        <v>0.00537034600710433</v>
      </c>
      <c r="K193" s="8" t="n">
        <f aca="false">K96/L96</f>
        <v>0.000118405472964084</v>
      </c>
    </row>
    <row r="194" customFormat="false" ht="15" hidden="false" customHeight="false" outlineLevel="0" collapsed="false">
      <c r="A194" s="4" t="n">
        <v>2046</v>
      </c>
      <c r="B194" s="8" t="n">
        <f aca="false">B97/L97</f>
        <v>0.486610134245246</v>
      </c>
      <c r="C194" s="8" t="n">
        <f aca="false">C97/L97</f>
        <v>0</v>
      </c>
      <c r="D194" s="8" t="n">
        <f aca="false">D97/L97</f>
        <v>0.486610134245246</v>
      </c>
      <c r="E194" s="8" t="n">
        <f aca="false">E97/L97</f>
        <v>0</v>
      </c>
      <c r="F194" s="8" t="n">
        <f aca="false">F97/L97</f>
        <v>0</v>
      </c>
      <c r="G194" s="8" t="n">
        <f aca="false">G97/L97</f>
        <v>0.016780013914883</v>
      </c>
      <c r="H194" s="8" t="n">
        <f aca="false">H97/L97</f>
        <v>0.00438755259800108</v>
      </c>
      <c r="I194" s="8" t="n">
        <f aca="false">I97/L97</f>
        <v>0.000125798757929815</v>
      </c>
      <c r="J194" s="8" t="n">
        <f aca="false">J97/L97</f>
        <v>0.00536826944553556</v>
      </c>
      <c r="K194" s="8" t="n">
        <f aca="false">K97/L97</f>
        <v>0.000118096793158601</v>
      </c>
    </row>
    <row r="195" customFormat="false" ht="15" hidden="false" customHeight="false" outlineLevel="0" collapsed="false">
      <c r="A195" s="4" t="n">
        <v>2047</v>
      </c>
      <c r="B195" s="8" t="n">
        <f aca="false">B98/L98</f>
        <v>0.48660204887713</v>
      </c>
      <c r="C195" s="8" t="n">
        <f aca="false">C98/L98</f>
        <v>0</v>
      </c>
      <c r="D195" s="8" t="n">
        <f aca="false">D98/L98</f>
        <v>0.48660204887713</v>
      </c>
      <c r="E195" s="8" t="n">
        <f aca="false">E98/L98</f>
        <v>0</v>
      </c>
      <c r="F195" s="8" t="n">
        <f aca="false">F98/L98</f>
        <v>0</v>
      </c>
      <c r="G195" s="8" t="n">
        <f aca="false">G98/L98</f>
        <v>0.0167972815387895</v>
      </c>
      <c r="H195" s="8" t="n">
        <f aca="false">H98/L98</f>
        <v>0.0043886597033266</v>
      </c>
      <c r="I195" s="8" t="n">
        <f aca="false">I98/L98</f>
        <v>0.000122882471693145</v>
      </c>
      <c r="J195" s="8" t="n">
        <f aca="false">J98/L98</f>
        <v>0.00536921167132701</v>
      </c>
      <c r="K195" s="8" t="n">
        <f aca="false">K98/L98</f>
        <v>0.000117866860603629</v>
      </c>
    </row>
    <row r="196" customFormat="false" ht="15" hidden="false" customHeight="false" outlineLevel="0" collapsed="false">
      <c r="A196" s="4" t="n">
        <v>2048</v>
      </c>
      <c r="B196" s="8" t="n">
        <f aca="false">B99/L99</f>
        <v>0.486593110212088</v>
      </c>
      <c r="C196" s="8" t="n">
        <f aca="false">C99/L99</f>
        <v>0</v>
      </c>
      <c r="D196" s="8" t="n">
        <f aca="false">D99/L99</f>
        <v>0.486593110212088</v>
      </c>
      <c r="E196" s="8" t="n">
        <f aca="false">E99/L99</f>
        <v>0</v>
      </c>
      <c r="F196" s="8" t="n">
        <f aca="false">F99/L99</f>
        <v>0</v>
      </c>
      <c r="G196" s="8" t="n">
        <f aca="false">G99/L99</f>
        <v>0.0168150055167341</v>
      </c>
      <c r="H196" s="8" t="n">
        <f aca="false">H99/L99</f>
        <v>0.0043839646929018</v>
      </c>
      <c r="I196" s="8" t="n">
        <f aca="false">I99/L99</f>
        <v>0.000120142209145519</v>
      </c>
      <c r="J196" s="8" t="n">
        <f aca="false">J99/L99</f>
        <v>0.00537697682971681</v>
      </c>
      <c r="K196" s="8" t="n">
        <f aca="false">K99/L99</f>
        <v>0.000117690327326223</v>
      </c>
    </row>
    <row r="197" customFormat="false" ht="15" hidden="false" customHeight="false" outlineLevel="0" collapsed="false">
      <c r="A197" s="4" t="n">
        <v>2049</v>
      </c>
      <c r="B197" s="8" t="n">
        <f aca="false">B100/L100</f>
        <v>0.486582802180925</v>
      </c>
      <c r="C197" s="8" t="n">
        <f aca="false">C100/L100</f>
        <v>0</v>
      </c>
      <c r="D197" s="8" t="n">
        <f aca="false">D100/L100</f>
        <v>0.486582802180925</v>
      </c>
      <c r="E197" s="8" t="n">
        <f aca="false">E100/L100</f>
        <v>0</v>
      </c>
      <c r="F197" s="8" t="n">
        <f aca="false">F100/L100</f>
        <v>0</v>
      </c>
      <c r="G197" s="8" t="n">
        <f aca="false">G100/L100</f>
        <v>0.01683449162955</v>
      </c>
      <c r="H197" s="8" t="n">
        <f aca="false">H100/L100</f>
        <v>0.00437240823222239</v>
      </c>
      <c r="I197" s="8" t="n">
        <f aca="false">I100/L100</f>
        <v>0.000117589463984027</v>
      </c>
      <c r="J197" s="8" t="n">
        <f aca="false">J100/L100</f>
        <v>0.00538991706343112</v>
      </c>
      <c r="K197" s="8" t="n">
        <f aca="false">K100/L100</f>
        <v>0.000119989248963293</v>
      </c>
    </row>
    <row r="198" customFormat="false" ht="15" hidden="false" customHeight="false" outlineLevel="0" collapsed="false">
      <c r="A198" s="4" t="n">
        <v>2050</v>
      </c>
      <c r="B198" s="8" t="n">
        <f aca="false">B101/L101</f>
        <v>0.486571983896252</v>
      </c>
      <c r="C198" s="8" t="n">
        <f aca="false">C101/L101</f>
        <v>0</v>
      </c>
      <c r="D198" s="8" t="n">
        <f aca="false">D101/L101</f>
        <v>0.486571983896252</v>
      </c>
      <c r="E198" s="8" t="n">
        <f aca="false">E101/L101</f>
        <v>0</v>
      </c>
      <c r="F198" s="8" t="n">
        <f aca="false">F101/L101</f>
        <v>0</v>
      </c>
      <c r="G198" s="8" t="n">
        <f aca="false">G101/L101</f>
        <v>0.0168558206871591</v>
      </c>
      <c r="H198" s="8" t="n">
        <f aca="false">H101/L101</f>
        <v>0.00435966918219187</v>
      </c>
      <c r="I198" s="8" t="n">
        <f aca="false">I101/L101</f>
        <v>0.000115161072737144</v>
      </c>
      <c r="J198" s="8" t="n">
        <f aca="false">J101/L101</f>
        <v>0.00540551974072307</v>
      </c>
      <c r="K198" s="8" t="n">
        <f aca="false">K101/L101</f>
        <v>0.000119861524685599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276</v>
      </c>
    </row>
    <row r="2" customFormat="false" ht="15" hidden="false" customHeight="false" outlineLevel="0" collapsed="false">
      <c r="A2" s="22" t="s">
        <v>277</v>
      </c>
    </row>
    <row r="4" customFormat="false" ht="15" hidden="false" customHeight="false" outlineLevel="0" collapsed="false">
      <c r="A4" s="22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279</v>
      </c>
    </row>
    <row r="2" customFormat="false" ht="15" hidden="false" customHeight="false" outlineLevel="0" collapsed="false">
      <c r="A2" s="22" t="s">
        <v>280</v>
      </c>
    </row>
    <row r="3" customFormat="false" ht="39.55" hidden="false" customHeight="false" outlineLevel="0" collapsed="false">
      <c r="A3" s="3" t="s">
        <v>113</v>
      </c>
      <c r="B3" s="3" t="s">
        <v>281</v>
      </c>
      <c r="C3" s="3" t="s">
        <v>282</v>
      </c>
      <c r="D3" s="3" t="s">
        <v>283</v>
      </c>
      <c r="E3" s="3" t="s">
        <v>284</v>
      </c>
      <c r="F3" s="3" t="s">
        <v>285</v>
      </c>
      <c r="G3" s="3" t="s">
        <v>286</v>
      </c>
      <c r="H3" s="3" t="s">
        <v>287</v>
      </c>
      <c r="I3" s="3" t="s">
        <v>288</v>
      </c>
      <c r="J3" s="3" t="s">
        <v>289</v>
      </c>
      <c r="K3" s="3" t="s">
        <v>290</v>
      </c>
      <c r="L3" s="3" t="s">
        <v>291</v>
      </c>
      <c r="M3" s="3" t="s">
        <v>292</v>
      </c>
      <c r="N3" s="3" t="s">
        <v>293</v>
      </c>
      <c r="O3" s="3" t="s">
        <v>294</v>
      </c>
      <c r="P3" s="3" t="s">
        <v>295</v>
      </c>
      <c r="Q3" s="3" t="s">
        <v>296</v>
      </c>
      <c r="R3" s="3" t="s">
        <v>297</v>
      </c>
      <c r="S3" s="3" t="s">
        <v>298</v>
      </c>
      <c r="T3" s="3" t="s">
        <v>299</v>
      </c>
      <c r="U3" s="3" t="s">
        <v>300</v>
      </c>
      <c r="V3" s="3" t="s">
        <v>301</v>
      </c>
      <c r="W3" s="3" t="s">
        <v>302</v>
      </c>
      <c r="X3" s="3" t="s">
        <v>303</v>
      </c>
      <c r="Y3" s="3" t="s">
        <v>304</v>
      </c>
      <c r="Z3" s="3" t="s">
        <v>305</v>
      </c>
    </row>
    <row r="4" customFormat="false" ht="15" hidden="false" customHeight="false" outlineLevel="0" collapsed="false">
      <c r="A4" s="4" t="n">
        <v>2018</v>
      </c>
      <c r="B4" s="29" t="n">
        <v>0</v>
      </c>
      <c r="C4" s="29" t="n">
        <v>0</v>
      </c>
      <c r="D4" s="29" t="n">
        <v>0.007</v>
      </c>
      <c r="E4" s="29" t="n">
        <v>81.009</v>
      </c>
      <c r="F4" s="29" t="n">
        <v>401.216</v>
      </c>
      <c r="G4" s="29" t="n">
        <v>24.016</v>
      </c>
      <c r="H4" s="29" t="n">
        <v>0</v>
      </c>
      <c r="I4" s="29" t="n">
        <v>171.17</v>
      </c>
      <c r="J4" s="29" t="n">
        <v>118.686</v>
      </c>
      <c r="K4" s="29" t="n">
        <v>0</v>
      </c>
      <c r="L4" s="29" t="n">
        <v>77.367</v>
      </c>
      <c r="M4" s="29" t="n">
        <v>0</v>
      </c>
      <c r="N4" s="29" t="n">
        <v>156.208</v>
      </c>
      <c r="O4" s="29" t="n">
        <v>0</v>
      </c>
      <c r="P4" s="29" t="n">
        <v>42.804</v>
      </c>
      <c r="Q4" s="29" t="n">
        <v>33.868</v>
      </c>
      <c r="R4" s="29" t="n">
        <v>0</v>
      </c>
      <c r="S4" s="29" t="n">
        <v>526.469</v>
      </c>
      <c r="T4" s="29" t="n">
        <v>0</v>
      </c>
      <c r="U4" s="29" t="n">
        <v>49.126</v>
      </c>
      <c r="V4" s="29" t="n">
        <v>0</v>
      </c>
      <c r="W4" s="29" t="n">
        <v>6.325</v>
      </c>
      <c r="X4" s="29" t="n">
        <v>0.033</v>
      </c>
      <c r="Y4" s="29" t="n">
        <v>2.843</v>
      </c>
      <c r="Z4" s="29" t="n">
        <v>21.688</v>
      </c>
    </row>
    <row r="5" customFormat="false" ht="15" hidden="false" customHeight="false" outlineLevel="0" collapsed="false">
      <c r="A5" s="4" t="n">
        <v>2019</v>
      </c>
      <c r="B5" s="29" t="n">
        <v>0</v>
      </c>
      <c r="C5" s="29" t="n">
        <v>0</v>
      </c>
      <c r="D5" s="29" t="n">
        <v>0.011</v>
      </c>
      <c r="E5" s="29" t="n">
        <v>100.036</v>
      </c>
      <c r="F5" s="29" t="n">
        <v>460.873</v>
      </c>
      <c r="G5" s="29" t="n">
        <v>24.229</v>
      </c>
      <c r="H5" s="29" t="n">
        <v>0</v>
      </c>
      <c r="I5" s="29" t="n">
        <v>175.819</v>
      </c>
      <c r="J5" s="29" t="n">
        <v>136.364</v>
      </c>
      <c r="K5" s="29" t="n">
        <v>0</v>
      </c>
      <c r="L5" s="29" t="n">
        <v>79.152</v>
      </c>
      <c r="M5" s="29" t="n">
        <v>0</v>
      </c>
      <c r="N5" s="29" t="n">
        <v>191.231</v>
      </c>
      <c r="O5" s="29" t="n">
        <v>0</v>
      </c>
      <c r="P5" s="29" t="n">
        <v>44.783</v>
      </c>
      <c r="Q5" s="29" t="n">
        <v>38.592</v>
      </c>
      <c r="R5" s="29" t="n">
        <v>0</v>
      </c>
      <c r="S5" s="29" t="n">
        <v>604.864</v>
      </c>
      <c r="T5" s="29" t="n">
        <v>0</v>
      </c>
      <c r="U5" s="29" t="n">
        <v>52.405</v>
      </c>
      <c r="V5" s="29" t="n">
        <v>0</v>
      </c>
      <c r="W5" s="29" t="n">
        <v>6.533</v>
      </c>
      <c r="X5" s="29" t="n">
        <v>0.051</v>
      </c>
      <c r="Y5" s="29" t="n">
        <v>3.266</v>
      </c>
      <c r="Z5" s="29" t="n">
        <v>25.415</v>
      </c>
    </row>
    <row r="6" customFormat="false" ht="15" hidden="false" customHeight="false" outlineLevel="0" collapsed="false">
      <c r="A6" s="4" t="n">
        <v>2020</v>
      </c>
      <c r="B6" s="29" t="n">
        <v>0</v>
      </c>
      <c r="C6" s="29" t="n">
        <v>0</v>
      </c>
      <c r="D6" s="29" t="n">
        <v>0.014</v>
      </c>
      <c r="E6" s="29" t="n">
        <v>92.374</v>
      </c>
      <c r="F6" s="29" t="n">
        <v>443.125</v>
      </c>
      <c r="G6" s="29" t="n">
        <v>23.611</v>
      </c>
      <c r="H6" s="29" t="n">
        <v>0</v>
      </c>
      <c r="I6" s="29" t="n">
        <v>170.575</v>
      </c>
      <c r="J6" s="29" t="n">
        <v>131.117</v>
      </c>
      <c r="K6" s="29" t="n">
        <v>0</v>
      </c>
      <c r="L6" s="29" t="n">
        <v>78.768</v>
      </c>
      <c r="M6" s="29" t="n">
        <v>0</v>
      </c>
      <c r="N6" s="29" t="n">
        <v>190.542</v>
      </c>
      <c r="O6" s="29" t="n">
        <v>0</v>
      </c>
      <c r="P6" s="29" t="n">
        <v>23.348</v>
      </c>
      <c r="Q6" s="29" t="n">
        <v>37.135</v>
      </c>
      <c r="R6" s="29" t="n">
        <v>0</v>
      </c>
      <c r="S6" s="29" t="n">
        <v>581.56</v>
      </c>
      <c r="T6" s="29" t="n">
        <v>0</v>
      </c>
      <c r="U6" s="29" t="n">
        <v>50.765</v>
      </c>
      <c r="V6" s="29" t="n">
        <v>0</v>
      </c>
      <c r="W6" s="29" t="n">
        <v>7.142</v>
      </c>
      <c r="X6" s="29" t="n">
        <v>0.065</v>
      </c>
      <c r="Y6" s="29" t="n">
        <v>3.14</v>
      </c>
      <c r="Z6" s="29" t="n">
        <v>24.139</v>
      </c>
    </row>
    <row r="7" customFormat="false" ht="15" hidden="false" customHeight="false" outlineLevel="0" collapsed="false">
      <c r="A7" s="4" t="n">
        <v>2021</v>
      </c>
      <c r="B7" s="29" t="n">
        <v>0</v>
      </c>
      <c r="C7" s="29" t="n">
        <v>0</v>
      </c>
      <c r="D7" s="29" t="n">
        <v>0.023</v>
      </c>
      <c r="E7" s="29" t="n">
        <v>102.802</v>
      </c>
      <c r="F7" s="29" t="n">
        <v>471.064</v>
      </c>
      <c r="G7" s="29" t="n">
        <v>24.343</v>
      </c>
      <c r="H7" s="29" t="n">
        <v>0</v>
      </c>
      <c r="I7" s="29" t="n">
        <v>175.385</v>
      </c>
      <c r="J7" s="29" t="n">
        <v>139.397</v>
      </c>
      <c r="K7" s="29" t="n">
        <v>0</v>
      </c>
      <c r="L7" s="29" t="n">
        <v>80.774</v>
      </c>
      <c r="M7" s="29" t="n">
        <v>0</v>
      </c>
      <c r="N7" s="29" t="n">
        <v>201.678</v>
      </c>
      <c r="O7" s="29" t="n">
        <v>0</v>
      </c>
      <c r="P7" s="29" t="n">
        <v>38.951</v>
      </c>
      <c r="Q7" s="29" t="n">
        <v>39.406</v>
      </c>
      <c r="R7" s="29" t="n">
        <v>0</v>
      </c>
      <c r="S7" s="29" t="n">
        <v>618.254</v>
      </c>
      <c r="T7" s="29" t="n">
        <v>0</v>
      </c>
      <c r="U7" s="29" t="n">
        <v>53.059</v>
      </c>
      <c r="V7" s="29" t="n">
        <v>0</v>
      </c>
      <c r="W7" s="29" t="n">
        <v>7.341</v>
      </c>
      <c r="X7" s="29" t="n">
        <v>0.085</v>
      </c>
      <c r="Y7" s="29" t="n">
        <v>3.339</v>
      </c>
      <c r="Z7" s="29" t="n">
        <v>25.039</v>
      </c>
    </row>
    <row r="8" customFormat="false" ht="15" hidden="false" customHeight="false" outlineLevel="0" collapsed="false">
      <c r="A8" s="4" t="n">
        <v>2022</v>
      </c>
      <c r="B8" s="29" t="n">
        <v>0</v>
      </c>
      <c r="C8" s="29" t="n">
        <v>0</v>
      </c>
      <c r="D8" s="29" t="n">
        <v>0.03</v>
      </c>
      <c r="E8" s="29" t="n">
        <v>101.79</v>
      </c>
      <c r="F8" s="29" t="n">
        <v>478.433</v>
      </c>
      <c r="G8" s="29" t="n">
        <v>24.359</v>
      </c>
      <c r="H8" s="29" t="n">
        <v>0</v>
      </c>
      <c r="I8" s="29" t="n">
        <v>175.937</v>
      </c>
      <c r="J8" s="29" t="n">
        <v>141.581</v>
      </c>
      <c r="K8" s="29" t="n">
        <v>0</v>
      </c>
      <c r="L8" s="29" t="n">
        <v>81.088</v>
      </c>
      <c r="M8" s="29" t="n">
        <v>0.145</v>
      </c>
      <c r="N8" s="29" t="n">
        <v>198.616</v>
      </c>
      <c r="O8" s="29" t="n">
        <v>0.145</v>
      </c>
      <c r="P8" s="29" t="n">
        <v>39.099</v>
      </c>
      <c r="Q8" s="29" t="n">
        <v>54.366</v>
      </c>
      <c r="R8" s="29" t="n">
        <v>0</v>
      </c>
      <c r="S8" s="29" t="n">
        <v>627.937</v>
      </c>
      <c r="T8" s="29" t="n">
        <v>0</v>
      </c>
      <c r="U8" s="29" t="n">
        <v>53.451</v>
      </c>
      <c r="V8" s="29" t="n">
        <v>0</v>
      </c>
      <c r="W8" s="29" t="n">
        <v>7.321</v>
      </c>
      <c r="X8" s="29" t="n">
        <v>0.085</v>
      </c>
      <c r="Y8" s="29" t="n">
        <v>3.391</v>
      </c>
      <c r="Z8" s="29" t="n">
        <v>25.431</v>
      </c>
    </row>
    <row r="9" customFormat="false" ht="15" hidden="false" customHeight="false" outlineLevel="0" collapsed="false">
      <c r="A9" s="4" t="n">
        <v>2023</v>
      </c>
      <c r="B9" s="29" t="n">
        <v>0</v>
      </c>
      <c r="C9" s="29" t="n">
        <v>0</v>
      </c>
      <c r="D9" s="29" t="n">
        <v>0.037</v>
      </c>
      <c r="E9" s="29" t="n">
        <v>107.162</v>
      </c>
      <c r="F9" s="29" t="n">
        <v>506.427</v>
      </c>
      <c r="G9" s="29" t="n">
        <v>24.528</v>
      </c>
      <c r="H9" s="29" t="n">
        <v>0</v>
      </c>
      <c r="I9" s="29" t="n">
        <v>177.955</v>
      </c>
      <c r="J9" s="29" t="n">
        <v>149.875</v>
      </c>
      <c r="K9" s="29" t="n">
        <v>0</v>
      </c>
      <c r="L9" s="29" t="n">
        <v>81.968</v>
      </c>
      <c r="M9" s="29" t="n">
        <v>0.348</v>
      </c>
      <c r="N9" s="29" t="n">
        <v>201.806</v>
      </c>
      <c r="O9" s="29" t="n">
        <v>0.358</v>
      </c>
      <c r="P9" s="29" t="n">
        <v>39.351</v>
      </c>
      <c r="Q9" s="29" t="n">
        <v>76.835</v>
      </c>
      <c r="R9" s="29" t="n">
        <v>0</v>
      </c>
      <c r="S9" s="29" t="n">
        <v>664.722</v>
      </c>
      <c r="T9" s="29" t="n">
        <v>0</v>
      </c>
      <c r="U9" s="29" t="n">
        <v>55.073</v>
      </c>
      <c r="V9" s="29" t="n">
        <v>0</v>
      </c>
      <c r="W9" s="29" t="n">
        <v>7.23</v>
      </c>
      <c r="X9" s="29" t="n">
        <v>0.084</v>
      </c>
      <c r="Y9" s="29" t="n">
        <v>3.589</v>
      </c>
      <c r="Z9" s="29" t="n">
        <v>26.921</v>
      </c>
    </row>
    <row r="10" customFormat="false" ht="15" hidden="false" customHeight="false" outlineLevel="0" collapsed="false">
      <c r="A10" s="4" t="n">
        <v>2024</v>
      </c>
      <c r="B10" s="29" t="n">
        <v>0</v>
      </c>
      <c r="C10" s="29" t="n">
        <v>0</v>
      </c>
      <c r="D10" s="29" t="n">
        <v>0.047</v>
      </c>
      <c r="E10" s="29" t="n">
        <v>109.158</v>
      </c>
      <c r="F10" s="29" t="n">
        <v>516.343</v>
      </c>
      <c r="G10" s="29" t="n">
        <v>25.064</v>
      </c>
      <c r="H10" s="29" t="n">
        <v>0</v>
      </c>
      <c r="I10" s="29" t="n">
        <v>183.4</v>
      </c>
      <c r="J10" s="29" t="n">
        <v>156.832</v>
      </c>
      <c r="K10" s="29" t="n">
        <v>0</v>
      </c>
      <c r="L10" s="29" t="n">
        <v>84.656</v>
      </c>
      <c r="M10" s="29" t="n">
        <v>0.538</v>
      </c>
      <c r="N10" s="29" t="n">
        <v>202.821</v>
      </c>
      <c r="O10" s="29" t="n">
        <v>0.556</v>
      </c>
      <c r="P10" s="29" t="n">
        <v>40.444</v>
      </c>
      <c r="Q10" s="29" t="n">
        <v>96.466</v>
      </c>
      <c r="R10" s="29" t="n">
        <v>0</v>
      </c>
      <c r="S10" s="29" t="n">
        <v>718.378</v>
      </c>
      <c r="T10" s="29" t="n">
        <v>0</v>
      </c>
      <c r="U10" s="29" t="n">
        <v>56.218</v>
      </c>
      <c r="V10" s="29" t="n">
        <v>0</v>
      </c>
      <c r="W10" s="29" t="n">
        <v>9.68</v>
      </c>
      <c r="X10" s="29" t="n">
        <v>0.084</v>
      </c>
      <c r="Y10" s="29" t="n">
        <v>3.66</v>
      </c>
      <c r="Z10" s="29" t="n">
        <v>29.864</v>
      </c>
    </row>
    <row r="11" customFormat="false" ht="15" hidden="false" customHeight="false" outlineLevel="0" collapsed="false">
      <c r="A11" s="4" t="n">
        <v>2025</v>
      </c>
      <c r="B11" s="29" t="n">
        <v>0</v>
      </c>
      <c r="C11" s="29" t="n">
        <v>0</v>
      </c>
      <c r="D11" s="29" t="n">
        <v>0.059</v>
      </c>
      <c r="E11" s="29" t="n">
        <v>110.864</v>
      </c>
      <c r="F11" s="29" t="n">
        <v>517.76</v>
      </c>
      <c r="G11" s="29" t="n">
        <v>25.388</v>
      </c>
      <c r="H11" s="29" t="n">
        <v>0</v>
      </c>
      <c r="I11" s="29" t="n">
        <v>189.261</v>
      </c>
      <c r="J11" s="29" t="n">
        <v>161.829</v>
      </c>
      <c r="K11" s="29" t="n">
        <v>0</v>
      </c>
      <c r="L11" s="29" t="n">
        <v>87.604</v>
      </c>
      <c r="M11" s="29" t="n">
        <v>0.659</v>
      </c>
      <c r="N11" s="29" t="n">
        <v>204.006</v>
      </c>
      <c r="O11" s="29" t="n">
        <v>0.688</v>
      </c>
      <c r="P11" s="29" t="n">
        <v>41.641</v>
      </c>
      <c r="Q11" s="29" t="n">
        <v>108.714</v>
      </c>
      <c r="R11" s="29" t="n">
        <v>0</v>
      </c>
      <c r="S11" s="29" t="n">
        <v>717.72</v>
      </c>
      <c r="T11" s="29" t="n">
        <v>0</v>
      </c>
      <c r="U11" s="29" t="n">
        <v>56.678</v>
      </c>
      <c r="V11" s="29" t="n">
        <v>0</v>
      </c>
      <c r="W11" s="29" t="n">
        <v>12.385</v>
      </c>
      <c r="X11" s="29" t="n">
        <v>0.085</v>
      </c>
      <c r="Y11" s="29" t="n">
        <v>3.67</v>
      </c>
      <c r="Z11" s="29" t="n">
        <v>32.905</v>
      </c>
    </row>
    <row r="12" customFormat="false" ht="15" hidden="false" customHeight="false" outlineLevel="0" collapsed="false">
      <c r="A12" s="4" t="n">
        <v>2026</v>
      </c>
      <c r="B12" s="29" t="n">
        <v>0</v>
      </c>
      <c r="C12" s="29" t="n">
        <v>0</v>
      </c>
      <c r="D12" s="29" t="n">
        <v>0.321</v>
      </c>
      <c r="E12" s="29" t="n">
        <v>113.447</v>
      </c>
      <c r="F12" s="29" t="n">
        <v>507.001</v>
      </c>
      <c r="G12" s="29" t="n">
        <v>24.748</v>
      </c>
      <c r="H12" s="29" t="n">
        <v>0</v>
      </c>
      <c r="I12" s="29" t="n">
        <v>192.325</v>
      </c>
      <c r="J12" s="29" t="n">
        <v>164.533</v>
      </c>
      <c r="K12" s="29" t="n">
        <v>0</v>
      </c>
      <c r="L12" s="29" t="n">
        <v>89.367</v>
      </c>
      <c r="M12" s="29" t="n">
        <v>0.731</v>
      </c>
      <c r="N12" s="29" t="n">
        <v>202.67</v>
      </c>
      <c r="O12" s="29" t="n">
        <v>0.77</v>
      </c>
      <c r="P12" s="29" t="n">
        <v>42.247</v>
      </c>
      <c r="Q12" s="29" t="n">
        <v>113.765</v>
      </c>
      <c r="R12" s="29" t="n">
        <v>0</v>
      </c>
      <c r="S12" s="29" t="n">
        <v>727.032</v>
      </c>
      <c r="T12" s="29" t="n">
        <v>0</v>
      </c>
      <c r="U12" s="29" t="n">
        <v>55.407</v>
      </c>
      <c r="V12" s="29" t="n">
        <v>0</v>
      </c>
      <c r="W12" s="29" t="n">
        <v>15.569</v>
      </c>
      <c r="X12" s="29" t="n">
        <v>0.084</v>
      </c>
      <c r="Y12" s="29" t="n">
        <v>3.583</v>
      </c>
      <c r="Z12" s="29" t="n">
        <v>35.276</v>
      </c>
    </row>
    <row r="13" customFormat="false" ht="15" hidden="false" customHeight="false" outlineLevel="0" collapsed="false">
      <c r="A13" s="4" t="n">
        <v>2027</v>
      </c>
      <c r="B13" s="29" t="n">
        <v>0</v>
      </c>
      <c r="C13" s="29" t="n">
        <v>0</v>
      </c>
      <c r="D13" s="29" t="n">
        <v>0.622</v>
      </c>
      <c r="E13" s="29" t="n">
        <v>112.579</v>
      </c>
      <c r="F13" s="29" t="n">
        <v>479.194</v>
      </c>
      <c r="G13" s="29" t="n">
        <v>24.138</v>
      </c>
      <c r="H13" s="29" t="n">
        <v>0</v>
      </c>
      <c r="I13" s="29" t="n">
        <v>195.459</v>
      </c>
      <c r="J13" s="29" t="n">
        <v>166.719</v>
      </c>
      <c r="K13" s="29" t="n">
        <v>0</v>
      </c>
      <c r="L13" s="29" t="n">
        <v>91.167</v>
      </c>
      <c r="M13" s="29" t="n">
        <v>0.779</v>
      </c>
      <c r="N13" s="29" t="n">
        <v>201.541</v>
      </c>
      <c r="O13" s="29" t="n">
        <v>0.829</v>
      </c>
      <c r="P13" s="29" t="n">
        <v>42.863</v>
      </c>
      <c r="Q13" s="29" t="n">
        <v>116.231</v>
      </c>
      <c r="R13" s="29" t="n">
        <v>0</v>
      </c>
      <c r="S13" s="29" t="n">
        <v>733.433</v>
      </c>
      <c r="T13" s="29" t="n">
        <v>0</v>
      </c>
      <c r="U13" s="29" t="n">
        <v>53.37</v>
      </c>
      <c r="V13" s="29" t="n">
        <v>0</v>
      </c>
      <c r="W13" s="29" t="n">
        <v>20.867</v>
      </c>
      <c r="X13" s="29" t="n">
        <v>0.084</v>
      </c>
      <c r="Y13" s="29" t="n">
        <v>3.385</v>
      </c>
      <c r="Z13" s="29" t="n">
        <v>40.581</v>
      </c>
    </row>
    <row r="14" customFormat="false" ht="15" hidden="false" customHeight="false" outlineLevel="0" collapsed="false">
      <c r="A14" s="4" t="n">
        <v>2028</v>
      </c>
      <c r="B14" s="29" t="n">
        <v>0</v>
      </c>
      <c r="C14" s="29" t="n">
        <v>0</v>
      </c>
      <c r="D14" s="29" t="n">
        <v>0.964</v>
      </c>
      <c r="E14" s="29" t="n">
        <v>113.537</v>
      </c>
      <c r="F14" s="29" t="n">
        <v>413.854</v>
      </c>
      <c r="G14" s="29" t="n">
        <v>22.735</v>
      </c>
      <c r="H14" s="29" t="n">
        <v>0</v>
      </c>
      <c r="I14" s="29" t="n">
        <v>198.167</v>
      </c>
      <c r="J14" s="29" t="n">
        <v>169.083</v>
      </c>
      <c r="K14" s="29" t="n">
        <v>0</v>
      </c>
      <c r="L14" s="29" t="n">
        <v>92.923</v>
      </c>
      <c r="M14" s="29" t="n">
        <v>0.818</v>
      </c>
      <c r="N14" s="29" t="n">
        <v>200.568</v>
      </c>
      <c r="O14" s="29" t="n">
        <v>2.42</v>
      </c>
      <c r="P14" s="29" t="n">
        <v>43.425</v>
      </c>
      <c r="Q14" s="29" t="n">
        <v>116.231</v>
      </c>
      <c r="R14" s="29" t="n">
        <v>0</v>
      </c>
      <c r="S14" s="29" t="n">
        <v>740.766</v>
      </c>
      <c r="T14" s="29" t="n">
        <v>0</v>
      </c>
      <c r="U14" s="29" t="n">
        <v>48.426</v>
      </c>
      <c r="V14" s="29" t="n">
        <v>0</v>
      </c>
      <c r="W14" s="29" t="n">
        <v>32.381</v>
      </c>
      <c r="X14" s="29" t="n">
        <v>0.084</v>
      </c>
      <c r="Y14" s="29" t="n">
        <v>4.376</v>
      </c>
      <c r="Z14" s="29" t="n">
        <v>48.422</v>
      </c>
    </row>
    <row r="15" customFormat="false" ht="15" hidden="false" customHeight="false" outlineLevel="0" collapsed="false">
      <c r="A15" s="4" t="n">
        <v>2029</v>
      </c>
      <c r="B15" s="29" t="n">
        <v>0</v>
      </c>
      <c r="C15" s="29" t="n">
        <v>0</v>
      </c>
      <c r="D15" s="29" t="n">
        <v>1.35</v>
      </c>
      <c r="E15" s="29" t="n">
        <v>114.172</v>
      </c>
      <c r="F15" s="29" t="n">
        <v>285.22</v>
      </c>
      <c r="G15" s="29" t="n">
        <v>21.391</v>
      </c>
      <c r="H15" s="29" t="n">
        <v>0</v>
      </c>
      <c r="I15" s="29" t="n">
        <v>200.998</v>
      </c>
      <c r="J15" s="29" t="n">
        <v>171.501</v>
      </c>
      <c r="K15" s="29" t="n">
        <v>0</v>
      </c>
      <c r="L15" s="29" t="n">
        <v>94.739</v>
      </c>
      <c r="M15" s="29" t="n">
        <v>0.855</v>
      </c>
      <c r="N15" s="29" t="n">
        <v>199.817</v>
      </c>
      <c r="O15" s="29" t="n">
        <v>3.936</v>
      </c>
      <c r="P15" s="29" t="n">
        <v>44.008</v>
      </c>
      <c r="Q15" s="29" t="n">
        <v>113.041</v>
      </c>
      <c r="R15" s="29" t="n">
        <v>0</v>
      </c>
      <c r="S15" s="29" t="n">
        <v>748.229</v>
      </c>
      <c r="T15" s="29" t="n">
        <v>0</v>
      </c>
      <c r="U15" s="29" t="n">
        <v>40.485</v>
      </c>
      <c r="V15" s="29" t="n">
        <v>0</v>
      </c>
      <c r="W15" s="29" t="n">
        <v>53.536</v>
      </c>
      <c r="X15" s="29" t="n">
        <v>0.085</v>
      </c>
      <c r="Y15" s="29" t="n">
        <v>4.042</v>
      </c>
      <c r="Z15" s="29" t="n">
        <v>64.647</v>
      </c>
    </row>
    <row r="16" customFormat="false" ht="15" hidden="false" customHeight="false" outlineLevel="0" collapsed="false">
      <c r="A16" s="4" t="n">
        <v>2030</v>
      </c>
      <c r="B16" s="29" t="n">
        <v>0</v>
      </c>
      <c r="C16" s="29" t="n">
        <v>0</v>
      </c>
      <c r="D16" s="29" t="n">
        <v>1.781</v>
      </c>
      <c r="E16" s="29" t="n">
        <v>115.054</v>
      </c>
      <c r="F16" s="29" t="n">
        <v>157.885</v>
      </c>
      <c r="G16" s="29" t="n">
        <v>20.096</v>
      </c>
      <c r="H16" s="29" t="n">
        <v>0</v>
      </c>
      <c r="I16" s="29" t="n">
        <v>203.781</v>
      </c>
      <c r="J16" s="29" t="n">
        <v>175.734</v>
      </c>
      <c r="K16" s="29" t="n">
        <v>0</v>
      </c>
      <c r="L16" s="29" t="n">
        <v>96.53</v>
      </c>
      <c r="M16" s="29" t="n">
        <v>0.89</v>
      </c>
      <c r="N16" s="29" t="n">
        <v>197.65</v>
      </c>
      <c r="O16" s="29" t="n">
        <v>5.378</v>
      </c>
      <c r="P16" s="29" t="n">
        <v>44.572</v>
      </c>
      <c r="Q16" s="29" t="n">
        <v>106.358</v>
      </c>
      <c r="R16" s="29" t="n">
        <v>0</v>
      </c>
      <c r="S16" s="29" t="n">
        <v>763.457</v>
      </c>
      <c r="T16" s="29" t="n">
        <v>0</v>
      </c>
      <c r="U16" s="29" t="n">
        <v>32.539</v>
      </c>
      <c r="V16" s="29" t="n">
        <v>0</v>
      </c>
      <c r="W16" s="29" t="n">
        <v>75.878</v>
      </c>
      <c r="X16" s="29" t="n">
        <v>0.086</v>
      </c>
      <c r="Y16" s="29" t="n">
        <v>3.186</v>
      </c>
      <c r="Z16" s="29" t="n">
        <v>82.02</v>
      </c>
    </row>
    <row r="17" customFormat="false" ht="15" hidden="false" customHeight="false" outlineLevel="0" collapsed="false">
      <c r="A17" s="4" t="n">
        <v>2031</v>
      </c>
      <c r="B17" s="29" t="n">
        <v>0</v>
      </c>
      <c r="C17" s="29" t="n">
        <v>0</v>
      </c>
      <c r="D17" s="29" t="n">
        <v>2.263</v>
      </c>
      <c r="E17" s="29" t="n">
        <v>115.686</v>
      </c>
      <c r="F17" s="29" t="n">
        <v>88.78</v>
      </c>
      <c r="G17" s="29" t="n">
        <v>18.847</v>
      </c>
      <c r="H17" s="29" t="n">
        <v>0</v>
      </c>
      <c r="I17" s="29" t="n">
        <v>206.509</v>
      </c>
      <c r="J17" s="29" t="n">
        <v>184.644</v>
      </c>
      <c r="K17" s="29" t="n">
        <v>0</v>
      </c>
      <c r="L17" s="29" t="n">
        <v>98.293</v>
      </c>
      <c r="M17" s="29" t="n">
        <v>0.925</v>
      </c>
      <c r="N17" s="29" t="n">
        <v>195.251</v>
      </c>
      <c r="O17" s="29" t="n">
        <v>6.747</v>
      </c>
      <c r="P17" s="29" t="n">
        <v>45.116</v>
      </c>
      <c r="Q17" s="29" t="n">
        <v>99.453</v>
      </c>
      <c r="R17" s="29" t="n">
        <v>0</v>
      </c>
      <c r="S17" s="29" t="n">
        <v>798.736</v>
      </c>
      <c r="T17" s="29" t="n">
        <v>0</v>
      </c>
      <c r="U17" s="29" t="n">
        <v>27.587</v>
      </c>
      <c r="V17" s="29" t="n">
        <v>0</v>
      </c>
      <c r="W17" s="29" t="n">
        <v>91.574</v>
      </c>
      <c r="X17" s="29" t="n">
        <v>0.087</v>
      </c>
      <c r="Y17" s="29" t="n">
        <v>2.823</v>
      </c>
      <c r="Z17" s="29" t="n">
        <v>95.021</v>
      </c>
    </row>
    <row r="18" customFormat="false" ht="15" hidden="false" customHeight="false" outlineLevel="0" collapsed="false">
      <c r="A18" s="4" t="n">
        <v>2032</v>
      </c>
      <c r="B18" s="29" t="n">
        <v>0</v>
      </c>
      <c r="C18" s="29" t="n">
        <v>0</v>
      </c>
      <c r="D18" s="29" t="n">
        <v>2.799</v>
      </c>
      <c r="E18" s="29" t="n">
        <v>115.611</v>
      </c>
      <c r="F18" s="29" t="n">
        <v>55.086</v>
      </c>
      <c r="G18" s="29" t="n">
        <v>17.641</v>
      </c>
      <c r="H18" s="29" t="n">
        <v>0</v>
      </c>
      <c r="I18" s="29" t="n">
        <v>209.173</v>
      </c>
      <c r="J18" s="29" t="n">
        <v>188.814</v>
      </c>
      <c r="K18" s="29" t="n">
        <v>0</v>
      </c>
      <c r="L18" s="29" t="n">
        <v>100.023</v>
      </c>
      <c r="M18" s="29" t="n">
        <v>0.96</v>
      </c>
      <c r="N18" s="29" t="n">
        <v>192.067</v>
      </c>
      <c r="O18" s="29" t="n">
        <v>8.045</v>
      </c>
      <c r="P18" s="29" t="n">
        <v>45.637</v>
      </c>
      <c r="Q18" s="29" t="n">
        <v>100.115</v>
      </c>
      <c r="R18" s="29" t="n">
        <v>0</v>
      </c>
      <c r="S18" s="29" t="n">
        <v>821.797</v>
      </c>
      <c r="T18" s="29" t="n">
        <v>0</v>
      </c>
      <c r="U18" s="29" t="n">
        <v>24.471</v>
      </c>
      <c r="V18" s="29" t="n">
        <v>0</v>
      </c>
      <c r="W18" s="29" t="n">
        <v>100.001</v>
      </c>
      <c r="X18" s="29" t="n">
        <v>0.088</v>
      </c>
      <c r="Y18" s="29" t="n">
        <v>2.675</v>
      </c>
      <c r="Z18" s="29" t="n">
        <v>102.133</v>
      </c>
    </row>
    <row r="19" customFormat="false" ht="15" hidden="false" customHeight="false" outlineLevel="0" collapsed="false">
      <c r="A19" s="4" t="n">
        <v>2033</v>
      </c>
      <c r="B19" s="29" t="n">
        <v>0</v>
      </c>
      <c r="C19" s="29" t="n">
        <v>0</v>
      </c>
      <c r="D19" s="29" t="n">
        <v>3.393</v>
      </c>
      <c r="E19" s="29" t="n">
        <v>113.799</v>
      </c>
      <c r="F19" s="29" t="n">
        <v>35.675</v>
      </c>
      <c r="G19" s="29" t="n">
        <v>16.474</v>
      </c>
      <c r="H19" s="29" t="n">
        <v>0</v>
      </c>
      <c r="I19" s="29" t="n">
        <v>201.135</v>
      </c>
      <c r="J19" s="29" t="n">
        <v>197.108</v>
      </c>
      <c r="K19" s="29" t="n">
        <v>0</v>
      </c>
      <c r="L19" s="29" t="n">
        <v>96.124</v>
      </c>
      <c r="M19" s="29" t="n">
        <v>0.96</v>
      </c>
      <c r="N19" s="29" t="n">
        <v>186.634</v>
      </c>
      <c r="O19" s="29" t="n">
        <v>10.397</v>
      </c>
      <c r="P19" s="29" t="n">
        <v>46.136</v>
      </c>
      <c r="Q19" s="29" t="n">
        <v>98.479</v>
      </c>
      <c r="R19" s="29" t="n">
        <v>0</v>
      </c>
      <c r="S19" s="29" t="n">
        <v>871.904</v>
      </c>
      <c r="T19" s="29" t="n">
        <v>0</v>
      </c>
      <c r="U19" s="29" t="n">
        <v>22.116</v>
      </c>
      <c r="V19" s="29" t="n">
        <v>0</v>
      </c>
      <c r="W19" s="29" t="n">
        <v>109.724</v>
      </c>
      <c r="X19" s="29" t="n">
        <v>0.089</v>
      </c>
      <c r="Y19" s="29" t="n">
        <v>2.731</v>
      </c>
      <c r="Z19" s="29" t="n">
        <v>111.1</v>
      </c>
    </row>
    <row r="20" customFormat="false" ht="15" hidden="false" customHeight="false" outlineLevel="0" collapsed="false">
      <c r="A20" s="4" t="n">
        <v>2034</v>
      </c>
      <c r="B20" s="29" t="n">
        <v>0</v>
      </c>
      <c r="C20" s="29" t="n">
        <v>0</v>
      </c>
      <c r="D20" s="29" t="n">
        <v>4.048</v>
      </c>
      <c r="E20" s="29" t="n">
        <v>108.209</v>
      </c>
      <c r="F20" s="29" t="n">
        <v>18.505</v>
      </c>
      <c r="G20" s="29" t="n">
        <v>15.343</v>
      </c>
      <c r="H20" s="29" t="n">
        <v>0</v>
      </c>
      <c r="I20" s="29" t="n">
        <v>192.702</v>
      </c>
      <c r="J20" s="29" t="n">
        <v>205.93</v>
      </c>
      <c r="K20" s="29" t="n">
        <v>0</v>
      </c>
      <c r="L20" s="29" t="n">
        <v>91.993</v>
      </c>
      <c r="M20" s="29" t="n">
        <v>0.96</v>
      </c>
      <c r="N20" s="29" t="n">
        <v>176.624</v>
      </c>
      <c r="O20" s="29" t="n">
        <v>12.704</v>
      </c>
      <c r="P20" s="29" t="n">
        <v>46.608</v>
      </c>
      <c r="Q20" s="29" t="n">
        <v>97.022</v>
      </c>
      <c r="R20" s="29" t="n">
        <v>0</v>
      </c>
      <c r="S20" s="29" t="n">
        <v>1022.364</v>
      </c>
      <c r="T20" s="29" t="n">
        <v>0</v>
      </c>
      <c r="U20" s="29" t="n">
        <v>19.909</v>
      </c>
      <c r="V20" s="29" t="n">
        <v>0</v>
      </c>
      <c r="W20" s="29" t="n">
        <v>119.833</v>
      </c>
      <c r="X20" s="29" t="n">
        <v>0.091</v>
      </c>
      <c r="Y20" s="29" t="n">
        <v>2.582</v>
      </c>
      <c r="Z20" s="29" t="n">
        <v>120.54</v>
      </c>
    </row>
    <row r="21" customFormat="false" ht="15" hidden="false" customHeight="false" outlineLevel="0" collapsed="false">
      <c r="A21" s="4" t="n">
        <v>2035</v>
      </c>
      <c r="B21" s="29" t="n">
        <v>0</v>
      </c>
      <c r="C21" s="29" t="n">
        <v>0</v>
      </c>
      <c r="D21" s="29" t="n">
        <v>4.77</v>
      </c>
      <c r="E21" s="29" t="n">
        <v>95.889</v>
      </c>
      <c r="F21" s="29" t="n">
        <v>0.368</v>
      </c>
      <c r="G21" s="29" t="n">
        <v>14.249</v>
      </c>
      <c r="H21" s="29" t="n">
        <v>0</v>
      </c>
      <c r="I21" s="29" t="n">
        <v>183.879</v>
      </c>
      <c r="J21" s="29" t="n">
        <v>215.76</v>
      </c>
      <c r="K21" s="29" t="n">
        <v>0</v>
      </c>
      <c r="L21" s="29" t="n">
        <v>87.634</v>
      </c>
      <c r="M21" s="29" t="n">
        <v>0.96</v>
      </c>
      <c r="N21" s="29" t="n">
        <v>158.001</v>
      </c>
      <c r="O21" s="29" t="n">
        <v>14.966</v>
      </c>
      <c r="P21" s="29" t="n">
        <v>47.053</v>
      </c>
      <c r="Q21" s="29" t="n">
        <v>95.491</v>
      </c>
      <c r="R21" s="29" t="n">
        <v>0</v>
      </c>
      <c r="S21" s="29" t="n">
        <v>1707.432</v>
      </c>
      <c r="T21" s="29" t="n">
        <v>0</v>
      </c>
      <c r="U21" s="29" t="n">
        <v>17.688</v>
      </c>
      <c r="V21" s="29" t="n">
        <v>0</v>
      </c>
      <c r="W21" s="29" t="n">
        <v>131.452</v>
      </c>
      <c r="X21" s="29" t="n">
        <v>0.092</v>
      </c>
      <c r="Y21" s="29" t="n">
        <v>1.067</v>
      </c>
      <c r="Z21" s="29" t="n">
        <v>131.452</v>
      </c>
    </row>
    <row r="22" customFormat="false" ht="15" hidden="false" customHeight="false" outlineLevel="0" collapsed="false">
      <c r="A22" s="4" t="n">
        <v>2036</v>
      </c>
      <c r="B22" s="29" t="n">
        <v>0</v>
      </c>
      <c r="C22" s="29" t="n">
        <v>0</v>
      </c>
      <c r="D22" s="29" t="n">
        <v>4.893</v>
      </c>
      <c r="E22" s="29" t="n">
        <v>75.585</v>
      </c>
      <c r="F22" s="29" t="n">
        <v>0.341</v>
      </c>
      <c r="G22" s="29" t="n">
        <v>13.192</v>
      </c>
      <c r="H22" s="29" t="n">
        <v>0</v>
      </c>
      <c r="I22" s="29" t="n">
        <v>174.676</v>
      </c>
      <c r="J22" s="29" t="n">
        <v>227.019</v>
      </c>
      <c r="K22" s="29" t="n">
        <v>0</v>
      </c>
      <c r="L22" s="29" t="n">
        <v>83.051</v>
      </c>
      <c r="M22" s="29" t="n">
        <v>0.96</v>
      </c>
      <c r="N22" s="29" t="n">
        <v>127.903</v>
      </c>
      <c r="O22" s="29" t="n">
        <v>17.181</v>
      </c>
      <c r="P22" s="29" t="n">
        <v>47.47</v>
      </c>
      <c r="Q22" s="29" t="n">
        <v>95.391</v>
      </c>
      <c r="R22" s="29" t="n">
        <v>0</v>
      </c>
      <c r="S22" s="29" t="n">
        <v>1780.8</v>
      </c>
      <c r="T22" s="29" t="n">
        <v>0</v>
      </c>
      <c r="U22" s="29" t="n">
        <v>16.422</v>
      </c>
      <c r="V22" s="29" t="n">
        <v>0</v>
      </c>
      <c r="W22" s="29" t="n">
        <v>137.844</v>
      </c>
      <c r="X22" s="29" t="n">
        <v>0.094</v>
      </c>
      <c r="Y22" s="29" t="n">
        <v>1.157</v>
      </c>
      <c r="Z22" s="29" t="n">
        <v>137.844</v>
      </c>
    </row>
    <row r="23" customFormat="false" ht="15" hidden="false" customHeight="false" outlineLevel="0" collapsed="false">
      <c r="A23" s="4" t="n">
        <v>2037</v>
      </c>
      <c r="B23" s="29" t="n">
        <v>0</v>
      </c>
      <c r="C23" s="29" t="n">
        <v>0</v>
      </c>
      <c r="D23" s="29" t="n">
        <v>5.018</v>
      </c>
      <c r="E23" s="29" t="n">
        <v>52.222</v>
      </c>
      <c r="F23" s="29" t="n">
        <v>0.315</v>
      </c>
      <c r="G23" s="29" t="n">
        <v>12.174</v>
      </c>
      <c r="H23" s="29" t="n">
        <v>0</v>
      </c>
      <c r="I23" s="29" t="n">
        <v>165.103</v>
      </c>
      <c r="J23" s="29" t="n">
        <v>239.3</v>
      </c>
      <c r="K23" s="29" t="n">
        <v>0</v>
      </c>
      <c r="L23" s="29" t="n">
        <v>78.249</v>
      </c>
      <c r="M23" s="29" t="n">
        <v>0.96</v>
      </c>
      <c r="N23" s="29" t="n">
        <v>91.1</v>
      </c>
      <c r="O23" s="29" t="n">
        <v>19.348</v>
      </c>
      <c r="P23" s="29" t="n">
        <v>47.856</v>
      </c>
      <c r="Q23" s="29" t="n">
        <v>95.294</v>
      </c>
      <c r="R23" s="29" t="n">
        <v>0</v>
      </c>
      <c r="S23" s="29" t="n">
        <v>1857.566</v>
      </c>
      <c r="T23" s="29" t="n">
        <v>0</v>
      </c>
      <c r="U23" s="29" t="n">
        <v>15.197</v>
      </c>
      <c r="V23" s="29" t="n">
        <v>0</v>
      </c>
      <c r="W23" s="29" t="n">
        <v>144.783</v>
      </c>
      <c r="X23" s="29" t="n">
        <v>0.096</v>
      </c>
      <c r="Y23" s="29" t="n">
        <v>1.18</v>
      </c>
      <c r="Z23" s="29" t="n">
        <v>144.783</v>
      </c>
    </row>
    <row r="24" customFormat="false" ht="15" hidden="false" customHeight="false" outlineLevel="0" collapsed="false">
      <c r="A24" s="4" t="n">
        <v>2038</v>
      </c>
      <c r="B24" s="29" t="n">
        <v>0</v>
      </c>
      <c r="C24" s="29" t="n">
        <v>0</v>
      </c>
      <c r="D24" s="29" t="n">
        <v>5.145</v>
      </c>
      <c r="E24" s="29" t="n">
        <v>33.377</v>
      </c>
      <c r="F24" s="29" t="n">
        <v>0.29</v>
      </c>
      <c r="G24" s="29" t="n">
        <v>11.197</v>
      </c>
      <c r="H24" s="29" t="n">
        <v>0</v>
      </c>
      <c r="I24" s="29" t="n">
        <v>155.173</v>
      </c>
      <c r="J24" s="29" t="n">
        <v>251.258</v>
      </c>
      <c r="K24" s="29" t="n">
        <v>0</v>
      </c>
      <c r="L24" s="29" t="n">
        <v>73.235</v>
      </c>
      <c r="M24" s="29" t="n">
        <v>0.96</v>
      </c>
      <c r="N24" s="29" t="n">
        <v>59.272</v>
      </c>
      <c r="O24" s="29" t="n">
        <v>21.465</v>
      </c>
      <c r="P24" s="29" t="n">
        <v>48.21</v>
      </c>
      <c r="Q24" s="29" t="n">
        <v>95.201</v>
      </c>
      <c r="R24" s="29" t="n">
        <v>0</v>
      </c>
      <c r="S24" s="29" t="n">
        <v>1932.069</v>
      </c>
      <c r="T24" s="29" t="n">
        <v>0</v>
      </c>
      <c r="U24" s="29" t="n">
        <v>14.015</v>
      </c>
      <c r="V24" s="29" t="n">
        <v>0</v>
      </c>
      <c r="W24" s="29" t="n">
        <v>151.45</v>
      </c>
      <c r="X24" s="29" t="n">
        <v>0.098</v>
      </c>
      <c r="Y24" s="29" t="n">
        <v>1.216</v>
      </c>
      <c r="Z24" s="29" t="n">
        <v>151.45</v>
      </c>
    </row>
    <row r="25" customFormat="false" ht="15" hidden="false" customHeight="false" outlineLevel="0" collapsed="false">
      <c r="A25" s="4" t="n">
        <v>2039</v>
      </c>
      <c r="B25" s="29" t="n">
        <v>0</v>
      </c>
      <c r="C25" s="29" t="n">
        <v>0</v>
      </c>
      <c r="D25" s="29" t="n">
        <v>5.274</v>
      </c>
      <c r="E25" s="29" t="n">
        <v>22.134</v>
      </c>
      <c r="F25" s="29" t="n">
        <v>0.265</v>
      </c>
      <c r="G25" s="29" t="n">
        <v>10.261</v>
      </c>
      <c r="H25" s="29" t="n">
        <v>0</v>
      </c>
      <c r="I25" s="29" t="n">
        <v>144.898</v>
      </c>
      <c r="J25" s="29" t="n">
        <v>262.001</v>
      </c>
      <c r="K25" s="29" t="n">
        <v>0</v>
      </c>
      <c r="L25" s="29" t="n">
        <v>68.017</v>
      </c>
      <c r="M25" s="29" t="n">
        <v>0.96</v>
      </c>
      <c r="N25" s="29" t="n">
        <v>38.85</v>
      </c>
      <c r="O25" s="29" t="n">
        <v>23.531</v>
      </c>
      <c r="P25" s="29" t="n">
        <v>48.53</v>
      </c>
      <c r="Q25" s="29" t="n">
        <v>95.11</v>
      </c>
      <c r="R25" s="29" t="n">
        <v>0</v>
      </c>
      <c r="S25" s="29" t="n">
        <v>2003.158</v>
      </c>
      <c r="T25" s="29" t="n">
        <v>0</v>
      </c>
      <c r="U25" s="29" t="n">
        <v>12.876</v>
      </c>
      <c r="V25" s="29" t="n">
        <v>0</v>
      </c>
      <c r="W25" s="29" t="n">
        <v>157.503</v>
      </c>
      <c r="X25" s="29" t="n">
        <v>0.099</v>
      </c>
      <c r="Y25" s="29" t="n">
        <v>1.173</v>
      </c>
      <c r="Z25" s="29" t="n">
        <v>157.503</v>
      </c>
    </row>
    <row r="26" customFormat="false" ht="15" hidden="false" customHeight="false" outlineLevel="0" collapsed="false">
      <c r="A26" s="4" t="n">
        <v>2040</v>
      </c>
      <c r="B26" s="29" t="n">
        <v>0</v>
      </c>
      <c r="C26" s="29" t="n">
        <v>0</v>
      </c>
      <c r="D26" s="29" t="n">
        <v>5.404</v>
      </c>
      <c r="E26" s="29" t="n">
        <v>16.16</v>
      </c>
      <c r="F26" s="29" t="n">
        <v>0.242</v>
      </c>
      <c r="G26" s="29" t="n">
        <v>9.364</v>
      </c>
      <c r="H26" s="29" t="n">
        <v>0</v>
      </c>
      <c r="I26" s="29" t="n">
        <v>134.294</v>
      </c>
      <c r="J26" s="29" t="n">
        <v>271.656</v>
      </c>
      <c r="K26" s="29" t="n">
        <v>0</v>
      </c>
      <c r="L26" s="29" t="n">
        <v>62.601</v>
      </c>
      <c r="M26" s="29" t="n">
        <v>0.96</v>
      </c>
      <c r="N26" s="29" t="n">
        <v>27.831</v>
      </c>
      <c r="O26" s="29" t="n">
        <v>25.545</v>
      </c>
      <c r="P26" s="29" t="n">
        <v>48.814</v>
      </c>
      <c r="Q26" s="29" t="n">
        <v>95.023</v>
      </c>
      <c r="R26" s="29" t="n">
        <v>0</v>
      </c>
      <c r="S26" s="29" t="n">
        <v>2063.709</v>
      </c>
      <c r="T26" s="29" t="n">
        <v>0</v>
      </c>
      <c r="U26" s="29" t="n">
        <v>11.78</v>
      </c>
      <c r="V26" s="29" t="n">
        <v>0</v>
      </c>
      <c r="W26" s="29" t="n">
        <v>162.415</v>
      </c>
      <c r="X26" s="29" t="n">
        <v>0.101</v>
      </c>
      <c r="Y26" s="29" t="n">
        <v>1.204</v>
      </c>
      <c r="Z26" s="29" t="n">
        <v>162.415</v>
      </c>
    </row>
    <row r="27" customFormat="false" ht="15" hidden="false" customHeight="false" outlineLevel="0" collapsed="false">
      <c r="A27" s="4" t="n">
        <v>2041</v>
      </c>
      <c r="B27" s="29" t="n">
        <v>0</v>
      </c>
      <c r="C27" s="29" t="n">
        <v>0</v>
      </c>
      <c r="D27" s="29" t="n">
        <v>5.537</v>
      </c>
      <c r="E27" s="29" t="n">
        <v>13.096</v>
      </c>
      <c r="F27" s="29" t="n">
        <v>0.22</v>
      </c>
      <c r="G27" s="29" t="n">
        <v>8.505</v>
      </c>
      <c r="H27" s="29" t="n">
        <v>0</v>
      </c>
      <c r="I27" s="29" t="n">
        <v>123.433</v>
      </c>
      <c r="J27" s="29" t="n">
        <v>280.746</v>
      </c>
      <c r="K27" s="29" t="n">
        <v>0</v>
      </c>
      <c r="L27" s="29" t="n">
        <v>57.027</v>
      </c>
      <c r="M27" s="29" t="n">
        <v>0.96</v>
      </c>
      <c r="N27" s="29" t="n">
        <v>22.113</v>
      </c>
      <c r="O27" s="29" t="n">
        <v>27.511</v>
      </c>
      <c r="P27" s="29" t="n">
        <v>49.085</v>
      </c>
      <c r="Q27" s="29" t="n">
        <v>94.939</v>
      </c>
      <c r="R27" s="29" t="n">
        <v>0</v>
      </c>
      <c r="S27" s="29" t="n">
        <v>2143.297</v>
      </c>
      <c r="T27" s="29" t="n">
        <v>0</v>
      </c>
      <c r="U27" s="29" t="n">
        <v>10.727</v>
      </c>
      <c r="V27" s="29" t="n">
        <v>0</v>
      </c>
      <c r="W27" s="29" t="n">
        <v>168.638</v>
      </c>
      <c r="X27" s="29" t="n">
        <v>0.103</v>
      </c>
      <c r="Y27" s="29" t="n">
        <v>1.287</v>
      </c>
      <c r="Z27" s="29" t="n">
        <v>168.638</v>
      </c>
    </row>
    <row r="28" customFormat="false" ht="15" hidden="false" customHeight="false" outlineLevel="0" collapsed="false">
      <c r="A28" s="4" t="n">
        <v>2042</v>
      </c>
      <c r="B28" s="29" t="n">
        <v>0</v>
      </c>
      <c r="C28" s="29" t="n">
        <v>0</v>
      </c>
      <c r="D28" s="29" t="n">
        <v>5.673</v>
      </c>
      <c r="E28" s="29" t="n">
        <v>11.416</v>
      </c>
      <c r="F28" s="29" t="n">
        <v>0.199</v>
      </c>
      <c r="G28" s="29" t="n">
        <v>7.684</v>
      </c>
      <c r="H28" s="29" t="n">
        <v>0</v>
      </c>
      <c r="I28" s="29" t="n">
        <v>112.318</v>
      </c>
      <c r="J28" s="29" t="n">
        <v>289.61</v>
      </c>
      <c r="K28" s="29" t="n">
        <v>0</v>
      </c>
      <c r="L28" s="29" t="n">
        <v>51.296</v>
      </c>
      <c r="M28" s="29" t="n">
        <v>0.96</v>
      </c>
      <c r="N28" s="29" t="n">
        <v>18.902</v>
      </c>
      <c r="O28" s="29" t="n">
        <v>29.43</v>
      </c>
      <c r="P28" s="29" t="n">
        <v>49.342</v>
      </c>
      <c r="Q28" s="29" t="n">
        <v>94.859</v>
      </c>
      <c r="R28" s="29" t="n">
        <v>0</v>
      </c>
      <c r="S28" s="29" t="n">
        <v>2203.577</v>
      </c>
      <c r="T28" s="29" t="n">
        <v>0</v>
      </c>
      <c r="U28" s="29" t="n">
        <v>9.713</v>
      </c>
      <c r="V28" s="29" t="n">
        <v>0</v>
      </c>
      <c r="W28" s="29" t="n">
        <v>173.245</v>
      </c>
      <c r="X28" s="29" t="n">
        <v>0.105</v>
      </c>
      <c r="Y28" s="29" t="n">
        <v>1.335</v>
      </c>
      <c r="Z28" s="29" t="n">
        <v>173.245</v>
      </c>
    </row>
    <row r="29" customFormat="false" ht="15" hidden="false" customHeight="false" outlineLevel="0" collapsed="false">
      <c r="A29" s="4" t="n">
        <v>2043</v>
      </c>
      <c r="B29" s="29" t="n">
        <v>0</v>
      </c>
      <c r="C29" s="29" t="n">
        <v>0</v>
      </c>
      <c r="D29" s="29" t="n">
        <v>5.81</v>
      </c>
      <c r="E29" s="29" t="n">
        <v>10.335</v>
      </c>
      <c r="F29" s="29" t="n">
        <v>0.178</v>
      </c>
      <c r="G29" s="29" t="n">
        <v>6.897</v>
      </c>
      <c r="H29" s="29" t="n">
        <v>0</v>
      </c>
      <c r="I29" s="29" t="n">
        <v>100.951</v>
      </c>
      <c r="J29" s="29" t="n">
        <v>298.424</v>
      </c>
      <c r="K29" s="29" t="n">
        <v>0</v>
      </c>
      <c r="L29" s="29" t="n">
        <v>45.41</v>
      </c>
      <c r="M29" s="29" t="n">
        <v>0.96</v>
      </c>
      <c r="N29" s="29" t="n">
        <v>16.787</v>
      </c>
      <c r="O29" s="29" t="n">
        <v>31.302</v>
      </c>
      <c r="P29" s="29" t="n">
        <v>49.583</v>
      </c>
      <c r="Q29" s="29" t="n">
        <v>94.781</v>
      </c>
      <c r="R29" s="29" t="n">
        <v>0</v>
      </c>
      <c r="S29" s="29" t="n">
        <v>2240.299</v>
      </c>
      <c r="T29" s="29" t="n">
        <v>0</v>
      </c>
      <c r="U29" s="29" t="n">
        <v>8.739</v>
      </c>
      <c r="V29" s="29" t="n">
        <v>0</v>
      </c>
      <c r="W29" s="29" t="n">
        <v>175.977</v>
      </c>
      <c r="X29" s="29" t="n">
        <v>0.108</v>
      </c>
      <c r="Y29" s="29" t="n">
        <v>1.344</v>
      </c>
      <c r="Z29" s="29" t="n">
        <v>175.977</v>
      </c>
    </row>
    <row r="30" customFormat="false" ht="15" hidden="false" customHeight="false" outlineLevel="0" collapsed="false">
      <c r="A30" s="4" t="n">
        <v>2044</v>
      </c>
      <c r="B30" s="29" t="n">
        <v>0</v>
      </c>
      <c r="C30" s="29" t="n">
        <v>0</v>
      </c>
      <c r="D30" s="29" t="n">
        <v>5.95</v>
      </c>
      <c r="E30" s="29" t="n">
        <v>9.352</v>
      </c>
      <c r="F30" s="29" t="n">
        <v>0.159</v>
      </c>
      <c r="G30" s="29" t="n">
        <v>6.144</v>
      </c>
      <c r="H30" s="29" t="n">
        <v>0</v>
      </c>
      <c r="I30" s="29" t="n">
        <v>89.337</v>
      </c>
      <c r="J30" s="29" t="n">
        <v>307.267</v>
      </c>
      <c r="K30" s="29" t="n">
        <v>0</v>
      </c>
      <c r="L30" s="29" t="n">
        <v>39.374</v>
      </c>
      <c r="M30" s="29" t="n">
        <v>0.96</v>
      </c>
      <c r="N30" s="29" t="n">
        <v>15.132</v>
      </c>
      <c r="O30" s="29" t="n">
        <v>33.126</v>
      </c>
      <c r="P30" s="29" t="n">
        <v>49.807</v>
      </c>
      <c r="Q30" s="29" t="n">
        <v>94.706</v>
      </c>
      <c r="R30" s="29" t="n">
        <v>0</v>
      </c>
      <c r="S30" s="29" t="n">
        <v>2300.419</v>
      </c>
      <c r="T30" s="29" t="n">
        <v>0</v>
      </c>
      <c r="U30" s="29" t="n">
        <v>7.802</v>
      </c>
      <c r="V30" s="29" t="n">
        <v>0</v>
      </c>
      <c r="W30" s="29" t="n">
        <v>180.521</v>
      </c>
      <c r="X30" s="29" t="n">
        <v>0.11</v>
      </c>
      <c r="Y30" s="29" t="n">
        <v>1.449</v>
      </c>
      <c r="Z30" s="29" t="n">
        <v>180.521</v>
      </c>
    </row>
    <row r="31" customFormat="false" ht="15" hidden="false" customHeight="false" outlineLevel="0" collapsed="false">
      <c r="A31" s="4" t="n">
        <v>2045</v>
      </c>
      <c r="B31" s="29" t="n">
        <v>0</v>
      </c>
      <c r="C31" s="29" t="n">
        <v>0</v>
      </c>
      <c r="D31" s="29" t="n">
        <v>6.093</v>
      </c>
      <c r="E31" s="29" t="n">
        <v>8.975</v>
      </c>
      <c r="F31" s="29" t="n">
        <v>0.14</v>
      </c>
      <c r="G31" s="29" t="n">
        <v>5.423</v>
      </c>
      <c r="H31" s="29" t="n">
        <v>0</v>
      </c>
      <c r="I31" s="29" t="n">
        <v>77.483</v>
      </c>
      <c r="J31" s="29" t="n">
        <v>315.962</v>
      </c>
      <c r="K31" s="29" t="n">
        <v>0</v>
      </c>
      <c r="L31" s="29" t="n">
        <v>33.19</v>
      </c>
      <c r="M31" s="29" t="n">
        <v>0.96</v>
      </c>
      <c r="N31" s="29" t="n">
        <v>15.011</v>
      </c>
      <c r="O31" s="29" t="n">
        <v>34.901</v>
      </c>
      <c r="P31" s="29" t="n">
        <v>50.012</v>
      </c>
      <c r="Q31" s="29" t="n">
        <v>94.634</v>
      </c>
      <c r="R31" s="29" t="n">
        <v>0</v>
      </c>
      <c r="S31" s="29" t="n">
        <v>2359.917</v>
      </c>
      <c r="T31" s="29" t="n">
        <v>0</v>
      </c>
      <c r="U31" s="29" t="n">
        <v>6.903</v>
      </c>
      <c r="V31" s="29" t="n">
        <v>0</v>
      </c>
      <c r="W31" s="29" t="n">
        <v>184.939</v>
      </c>
      <c r="X31" s="29" t="n">
        <v>0.113</v>
      </c>
      <c r="Y31" s="29" t="n">
        <v>1.665</v>
      </c>
      <c r="Z31" s="29" t="n">
        <v>184.939</v>
      </c>
    </row>
    <row r="32" customFormat="false" ht="15" hidden="false" customHeight="false" outlineLevel="0" collapsed="false">
      <c r="A32" s="4" t="n">
        <v>2046</v>
      </c>
      <c r="B32" s="29" t="n">
        <v>0</v>
      </c>
      <c r="C32" s="29" t="n">
        <v>0</v>
      </c>
      <c r="D32" s="29" t="n">
        <v>6.24</v>
      </c>
      <c r="E32" s="29" t="n">
        <v>9.059</v>
      </c>
      <c r="F32" s="29" t="n">
        <v>0.122</v>
      </c>
      <c r="G32" s="29" t="n">
        <v>4.735</v>
      </c>
      <c r="H32" s="29" t="n">
        <v>0</v>
      </c>
      <c r="I32" s="29" t="n">
        <v>65.396</v>
      </c>
      <c r="J32" s="29" t="n">
        <v>325.074</v>
      </c>
      <c r="K32" s="29" t="n">
        <v>0</v>
      </c>
      <c r="L32" s="29" t="n">
        <v>26.865</v>
      </c>
      <c r="M32" s="29" t="n">
        <v>0.96</v>
      </c>
      <c r="N32" s="29" t="n">
        <v>14.961</v>
      </c>
      <c r="O32" s="29" t="n">
        <v>36.628</v>
      </c>
      <c r="P32" s="29" t="n">
        <v>50.197</v>
      </c>
      <c r="Q32" s="29" t="n">
        <v>94.565</v>
      </c>
      <c r="R32" s="29" t="n">
        <v>0</v>
      </c>
      <c r="S32" s="29" t="n">
        <v>2420.76</v>
      </c>
      <c r="T32" s="29" t="n">
        <v>0</v>
      </c>
      <c r="U32" s="29" t="n">
        <v>6.039</v>
      </c>
      <c r="V32" s="29" t="n">
        <v>0</v>
      </c>
      <c r="W32" s="29" t="n">
        <v>189.54</v>
      </c>
      <c r="X32" s="29" t="n">
        <v>0.115</v>
      </c>
      <c r="Y32" s="29" t="n">
        <v>1.709</v>
      </c>
      <c r="Z32" s="29" t="n">
        <v>189.54</v>
      </c>
    </row>
    <row r="33" customFormat="false" ht="15" hidden="false" customHeight="false" outlineLevel="0" collapsed="false">
      <c r="A33" s="4" t="n">
        <v>2047</v>
      </c>
      <c r="B33" s="29" t="n">
        <v>0</v>
      </c>
      <c r="C33" s="29" t="n">
        <v>0</v>
      </c>
      <c r="D33" s="29" t="n">
        <v>6.391</v>
      </c>
      <c r="E33" s="29" t="n">
        <v>9.154</v>
      </c>
      <c r="F33" s="29" t="n">
        <v>0.105</v>
      </c>
      <c r="G33" s="29" t="n">
        <v>4.077</v>
      </c>
      <c r="H33" s="29" t="n">
        <v>0</v>
      </c>
      <c r="I33" s="29" t="n">
        <v>53.084</v>
      </c>
      <c r="J33" s="29" t="n">
        <v>334.21</v>
      </c>
      <c r="K33" s="29" t="n">
        <v>0</v>
      </c>
      <c r="L33" s="29" t="n">
        <v>20.403</v>
      </c>
      <c r="M33" s="29" t="n">
        <v>0.96</v>
      </c>
      <c r="N33" s="29" t="n">
        <v>14.91</v>
      </c>
      <c r="O33" s="29" t="n">
        <v>38.305</v>
      </c>
      <c r="P33" s="29" t="n">
        <v>50.359</v>
      </c>
      <c r="Q33" s="29" t="n">
        <v>94.499</v>
      </c>
      <c r="R33" s="29" t="n">
        <v>0</v>
      </c>
      <c r="S33" s="29" t="n">
        <v>2480.642</v>
      </c>
      <c r="T33" s="29" t="n">
        <v>0</v>
      </c>
      <c r="U33" s="29" t="n">
        <v>5.211</v>
      </c>
      <c r="V33" s="29" t="n">
        <v>0</v>
      </c>
      <c r="W33" s="29" t="n">
        <v>194.035</v>
      </c>
      <c r="X33" s="29" t="n">
        <v>0.118</v>
      </c>
      <c r="Y33" s="29" t="n">
        <v>1.75</v>
      </c>
      <c r="Z33" s="29" t="n">
        <v>194.035</v>
      </c>
    </row>
    <row r="34" customFormat="false" ht="15" hidden="false" customHeight="false" outlineLevel="0" collapsed="false">
      <c r="A34" s="4" t="n">
        <v>2048</v>
      </c>
      <c r="B34" s="29" t="n">
        <v>0</v>
      </c>
      <c r="C34" s="29" t="n">
        <v>0</v>
      </c>
      <c r="D34" s="29" t="n">
        <v>6.545</v>
      </c>
      <c r="E34" s="29" t="n">
        <v>9.259</v>
      </c>
      <c r="F34" s="29" t="n">
        <v>0.089</v>
      </c>
      <c r="G34" s="29" t="n">
        <v>3.45</v>
      </c>
      <c r="H34" s="29" t="n">
        <v>0</v>
      </c>
      <c r="I34" s="29" t="n">
        <v>40.559</v>
      </c>
      <c r="J34" s="29" t="n">
        <v>343.367</v>
      </c>
      <c r="K34" s="29" t="n">
        <v>0</v>
      </c>
      <c r="L34" s="29" t="n">
        <v>13.812</v>
      </c>
      <c r="M34" s="29" t="n">
        <v>0.96</v>
      </c>
      <c r="N34" s="29" t="n">
        <v>14.859</v>
      </c>
      <c r="O34" s="29" t="n">
        <v>39.931</v>
      </c>
      <c r="P34" s="29" t="n">
        <v>50.498</v>
      </c>
      <c r="Q34" s="29" t="n">
        <v>94.435</v>
      </c>
      <c r="R34" s="29" t="n">
        <v>0</v>
      </c>
      <c r="S34" s="29" t="n">
        <v>2540.03</v>
      </c>
      <c r="T34" s="29" t="n">
        <v>0</v>
      </c>
      <c r="U34" s="29" t="n">
        <v>4.418</v>
      </c>
      <c r="V34" s="29" t="n">
        <v>0</v>
      </c>
      <c r="W34" s="29" t="n">
        <v>198.457</v>
      </c>
      <c r="X34" s="29" t="n">
        <v>0.121</v>
      </c>
      <c r="Y34" s="29" t="n">
        <v>1.788</v>
      </c>
      <c r="Z34" s="29" t="n">
        <v>198.457</v>
      </c>
    </row>
    <row r="35" customFormat="false" ht="15" hidden="false" customHeight="false" outlineLevel="0" collapsed="false">
      <c r="A35" s="4" t="n">
        <v>2049</v>
      </c>
      <c r="B35" s="29" t="n">
        <v>0</v>
      </c>
      <c r="C35" s="29" t="n">
        <v>0</v>
      </c>
      <c r="D35" s="29" t="n">
        <v>6.704</v>
      </c>
      <c r="E35" s="29" t="n">
        <v>9.376</v>
      </c>
      <c r="F35" s="29" t="n">
        <v>0.074</v>
      </c>
      <c r="G35" s="29" t="n">
        <v>2.853</v>
      </c>
      <c r="H35" s="29" t="n">
        <v>0</v>
      </c>
      <c r="I35" s="29" t="n">
        <v>27.832</v>
      </c>
      <c r="J35" s="29" t="n">
        <v>352.6</v>
      </c>
      <c r="K35" s="29" t="n">
        <v>0</v>
      </c>
      <c r="L35" s="29" t="n">
        <v>7.099</v>
      </c>
      <c r="M35" s="29" t="n">
        <v>0.96</v>
      </c>
      <c r="N35" s="29" t="n">
        <v>14.807</v>
      </c>
      <c r="O35" s="29" t="n">
        <v>41.504</v>
      </c>
      <c r="P35" s="29" t="n">
        <v>50.612</v>
      </c>
      <c r="Q35" s="29" t="n">
        <v>94.375</v>
      </c>
      <c r="R35" s="29" t="n">
        <v>0</v>
      </c>
      <c r="S35" s="29" t="n">
        <v>2598.166</v>
      </c>
      <c r="T35" s="29" t="n">
        <v>0</v>
      </c>
      <c r="U35" s="29" t="n">
        <v>3.661</v>
      </c>
      <c r="V35" s="29" t="n">
        <v>0</v>
      </c>
      <c r="W35" s="29" t="n">
        <v>202.761</v>
      </c>
      <c r="X35" s="29" t="n">
        <v>0.124</v>
      </c>
      <c r="Y35" s="29" t="n">
        <v>1.823</v>
      </c>
      <c r="Z35" s="29" t="n">
        <v>202.761</v>
      </c>
    </row>
    <row r="36" customFormat="false" ht="15" hidden="false" customHeight="false" outlineLevel="0" collapsed="false">
      <c r="A36" s="4" t="n">
        <v>2050</v>
      </c>
      <c r="B36" s="29" t="n">
        <v>0</v>
      </c>
      <c r="C36" s="29" t="n">
        <v>0</v>
      </c>
      <c r="D36" s="29" t="n">
        <v>6.866</v>
      </c>
      <c r="E36" s="29" t="n">
        <v>9.503</v>
      </c>
      <c r="F36" s="29" t="n">
        <v>0.059</v>
      </c>
      <c r="G36" s="29" t="n">
        <v>2.284</v>
      </c>
      <c r="H36" s="29" t="n">
        <v>0</v>
      </c>
      <c r="I36" s="29" t="n">
        <v>14.918</v>
      </c>
      <c r="J36" s="29" t="n">
        <v>361.853</v>
      </c>
      <c r="K36" s="29" t="n">
        <v>0</v>
      </c>
      <c r="L36" s="29" t="n">
        <v>0.274</v>
      </c>
      <c r="M36" s="29" t="n">
        <v>0.96</v>
      </c>
      <c r="N36" s="29" t="n">
        <v>14.755</v>
      </c>
      <c r="O36" s="29" t="n">
        <v>43.023</v>
      </c>
      <c r="P36" s="29" t="n">
        <v>50.699</v>
      </c>
      <c r="Q36" s="29" t="n">
        <v>94.316</v>
      </c>
      <c r="R36" s="29" t="n">
        <v>0</v>
      </c>
      <c r="S36" s="29" t="n">
        <v>2656.329</v>
      </c>
      <c r="T36" s="29" t="n">
        <v>0</v>
      </c>
      <c r="U36" s="29" t="n">
        <v>2.936</v>
      </c>
      <c r="V36" s="29" t="n">
        <v>0</v>
      </c>
      <c r="W36" s="29" t="n">
        <v>207.032</v>
      </c>
      <c r="X36" s="29" t="n">
        <v>0.127</v>
      </c>
      <c r="Y36" s="29" t="n">
        <v>1.855</v>
      </c>
      <c r="Z36" s="29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306</v>
      </c>
    </row>
    <row r="2" customFormat="false" ht="15" hidden="false" customHeight="false" outlineLevel="0" collapsed="false">
      <c r="A2" s="22" t="s">
        <v>307</v>
      </c>
    </row>
    <row r="3" customFormat="false" ht="15" hidden="false" customHeight="false" outlineLevel="0" collapsed="false">
      <c r="A3" s="22" t="s">
        <v>308</v>
      </c>
    </row>
    <row r="5" customFormat="false" ht="26.85" hidden="false" customHeight="false" outlineLevel="0" collapsed="false">
      <c r="A5" s="3" t="s">
        <v>309</v>
      </c>
      <c r="B5" s="3" t="s">
        <v>310</v>
      </c>
      <c r="C5" s="3" t="s">
        <v>311</v>
      </c>
      <c r="D5" s="3" t="s">
        <v>312</v>
      </c>
    </row>
    <row r="6" customFormat="false" ht="15" hidden="false" customHeight="false" outlineLevel="0" collapsed="false">
      <c r="A6" s="4" t="s">
        <v>313</v>
      </c>
      <c r="B6" s="30" t="n">
        <v>372</v>
      </c>
      <c r="C6" s="8" t="n">
        <f aca="false">B6/B$10</f>
        <v>0.145142411236832</v>
      </c>
      <c r="D6" s="31" t="n">
        <f aca="false">C6*500</f>
        <v>72.5712056184159</v>
      </c>
    </row>
    <row r="7" customFormat="false" ht="15" hidden="false" customHeight="false" outlineLevel="0" collapsed="false">
      <c r="A7" s="4" t="s">
        <v>314</v>
      </c>
      <c r="B7" s="30" t="n">
        <v>339</v>
      </c>
      <c r="C7" s="8" t="n">
        <f aca="false">B7/B$10</f>
        <v>0.132266874756145</v>
      </c>
      <c r="D7" s="31" t="n">
        <f aca="false">C7*500</f>
        <v>66.1334373780726</v>
      </c>
    </row>
    <row r="8" customFormat="false" ht="15" hidden="false" customHeight="false" outlineLevel="0" collapsed="false">
      <c r="A8" s="4" t="s">
        <v>315</v>
      </c>
      <c r="B8" s="30" t="n">
        <v>862</v>
      </c>
      <c r="C8" s="8" t="n">
        <f aca="false">B8/B$10</f>
        <v>0.336324619586422</v>
      </c>
      <c r="D8" s="31" t="n">
        <f aca="false">C8*500</f>
        <v>168.162309793211</v>
      </c>
    </row>
    <row r="9" customFormat="false" ht="15" hidden="false" customHeight="false" outlineLevel="0" collapsed="false">
      <c r="A9" s="4" t="s">
        <v>316</v>
      </c>
      <c r="B9" s="30" t="n">
        <v>990</v>
      </c>
      <c r="C9" s="8" t="n">
        <f aca="false">B9/B$10</f>
        <v>0.386266094420601</v>
      </c>
      <c r="D9" s="31" t="n">
        <f aca="false">C9*500</f>
        <v>193.1330472103</v>
      </c>
    </row>
    <row r="10" customFormat="false" ht="15" hidden="false" customHeight="false" outlineLevel="0" collapsed="false">
      <c r="A10" s="10" t="s">
        <v>317</v>
      </c>
      <c r="B10" s="10" t="n">
        <f aca="false">SUM(B6:B9)</f>
        <v>2563</v>
      </c>
      <c r="C10" s="12"/>
      <c r="D10" s="32" t="n">
        <f aca="false">SUM(D6:D9)</f>
        <v>500</v>
      </c>
    </row>
    <row r="12" customFormat="false" ht="15" hidden="false" customHeight="false" outlineLevel="0" collapsed="false">
      <c r="A12" s="13" t="s">
        <v>318</v>
      </c>
    </row>
    <row r="13" customFormat="false" ht="15" hidden="false" customHeight="false" outlineLevel="0" collapsed="false">
      <c r="A13" s="4" t="s">
        <v>319</v>
      </c>
      <c r="B13" s="33" t="n">
        <v>299</v>
      </c>
      <c r="C13" s="34" t="s">
        <v>320</v>
      </c>
    </row>
    <row r="14" customFormat="false" ht="15" hidden="false" customHeight="false" outlineLevel="0" collapsed="false">
      <c r="A14" s="4" t="s">
        <v>321</v>
      </c>
      <c r="B14" s="33" t="n">
        <v>152</v>
      </c>
      <c r="C14" s="34" t="s">
        <v>320</v>
      </c>
    </row>
    <row r="16" customFormat="false" ht="15" hidden="false" customHeight="false" outlineLevel="0" collapsed="false">
      <c r="A16" s="35" t="s">
        <v>322</v>
      </c>
    </row>
    <row r="17" customFormat="false" ht="15" hidden="false" customHeight="false" outlineLevel="0" collapsed="false">
      <c r="A17" s="22" t="s">
        <v>323</v>
      </c>
    </row>
    <row r="18" customFormat="false" ht="15" hidden="false" customHeight="false" outlineLevel="0" collapsed="false">
      <c r="A18" s="22" t="s">
        <v>324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325</v>
      </c>
    </row>
    <row r="21" customFormat="false" ht="15" hidden="false" customHeight="false" outlineLevel="0" collapsed="false">
      <c r="A21" s="22" t="s">
        <v>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327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328</v>
      </c>
    </row>
    <row r="4" customFormat="false" ht="15" hidden="false" customHeight="false" outlineLevel="0" collapsed="false">
      <c r="A4" s="2" t="s">
        <v>329</v>
      </c>
    </row>
    <row r="5" customFormat="false" ht="15" hidden="false" customHeight="false" outlineLevel="0" collapsed="false">
      <c r="A5" s="2" t="s">
        <v>330</v>
      </c>
    </row>
    <row r="6" customFormat="false" ht="15" hidden="false" customHeight="false" outlineLevel="0" collapsed="false">
      <c r="A6" s="2" t="s">
        <v>331</v>
      </c>
    </row>
    <row r="7" customFormat="false" ht="15" hidden="false" customHeight="false" outlineLevel="0" collapsed="false">
      <c r="A7" s="2" t="s">
        <v>332</v>
      </c>
    </row>
    <row r="8" customFormat="false" ht="15" hidden="false" customHeight="false" outlineLevel="0" collapsed="false">
      <c r="A8" s="2" t="s">
        <v>333</v>
      </c>
    </row>
    <row r="9" customFormat="false" ht="15" hidden="false" customHeight="false" outlineLevel="0" collapsed="false">
      <c r="A9" s="2" t="s">
        <v>334</v>
      </c>
    </row>
    <row r="10" customFormat="false" ht="15" hidden="false" customHeight="false" outlineLevel="0" collapsed="false">
      <c r="A10" s="2" t="s">
        <v>335</v>
      </c>
    </row>
    <row r="11" customFormat="false" ht="15" hidden="false" customHeight="false" outlineLevel="0" collapsed="false">
      <c r="A11" s="2" t="s">
        <v>336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337</v>
      </c>
    </row>
    <row r="14" customFormat="false" ht="15" hidden="false" customHeight="false" outlineLevel="0" collapsed="false">
      <c r="A14" s="2" t="s">
        <v>338</v>
      </c>
    </row>
    <row r="15" customFormat="false" ht="15" hidden="false" customHeight="false" outlineLevel="0" collapsed="false">
      <c r="A15" s="2" t="s">
        <v>339</v>
      </c>
    </row>
    <row r="16" customFormat="false" ht="15" hidden="false" customHeight="false" outlineLevel="0" collapsed="false">
      <c r="A16" s="2" t="s">
        <v>340</v>
      </c>
    </row>
    <row r="17" customFormat="false" ht="15" hidden="false" customHeight="false" outlineLevel="0" collapsed="false">
      <c r="A17" s="2" t="s">
        <v>341</v>
      </c>
    </row>
    <row r="18" customFormat="false" ht="15" hidden="false" customHeight="false" outlineLevel="0" collapsed="false">
      <c r="A18" s="2" t="s">
        <v>342</v>
      </c>
    </row>
    <row r="19" customFormat="false" ht="15" hidden="false" customHeight="false" outlineLevel="0" collapsed="false">
      <c r="A19" s="2" t="s">
        <v>343</v>
      </c>
    </row>
    <row r="20" customFormat="false" ht="15" hidden="false" customHeight="false" outlineLevel="0" collapsed="false">
      <c r="A20" s="2" t="s">
        <v>344</v>
      </c>
    </row>
    <row r="21" customFormat="false" ht="15" hidden="false" customHeight="false" outlineLevel="0" collapsed="false">
      <c r="A21" s="2" t="s">
        <v>345</v>
      </c>
    </row>
    <row r="22" customFormat="false" ht="15" hidden="false" customHeight="false" outlineLevel="0" collapsed="false">
      <c r="A22" s="2" t="s">
        <v>346</v>
      </c>
    </row>
    <row r="23" customFormat="false" ht="15" hidden="false" customHeight="false" outlineLevel="0" collapsed="false">
      <c r="A23" s="2" t="s">
        <v>347</v>
      </c>
    </row>
    <row r="24" customFormat="false" ht="15" hidden="false" customHeight="false" outlineLevel="0" collapsed="false">
      <c r="A24" s="2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349</v>
      </c>
    </row>
    <row r="2" customFormat="false" ht="15" hidden="false" customHeight="false" outlineLevel="0" collapsed="false">
      <c r="A2" s="22" t="s">
        <v>350</v>
      </c>
    </row>
    <row r="3" customFormat="false" ht="15" hidden="false" customHeight="false" outlineLevel="0" collapsed="false">
      <c r="A3" s="36" t="s">
        <v>351</v>
      </c>
    </row>
    <row r="5" customFormat="false" ht="26.85" hidden="false" customHeight="false" outlineLevel="0" collapsed="false">
      <c r="A5" s="3" t="s">
        <v>169</v>
      </c>
      <c r="B5" s="3" t="s">
        <v>352</v>
      </c>
      <c r="C5" s="3" t="s">
        <v>353</v>
      </c>
      <c r="D5" s="3" t="s">
        <v>354</v>
      </c>
      <c r="E5" s="3" t="s">
        <v>355</v>
      </c>
      <c r="F5" s="3" t="s">
        <v>356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7" t="s">
        <v>357</v>
      </c>
      <c r="F6" s="38" t="s">
        <v>358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7" t="s">
        <v>357</v>
      </c>
      <c r="F7" s="38" t="s">
        <v>359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7" t="s">
        <v>357</v>
      </c>
      <c r="F8" s="38" t="s">
        <v>359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7" t="s">
        <v>357</v>
      </c>
      <c r="F9" s="38" t="s">
        <v>358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7" t="s">
        <v>357</v>
      </c>
      <c r="F10" s="38" t="s">
        <v>359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7" t="s">
        <v>357</v>
      </c>
      <c r="F11" s="38" t="s">
        <v>359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7" t="s">
        <v>357</v>
      </c>
      <c r="F12" s="38" t="s">
        <v>359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7" t="s">
        <v>357</v>
      </c>
      <c r="F13" s="38" t="s">
        <v>358</v>
      </c>
    </row>
    <row r="14" customFormat="false" ht="15" hidden="false" customHeight="false" outlineLevel="0" collapsed="false">
      <c r="A14" s="4" t="s">
        <v>360</v>
      </c>
      <c r="B14" s="7" t="n">
        <v>0</v>
      </c>
      <c r="C14" s="7" t="n">
        <v>17.427</v>
      </c>
      <c r="D14" s="7" t="n">
        <v>17.427</v>
      </c>
      <c r="E14" s="37" t="s">
        <v>357</v>
      </c>
      <c r="F14" s="38" t="s">
        <v>358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7" t="s">
        <v>357</v>
      </c>
      <c r="F15" s="38" t="s">
        <v>359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7" t="s">
        <v>357</v>
      </c>
      <c r="F16" s="38" t="s">
        <v>358</v>
      </c>
    </row>
    <row r="17" customFormat="false" ht="15" hidden="false" customHeight="false" outlineLevel="0" collapsed="false">
      <c r="A17" s="4" t="s">
        <v>361</v>
      </c>
      <c r="B17" s="7" t="n">
        <v>0</v>
      </c>
      <c r="C17" s="7" t="n">
        <v>8.135</v>
      </c>
      <c r="D17" s="7" t="n">
        <v>8.135</v>
      </c>
      <c r="E17" s="37" t="s">
        <v>357</v>
      </c>
      <c r="F17" s="38" t="s">
        <v>359</v>
      </c>
    </row>
    <row r="18" customFormat="false" ht="15" hidden="false" customHeight="false" outlineLevel="0" collapsed="false">
      <c r="A18" s="4" t="s">
        <v>362</v>
      </c>
      <c r="B18" s="7" t="n">
        <v>0</v>
      </c>
      <c r="C18" s="7" t="n">
        <v>4.795</v>
      </c>
      <c r="D18" s="7" t="n">
        <v>4.795</v>
      </c>
      <c r="E18" s="37" t="s">
        <v>357</v>
      </c>
      <c r="F18" s="38" t="s">
        <v>359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7" t="s">
        <v>357</v>
      </c>
      <c r="F19" s="38" t="s">
        <v>359</v>
      </c>
    </row>
    <row r="20" customFormat="false" ht="15" hidden="false" customHeight="false" outlineLevel="0" collapsed="false">
      <c r="A20" s="4" t="s">
        <v>363</v>
      </c>
      <c r="B20" s="7" t="n">
        <v>0</v>
      </c>
      <c r="C20" s="7" t="n">
        <v>0.047</v>
      </c>
      <c r="D20" s="7" t="n">
        <v>0.047</v>
      </c>
      <c r="E20" s="37" t="s">
        <v>357</v>
      </c>
      <c r="F20" s="38" t="s">
        <v>364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7" t="s">
        <v>357</v>
      </c>
      <c r="F21" s="38" t="s">
        <v>359</v>
      </c>
    </row>
    <row r="23" customFormat="false" ht="15" hidden="false" customHeight="false" outlineLevel="0" collapsed="false">
      <c r="A23" s="35" t="s">
        <v>365</v>
      </c>
    </row>
    <row r="24" customFormat="false" ht="15" hidden="false" customHeight="false" outlineLevel="0" collapsed="false">
      <c r="A24" s="21" t="s">
        <v>366</v>
      </c>
    </row>
    <row r="25" customFormat="false" ht="15" hidden="false" customHeight="false" outlineLevel="0" collapsed="false">
      <c r="A25" s="21" t="s">
        <v>367</v>
      </c>
    </row>
    <row r="26" customFormat="false" ht="15" hidden="false" customHeight="false" outlineLevel="0" collapsed="false">
      <c r="A26" s="21" t="s">
        <v>368</v>
      </c>
    </row>
    <row r="27" customFormat="false" ht="15" hidden="false" customHeight="false" outlineLevel="0" collapsed="false">
      <c r="A27" s="21" t="s">
        <v>369</v>
      </c>
    </row>
    <row r="28" customFormat="false" ht="15" hidden="false" customHeight="false" outlineLevel="0" collapsed="false">
      <c r="A28" s="21" t="s">
        <v>370</v>
      </c>
    </row>
    <row r="29" customFormat="false" ht="15" hidden="false" customHeight="false" outlineLevel="0" collapsed="false">
      <c r="A29" s="21" t="s">
        <v>371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372</v>
      </c>
    </row>
    <row r="32" customFormat="false" ht="15" hidden="false" customHeight="false" outlineLevel="0" collapsed="false">
      <c r="A32" s="21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2026-07-28T20:48:09Z</dcterms:created>
  <dc:creator>openpyxl</dc:creator>
  <dc:description/>
  <dc:language>en-US</dc:language>
  <cp:lastModifiedBy/>
  <dcterms:modified xsi:type="dcterms:W3CDTF">2026-07-28T14:48:13Z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