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1_agent_split" sheetId="2" state="visible" r:id="rId4"/>
    <sheet name="T1_cost_vectors" sheetId="3" state="visible" r:id="rId5"/>
    <sheet name="T1_applied_SAM" sheetId="4" state="visible" r:id="rId6"/>
    <sheet name="T2_fuel_savings" sheetId="5" state="visible" r:id="rId7"/>
    <sheet name="T2_capex_by_tech" sheetId="6" state="visible" r:id="rId8"/>
    <sheet name="T2_note" sheetId="7" state="visible" r:id="rId9"/>
    <sheet name="T3_agent_split" sheetId="8" state="visible" r:id="rId10"/>
    <sheet name="T3_cost_vectors" sheetId="9" state="visible" r:id="rId11"/>
    <sheet name="T3_applied_SAM" sheetId="10" state="visible" r:id="rId12"/>
    <sheet name="T4_vehicles" sheetId="11" state="visible" r:id="rId13"/>
    <sheet name="T4_elec_generation" sheetId="12" state="visible" r:id="rId14"/>
    <sheet name="T4_energy_by_fuel" sheetId="13" state="visible" r:id="rId15"/>
    <sheet name="T5_ecosystem_split" sheetId="14" state="visible" r:id="rId16"/>
    <sheet name="T5_memo" sheetId="15" state="visible" r:id="rId17"/>
    <sheet name="T7_pct_change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<sst xmlns="http://schemas.openxmlformats.org/spreadsheetml/2006/main" count="606" uniqueCount="334">
  <si>
    <t xml:space="preserve">Morocco investment &amp; benefits crosswalk</t>
  </si>
  <si>
    <t xml:space="preserve">Units: billion 2019 USD, cumulative 2023-2050 unless noted. Source run: LEDS (LTS) vs BASE (no-action).</t>
  </si>
  <si>
    <t xml:space="preserve">STRUCTURE — each investment path is decomposed two independent ways, each summing to 100%:</t>
  </si>
  <si>
    <t xml:space="preserve">  (A) AGENT split  : who finances it — government / firms / households (depends on financing judgment).</t>
  </si>
  <si>
    <t xml:space="preserve">  (B) COST VECTOR  : what it buys — a vector across SAM sectors + IMPORTS (supply chain; independent of financing).</t>
  </si>
  <si>
    <t xml:space="preserve">Final SAM allocation = investment(sector) x cost-vector(sector).  Final agent allocation = investment(sector) x agent-share(sector).</t>
  </si>
  <si>
    <t xml:space="preserve">IMPORTS is a synthetic destination inside the 100% (the SAM has no imports row). Solar modules, wind turbines,</t>
  </si>
  <si>
    <t xml:space="preserve">EV drivetrains and heat pumps are largely imported; allocating them domestically would overstate domestic activity.</t>
  </si>
  <si>
    <t xml:space="preserve">'territorial correction' (SAM row 43) is excluded — it is a balancing item, not a sector.</t>
  </si>
  <si>
    <t xml:space="preserve">TABS</t>
  </si>
  <si>
    <t xml:space="preserve">  T1_agent_split   : investment x {gov, firms, hh} shares + applied bn + documented source per sector.</t>
  </si>
  <si>
    <t xml:space="preserve">  T1_cost_vectors  : share matrix, SAM destination x investment sector (blue = editable inputs; each column sums to 1).</t>
  </si>
  <si>
    <t xml:space="preserve">  T1_applied_SAM   : applied bn = cost-vector share x sector investment total (formulas).</t>
  </si>
  <si>
    <t xml:space="preserve">  T2_fuel_savings  : power-sector fuel COST savings by generation technology (from NEMOMOD).</t>
  </si>
  <si>
    <t xml:space="preserve">  T2_capex_by_tech : generation capital expenditure by technology (from NEMOMOD).</t>
  </si>
  <si>
    <t xml:space="preserve">  T2_note          : why these differ from the CB 'Fuel cost savings (power sector)' row. READ THIS.</t>
  </si>
  <si>
    <t xml:space="preserve">  T3_agent_split / T3_cost_vectors / T3_applied_SAM : benefits crosswalk (12 categories, 826.1 bn; 4 non-market</t>
  </si>
  <si>
    <t xml:space="preserve">                     categories excluded; food savings -&gt; households/food retail; livestock value stays negative).</t>
  </si>
  <si>
    <t xml:space="preserve">  T4_vehicles      : number of vehicles (fleet) by mode, LEDS, via VKT / annual-km-per-vehicle.</t>
  </si>
  <si>
    <t xml:space="preserve">  T4_elec_generation / T4_energy_by_fuel : energy mix exported from the Tableau 'drivers' datasource.</t>
  </si>
  <si>
    <t xml:space="preserve">  T5_ecosystem_split : evidence-based split of the $500/ha forest value (de Groot 2012 / Costanza 2014; food+carbon</t>
  </si>
  <si>
    <t xml:space="preserve">                     stripped and renormalised; tourism = the cultural/recreation subset, not a parallel category).</t>
  </si>
  <si>
    <t xml:space="preserve">  T5_memo          : answers to Moulaye's two disaggregation questions (food-by-product is mostly not feasible).</t>
  </si>
  <si>
    <t xml:space="preserve">  T7_pct_change    : (LTS-SNBC)/SNBC. FINDING: reused BAU ~ no-action, so the % denominator collapses (see tab).</t>
  </si>
  <si>
    <t xml:space="preserve">RECONCILIATION</t>
  </si>
  <si>
    <t xml:space="preserve">  Investment total (10 paths)            = 273.53 bn</t>
  </si>
  <si>
    <t xml:space="preserve">  Agent split total                      = 273.53 bn (ties to investment total)</t>
  </si>
  <si>
    <t xml:space="preserve">  Of the SAM allocation, IMPORTS captures ~22% (turbines, modules, EV drivetrains, heat pumps).</t>
  </si>
  <si>
    <t xml:space="preserve">LEGEND: blue = editable input (share/assumption) · black = formula · yellow = key assumption to review.</t>
  </si>
  <si>
    <t xml:space="preserve">Investment sector</t>
  </si>
  <si>
    <t xml:space="preserve">Investment (bn)</t>
  </si>
  <si>
    <t xml:space="preserve">Gov %</t>
  </si>
  <si>
    <t xml:space="preserve">Firms %</t>
  </si>
  <si>
    <t xml:space="preserve">HH %</t>
  </si>
  <si>
    <t xml:space="preserve">Gov (bn)</t>
  </si>
  <si>
    <t xml:space="preserve">Firms (bn)</t>
  </si>
  <si>
    <t xml:space="preserve">HH (bn)</t>
  </si>
  <si>
    <t xml:space="preserve">Row check</t>
  </si>
  <si>
    <t xml:space="preserve">Source (documented judgment)</t>
  </si>
  <si>
    <t xml:space="preserve">EN - Power Industry</t>
  </si>
  <si>
    <t xml:space="preserve">Morocco RE build-out is predominantly private IPP (MASEN/ACWA Power PPAs) with state offtake via ONEE; ~25% public/SOE (ONEE grid-side generation), ~5% distributed rooftop PV by households. Judgment informed by IEA Morocco 2023 &amp; World Bank MAR energy PPPs.</t>
  </si>
  <si>
    <t xml:space="preserve">EN - Building</t>
  </si>
  <si>
    <t xml:space="preserve">Building heat-pump / efficiency retrofits are mostly owner-financed: households (residential) 60%, commercial firms 30%, government 10% (public buildings). Our judgment.</t>
  </si>
  <si>
    <t xml:space="preserve">EN - Transportation</t>
  </si>
  <si>
    <t xml:space="preserve">EV purchases: private households 55%, commercial/fleet firms 40%, public fleets 5%. Our judgment (Morocco has no large public EV programme yet).</t>
  </si>
  <si>
    <t xml:space="preserve">EN - Industrial combustion</t>
  </si>
  <si>
    <t xml:space="preserve">Industrial fuel-switch / heat equipment is financed by industrial firms; ~5% public co-funding via decarbonisation support. Our judgment.</t>
  </si>
  <si>
    <t xml:space="preserve">IN - Industrial processes</t>
  </si>
  <si>
    <t xml:space="preserve">Cement/steel material-efficiency retrofits financed by industrial firms; minor public co-funding. Our judgment.</t>
  </si>
  <si>
    <t xml:space="preserve">Waste - Solid waste</t>
  </si>
  <si>
    <t xml:space="preserve">Solid-waste management is a municipal/public responsibility with private operators (delegated management, e.g. Averda/SOS-NDD): government 80%, firms 20%. Our judgment informed by Morocco PNDM waste programme.</t>
  </si>
  <si>
    <t xml:space="preserve">Waste - Wastewater treatment (trww)</t>
  </si>
  <si>
    <t xml:space="preserve">Wastewater treatment (ONEP/ONEE-Eau, municipal utilities) is public-led with private delegated operators: government 85%, firms 15%. Our judgment informed by PNA sanitation programme.</t>
  </si>
  <si>
    <t xml:space="preserve">Waste - Wastewater (liquid waste)</t>
  </si>
  <si>
    <t xml:space="preserve">Zero investment in this path; shares carried for completeness.</t>
  </si>
  <si>
    <t xml:space="preserve">AG - Livestock (manure)</t>
  </si>
  <si>
    <t xml:space="preserve">LULUCF - Forest land</t>
  </si>
  <si>
    <t xml:space="preserve">Reforestation is government-led (Eaux et Forets / Forets du Maroc 2020-2030 programme) 85%, private forestry firms 10%, community/household woodlots 5%. Our judgment.</t>
  </si>
  <si>
    <t xml:space="preserve">TOTAL</t>
  </si>
  <si>
    <t xml:space="preserve">SAM destination</t>
  </si>
  <si>
    <t xml:space="preserve">Investment (bn) -&gt;</t>
  </si>
  <si>
    <t xml:space="preserve">crops</t>
  </si>
  <si>
    <t xml:space="preserve">forestry</t>
  </si>
  <si>
    <t xml:space="preserve">livestock</t>
  </si>
  <si>
    <t xml:space="preserve">fishery and aquaculture</t>
  </si>
  <si>
    <t xml:space="preserve">Extractive activities</t>
  </si>
  <si>
    <t xml:space="preserve">food manufacturing and beverage</t>
  </si>
  <si>
    <t xml:space="preserve">textile manufacturing and clothes</t>
  </si>
  <si>
    <t xml:space="preserve">Wood product manufacturing</t>
  </si>
  <si>
    <t xml:space="preserve">coking and refining production</t>
  </si>
  <si>
    <t xml:space="preserve">chemical products</t>
  </si>
  <si>
    <t xml:space="preserve">pharmaceutical products</t>
  </si>
  <si>
    <t xml:space="preserve">rubber manufacturing</t>
  </si>
  <si>
    <t xml:space="preserve">metalwork manufacturing</t>
  </si>
  <si>
    <t xml:space="preserve">Manufacture of computer, electronic and optical products</t>
  </si>
  <si>
    <t xml:space="preserve">electrical equipment manufacturing</t>
  </si>
  <si>
    <t xml:space="preserve">machinery and equipment manufacturing</t>
  </si>
  <si>
    <t xml:space="preserve">transport equipment manufacturing</t>
  </si>
  <si>
    <t xml:space="preserve">other manufacturing</t>
  </si>
  <si>
    <t xml:space="preserve">electricity generation - coal</t>
  </si>
  <si>
    <t xml:space="preserve">electricity generation - oil</t>
  </si>
  <si>
    <t xml:space="preserve">electricity generation - natural gas</t>
  </si>
  <si>
    <t xml:space="preserve">electricity generation - hydro</t>
  </si>
  <si>
    <t xml:space="preserve">electricity generation - wind</t>
  </si>
  <si>
    <t xml:space="preserve">electricity generation - solar</t>
  </si>
  <si>
    <t xml:space="preserve">electricity generation - other sources</t>
  </si>
  <si>
    <t xml:space="preserve">electricity transmission and distribution</t>
  </si>
  <si>
    <t xml:space="preserve">gas manufacture, distribution</t>
  </si>
  <si>
    <t xml:space="preserve">water supply and sewerage</t>
  </si>
  <si>
    <t xml:space="preserve">construction</t>
  </si>
  <si>
    <t xml:space="preserve">repair of motor vehicles and motorcycles</t>
  </si>
  <si>
    <t xml:space="preserve">transport and warehouse</t>
  </si>
  <si>
    <t xml:space="preserve">Accommodation, Food and service activities</t>
  </si>
  <si>
    <t xml:space="preserve">Information and communication</t>
  </si>
  <si>
    <t xml:space="preserve">financial and insurance activities</t>
  </si>
  <si>
    <t xml:space="preserve">real estate</t>
  </si>
  <si>
    <t xml:space="preserve">research and development; travel agencies; support activities</t>
  </si>
  <si>
    <t xml:space="preserve">public administration</t>
  </si>
  <si>
    <t xml:space="preserve">education; health and social work</t>
  </si>
  <si>
    <t xml:space="preserve">other services</t>
  </si>
  <si>
    <t xml:space="preserve">IMPORTS (rest of world)</t>
  </si>
  <si>
    <t xml:space="preserve">SUM (must = 100%)</t>
  </si>
  <si>
    <t xml:space="preserve">SAM destination (bn 2019 USD)</t>
  </si>
  <si>
    <t xml:space="preserve">Task 2 — Power-sector FUEL COST SAVINGS by generation technology</t>
  </si>
  <si>
    <t xml:space="preserve">HOW THIS WAS COMPUTED (fuel cost savings by generation technology):</t>
  </si>
  <si>
    <t xml:space="preserve">1. Raw data: for each fuel, the value of fuel consumed by the power sector, per scenario and year, straight</t>
  </si>
  <si>
    <t xml:space="preserve">   from NEMOMOD column  totalvalue_enfu_fuel_consumed_entc_fuel_&lt;fuel&gt;  (= physical consumption x fuel price).</t>
  </si>
  <si>
    <t xml:space="preserve">2. Two raw blocks below show that variable in BASE (no-action) and in LEDS (LTS), in bn 2019 USD.</t>
  </si>
  <si>
    <t xml:space="preserve">3. Saving = BASE minus LEDS (the CALC block; every cell is a live formula subtracting the two raw cells).</t>
  </si>
  <si>
    <t xml:space="preserve">4. Each fuel is mapped 1:1 to the plant that burns it (coal-&gt;pp_coal, natural gas-&gt;pp_gas, oil-&gt;pp_oil, ...).</t>
  </si>
  <si>
    <t xml:space="preserve">   Renewables (solar/wind/hydro) burn no fuel -&gt; no row here -&gt; zero saving (correct: the saving is the</t>
  </si>
  <si>
    <t xml:space="preserve">   avoided coal/oil/gas purchase). This is NOT the CB 'Fuel cost savings (power sector)' row (a residual).</t>
  </si>
  <si>
    <t xml:space="preserve">RAW — fuel value in BASE / no-action (bn)</t>
  </si>
  <si>
    <t xml:space="preserve">Year</t>
  </si>
  <si>
    <t xml:space="preserve">coal (pp_coal)</t>
  </si>
  <si>
    <t xml:space="preserve">oil (pp_oil)</t>
  </si>
  <si>
    <t xml:space="preserve">natural_gas (pp_gas)</t>
  </si>
  <si>
    <t xml:space="preserve">biogas (pp_biogas)</t>
  </si>
  <si>
    <t xml:space="preserve">biomass (pp_biomass)</t>
  </si>
  <si>
    <t xml:space="preserve">nuclear (pp_nuclear)</t>
  </si>
  <si>
    <t xml:space="preserve">waste (pp_waste_incineration)</t>
  </si>
  <si>
    <t xml:space="preserve">source: coal (pp_coal)=totalvalue_enfu_fuel_consumed_entc_fuel_coal, oil (pp_oil)=totalvalue_enfu_fuel_consumed_entc_fuel_oil ...</t>
  </si>
  <si>
    <t xml:space="preserve">RAW — fuel value in LEDS / LTS (bn)</t>
  </si>
  <si>
    <t xml:space="preserve">CALC — Fuel saving = BASE minus LEDS (bn)  [each cell = a raw-BASE cell minus the raw-LEDS cell above]</t>
  </si>
  <si>
    <t xml:space="preserve">CUMULATIVE</t>
  </si>
  <si>
    <t xml:space="preserve">Task 2 — Generation CAPEX by technology (discounted)</t>
  </si>
  <si>
    <t xml:space="preserve">HOW THIS WAS COMPUTED (generation capex by technology):</t>
  </si>
  <si>
    <t xml:space="preserve">1. Raw data: discounted capital investment by plant technology, per scenario and year, straight from NEMOMOD</t>
  </si>
  <si>
    <t xml:space="preserve">   column  nemomod_entc_discounted_capital_investment_pp_&lt;tech&gt;, in bn 2019 USD.</t>
  </si>
  <si>
    <t xml:space="preserve">2. Two raw blocks below show that variable in BASE (no-action) and in LEDS (LTS).</t>
  </si>
  <si>
    <t xml:space="preserve">3. Incremental capex = LEDS minus BASE (the CALC block; every cell is a live formula). Positive = extra build</t>
  </si>
  <si>
    <t xml:space="preserve">   in the LTS; negative = fossil capex avoided. Gross positive additions drive the per-technology power cost</t>
  </si>
  <si>
    <t xml:space="preserve">   vector in Task 1 (T1_cost_vectors). Net (all techs) = 55.8 bn = the generation part of the 65.5 bn power path.</t>
  </si>
  <si>
    <t xml:space="preserve">RAW — capex in BASE / no-action (bn)</t>
  </si>
  <si>
    <t xml:space="preserve">pp_wind</t>
  </si>
  <si>
    <t xml:space="preserve">pp_solar</t>
  </si>
  <si>
    <t xml:space="preserve">pp_coal</t>
  </si>
  <si>
    <t xml:space="preserve">pp_biogas</t>
  </si>
  <si>
    <t xml:space="preserve">pp_gas</t>
  </si>
  <si>
    <t xml:space="preserve">pp_oil</t>
  </si>
  <si>
    <t xml:space="preserve">pp_nuclear</t>
  </si>
  <si>
    <t xml:space="preserve">pp_hydropower</t>
  </si>
  <si>
    <t xml:space="preserve">pp_waste_incineration</t>
  </si>
  <si>
    <t xml:space="preserve">source: pp_wind=nemomod_entc_discounted_capital_investment_pp_wind, pp_solar=nemomod_entc_discounted_capital_investment_pp_solar ...</t>
  </si>
  <si>
    <t xml:space="preserve">RAW — capex in LEDS / LTS (bn)</t>
  </si>
  <si>
    <t xml:space="preserve">CALC — Incremental capex = LEDS minus BASE (bn)  [each cell = a raw-BASE cell minus the raw-LEDS cell above]</t>
  </si>
  <si>
    <t xml:space="preserve">Task 2 note — fuel savings &amp; capex by generation technology (for Moulaye)</t>
  </si>
  <si>
    <t xml:space="preserve">WHY THIS DOES NOT MATCH THE 'Fuel cost savings (power sector)' ROW IN THE COST-BENEFIT FILE</t>
  </si>
  <si>
    <t xml:space="preserve">That CB row (cb_type = 'savings_opex') sums to 9.76 bn cumulative. Despite its name it is a RESIDUAL</t>
  </si>
  <si>
    <t xml:space="preserve">bucket: it aggregates demand-side, sector-level fuel expenditures and electricity costs allocated to</t>
  </si>
  <si>
    <t xml:space="preserve">each demand sector from NEMOMOD. It is NOT generation fuel expenditure.</t>
  </si>
  <si>
    <t xml:space="preserve">The series here are computed straight from NEMOMOD:</t>
  </si>
  <si>
    <t xml:space="preserve">  Fuel savings by tech = change in ENTC fuel consumption value (BASE - LEDS), by fuel, mapped to the</t>
  </si>
  <si>
    <t xml:space="preserve">  plant that burns it (coal-&gt;pp_coal, natural gas-&gt;pp_gas, oil-&gt;pp_oil, ...). Source column:</t>
  </si>
  <si>
    <t xml:space="preserve">  totalvalue_enfu_fuel_consumed_entc_fuel_&lt;fuel&gt;  (= consumption x fuel price, model-consistent).</t>
  </si>
  <si>
    <t xml:space="preserve">  Cumulative: coal 52.95, oil 9.53, gas 6.47, biomass 0.59, biogas -2.27 -&gt; ~67 bn total.</t>
  </si>
  <si>
    <t xml:space="preserve">RENEWABLES RECEIVE ZERO FUEL SAVINGS — THIS IS CORRECT, NOT A BUG.</t>
  </si>
  <si>
    <t xml:space="preserve">Solar, wind, hydro burn no fuel, so they carry no fuel expenditure and no saving. The saving from</t>
  </si>
  <si>
    <t xml:space="preserve">decarbonisation shows up as REDUCED FUEL PURCHASE by the coal, oil and gas plants they displace.</t>
  </si>
  <si>
    <t xml:space="preserve">A capex weighting would (wrongly) put the savings on solar/wind, which have no fuel — so we do NOT</t>
  </si>
  <si>
    <t xml:space="preserve">allocate fuel savings by capex.</t>
  </si>
  <si>
    <t xml:space="preserve">CAPEX by technology (incremental LEDS - BASE, discounted):</t>
  </si>
  <si>
    <t xml:space="preserve">  Positive builds: wind 49.5, solar 20.6, biogas 4.4 bn; avoided fossil capex: coal -16.1, gas -1.2, oil -0.7.</t>
  </si>
  <si>
    <t xml:space="preserve">  Net 55.8 bn generation capex; the EN - Power Industry investment path (65.5 bn) = this + transmission + O&amp;M.</t>
  </si>
  <si>
    <t xml:space="preserve">  Gross-addition shares (wind 66%, solar 26%, biogas 6%, nuclear 2%) drive the per-technology power cost</t>
  </si>
  <si>
    <t xml:space="preserve">  vectors in Task 1 (T1_cost_vectors), replacing one generic vector for the whole power sector.</t>
  </si>
  <si>
    <t xml:space="preserve">WHICH SIDE OF THE SAVING IS RECORDED: the fuel saving here is the BUYER's cost reduction (the power</t>
  </si>
  <si>
    <t xml:space="preserve">plant spends less on fuel). The mirror image — reduced demand for the coking/refining &amp; gas sectors —</t>
  </si>
  <si>
    <t xml:space="preserve">is NOT in this table; add it on the demand side of the SAM if you want the refinery output effect.</t>
  </si>
  <si>
    <t xml:space="preserve">Benefit category</t>
  </si>
  <si>
    <t xml:space="preserve">Value (bn)</t>
  </si>
  <si>
    <t xml:space="preserve">Side recorded</t>
  </si>
  <si>
    <t xml:space="preserve">Source</t>
  </si>
  <si>
    <t xml:space="preserve">Avoided Production Costs (IPPU)</t>
  </si>
  <si>
    <t xml:space="preserve">Producer cost reduction (cement + steel firms). Mirror: lower output of those producing sectors.</t>
  </si>
  <si>
    <t xml:space="preserve">Cement/steel material-efficiency savings accrue to industrial producers. other_manuf as cement proxy (SAM has no cement line), metalwork = steel. Firms 100%. Our judgment.</t>
  </si>
  <si>
    <t xml:space="preserve">Crop value</t>
  </si>
  <si>
    <t xml:space="preserve">Change in crop production value (recorded on the crops account; can be negative in early years).</t>
  </si>
  <si>
    <t xml:space="preserve">Accrues to agricultural producers: commercial farms (firms) 70%, smallholder households 30%. Maps to SAM 'crops'. Our judgment.</t>
  </si>
  <si>
    <t xml:space="preserve">Food consumer savings</t>
  </si>
  <si>
    <t xml:space="preserve">Household food-expenditure reduction (demand side, recorded on food retail/manufacturing). NOT crops.</t>
  </si>
  <si>
    <t xml:space="preserve">Savings accrue to households; the demand change runs through food manufacturing/beverage and food-service retail, NOT crops (crop value already covers the production side). Our judgment.</t>
  </si>
  <si>
    <t xml:space="preserve">Fuel cost savings (industry, buldings &amp; transport)</t>
  </si>
  <si>
    <t xml:space="preserve">Recorded as the SUPPLY-side demand reduction on fuel-supplying sectors. Mirror: buyers' freed income (agent split shows who).</t>
  </si>
  <si>
    <t xml:space="preserve">Buyers save fuel spend: industry (firms), buildings &amp; private transport (households), public (gov). Supply side maps to domestic refining, imported fuels and gas distribution. Our judgment.</t>
  </si>
  <si>
    <t xml:space="preserve">Fuel cost savings (power sector)</t>
  </si>
  <si>
    <t xml:space="preserve">RESIDUAL bucket (demand-side fuel + allocated electricity cost) — see T2_note. Recorded supply-side.</t>
  </si>
  <si>
    <t xml:space="preserve">Per T2_note this row is a residual, not generation fuel expenditure. Allocated to electricity-consuming agents; supply side proxied to refining/gas/imports. Our judgment. For generation fuel savings by tech, use the T2 tabs.</t>
  </si>
  <si>
    <t xml:space="preserve">Human Health (air quality)</t>
  </si>
  <si>
    <t xml:space="preserve">Avoided external health cost (welfare value proxied onto the health-services account).</t>
  </si>
  <si>
    <t xml:space="preserve">Avoided morbidity/mortality borne by households (70%) and the public health system (gov 30%). Proxied to SAM 'education; health and social work'. Welfare value, no direct transaction. Our judgment.</t>
  </si>
  <si>
    <t xml:space="preserve">Human Health (diets and Sanitation)</t>
  </si>
  <si>
    <t xml:space="preserve">Avoided health cost (welfare) + sanitation service. Proxied onto health &amp; water/sewerage accounts.</t>
  </si>
  <si>
    <t xml:space="preserve">Household health benefit (70%) + public sanitation (gov 30%). Health services + water/sewerage sectors. Our judgment.</t>
  </si>
  <si>
    <t xml:space="preserve">Livestock value</t>
  </si>
  <si>
    <t xml:space="preserve">Change in livestock production value — NEGATIVE overall (-3.40 bn); the minus sign is preserved into the SAM.</t>
  </si>
  <si>
    <t xml:space="preserve">Accrues to livestock producers: firms 70%, households 30%. Maps to SAM 'livestock'. Value is negative (herd reduction from dietary shift) — sign kept. Our judgment.</t>
  </si>
  <si>
    <t xml:space="preserve">O&amp;M savings</t>
  </si>
  <si>
    <t xml:space="preserve">Avoided operating &amp; maintenance spend (recorded on the sectors that would have supplied it).</t>
  </si>
  <si>
    <t xml:space="preserve">Lower EV drivetrain maintenance (repair sector), industrial O&amp;M, avoided fertilizer (chemical). Firms 60%, households 30%, gov 10%. Our judgment.</t>
  </si>
  <si>
    <t xml:space="preserve">Transporation Infrastructure Costs Savings</t>
  </si>
  <si>
    <t xml:space="preserve">System cost of providing transport service (capital+operating, excl. fuel). Recorded on transport &amp; construction.</t>
  </si>
  <si>
    <t xml:space="preserve">Mode-shift lowers transport system cost: public provision (gov 50%), private operators (firms 40%), households 10%. Transport &amp; warehouse + infrastructure construction. Our judgment.</t>
  </si>
  <si>
    <t xml:space="preserve">Transport (congestion)</t>
  </si>
  <si>
    <t xml:space="preserve">Avoided congestion (time value) — welfare, proxied onto transport &amp; services accounts.</t>
  </si>
  <si>
    <t xml:space="preserve">Time saved by road users: households 70%, commercial/freight firms 30%. Welfare value proxied to transport &amp; services. Our judgment.</t>
  </si>
  <si>
    <t xml:space="preserve">Transport (road safety)</t>
  </si>
  <si>
    <t xml:space="preserve">Avoided crash cost (medical + insurance + other) — welfare, proxied onto health/insurance accounts.</t>
  </si>
  <si>
    <t xml:space="preserve">Crash costs avoided by households (70%), firms (20%), public (gov 10%). Medical (health), insurance (financial), other. Welfare value. Our judgment.</t>
  </si>
  <si>
    <t xml:space="preserve">TOTAL (crosswalked)</t>
  </si>
  <si>
    <t xml:space="preserve">EXCLUDED from crosswalk:</t>
  </si>
  <si>
    <t xml:space="preserve">  Net Reduction in Capital Costs — covered by the investment file (Task 1).</t>
  </si>
  <si>
    <t xml:space="preserve">  Ecosystem services = 4.79 bn — non-market welfare value, no agent/transaction.</t>
  </si>
  <si>
    <t xml:space="preserve">  Reduce Environmental Damage (fertilizers) = 0.05 bn — non-market welfare value, no agent/transaction.</t>
  </si>
  <si>
    <t xml:space="preserve">  Reduce Environmental Damage (waste pollution) = 8.13 bn — non-market welfare value, no agent/transaction.</t>
  </si>
  <si>
    <t xml:space="preserve">  Reduce Environmental Damage (water pollution) = 17.43 bn — non-market welfare value, no agent/transaction.</t>
  </si>
  <si>
    <t xml:space="preserve">  (4 non-market categories = 30.40 bn.) Crosswalked 826.10 + excluded 30.40 = 856.51 bn (16-category total).</t>
  </si>
  <si>
    <t xml:space="preserve">Value (bn) -&gt;</t>
  </si>
  <si>
    <t xml:space="preserve">Task 4 — Number of vehicles (fleet), LEDS scenario</t>
  </si>
  <si>
    <t xml:space="preserve">Fleet = VKT / annual-km-per-vehicle. Annual km: road_light 15,000; freight 60,000; regional 55,000; public 45,000; powered_bikes 8,000. VKT from vehicle_distance_traveled_trns_*.</t>
  </si>
  <si>
    <t xml:space="preserve">road_light (total)</t>
  </si>
  <si>
    <t xml:space="preserve">road_heavy_freight (total)</t>
  </si>
  <si>
    <t xml:space="preserve">road_heavy_regional (total)</t>
  </si>
  <si>
    <t xml:space="preserve">public (total)</t>
  </si>
  <si>
    <t xml:space="preserve">powered_bikes (total)</t>
  </si>
  <si>
    <t xml:space="preserve">road_light (electric)</t>
  </si>
  <si>
    <t xml:space="preserve">road_heavy_freight (electric)</t>
  </si>
  <si>
    <t xml:space="preserve">road_heavy_regional (electric)</t>
  </si>
  <si>
    <t xml:space="preserve">public (electric)</t>
  </si>
  <si>
    <t xml:space="preserve">powered_bikes (electric)</t>
  </si>
  <si>
    <t xml:space="preserve">Assumptions are documented judgment / prior-notebook values (trucks 60,000 km/yr). Counts are vehicles, not thousands. road_light is fully electric by 2050 under LEDS.</t>
  </si>
  <si>
    <t xml:space="preserve">Task 4 — Electricity generation by technology (LEDS)</t>
  </si>
  <si>
    <t xml:space="preserve">NemoMod Production by Technology, from the Tableau 'drivers' datasource. Storage (st_*) shown separately below. Units: model output units (PJ/GWh as in dashboard).</t>
  </si>
  <si>
    <t xml:space="preserve">pp_biomass</t>
  </si>
  <si>
    <t xml:space="preserve">Storage (st_*) — discharge, listed separately from generation</t>
  </si>
  <si>
    <t xml:space="preserve">st_batteries</t>
  </si>
  <si>
    <t xml:space="preserve">st_compressed_air</t>
  </si>
  <si>
    <t xml:space="preserve">st_flywheels</t>
  </si>
  <si>
    <t xml:space="preserve">st_pumped_hydro</t>
  </si>
  <si>
    <t xml:space="preserve">Task 4 — Total final energy demand by fuel (LEDS)</t>
  </si>
  <si>
    <t xml:space="preserve">Total Energy Demand by Fuel, from the Tableau 'drivers' datasource. Per-sector splits (Transport, Buildings/SCOE, Industry) available in the drivers data on request.</t>
  </si>
  <si>
    <t xml:space="preserve">fuel_ammonia</t>
  </si>
  <si>
    <t xml:space="preserve">fuel_biofuels</t>
  </si>
  <si>
    <t xml:space="preserve">fuel_biogas</t>
  </si>
  <si>
    <t xml:space="preserve">fuel_biomass</t>
  </si>
  <si>
    <t xml:space="preserve">fuel_coal</t>
  </si>
  <si>
    <t xml:space="preserve">fuel_coke</t>
  </si>
  <si>
    <t xml:space="preserve">fuel_crude</t>
  </si>
  <si>
    <t xml:space="preserve">fuel_diesel</t>
  </si>
  <si>
    <t xml:space="preserve">fuel_electricity</t>
  </si>
  <si>
    <t xml:space="preserve">fuel_furnace_gas</t>
  </si>
  <si>
    <t xml:space="preserve">fuel_gasoline</t>
  </si>
  <si>
    <t xml:space="preserve">fuel_geothermal</t>
  </si>
  <si>
    <t xml:space="preserve">fuel_hydrocarbon_gas_liquids</t>
  </si>
  <si>
    <t xml:space="preserve">fuel_hydrogen</t>
  </si>
  <si>
    <t xml:space="preserve">fuel_kerosene</t>
  </si>
  <si>
    <t xml:space="preserve">fuel_natural_gas</t>
  </si>
  <si>
    <t xml:space="preserve">fuel_natural_gas_liquid</t>
  </si>
  <si>
    <t xml:space="preserve">fuel_nuclear</t>
  </si>
  <si>
    <t xml:space="preserve">fuel_ocean</t>
  </si>
  <si>
    <t xml:space="preserve">fuel_oil</t>
  </si>
  <si>
    <t xml:space="preserve">fuel_other</t>
  </si>
  <si>
    <t xml:space="preserve">fuel_solar</t>
  </si>
  <si>
    <t xml:space="preserve">fuel_waste</t>
  </si>
  <si>
    <t xml:space="preserve">fuel_water</t>
  </si>
  <si>
    <t xml:space="preserve">fuel_wind</t>
  </si>
  <si>
    <t xml:space="preserve">Task 5 — Ecosystem services: evidence-based split of the $500/ha/yr forest value</t>
  </si>
  <si>
    <t xml:space="preserve">Source: de Groot et al. (2012) Table 2, temperate forest (Int$/ha/yr, 2007) — the unit-value basis of Costanza (2014). Morocco-specific refinement: Taye (2021).</t>
  </si>
  <si>
    <t xml:space="preserve">The $500/ha is ALREADY NET of food provisioning and carbon (climate regulation); those two services are stripped below and the remainder renormalised, so there is NO double-count against crop value.</t>
  </si>
  <si>
    <t xml:space="preserve">Ecosystem service (grouped)</t>
  </si>
  <si>
    <t xml:space="preserve">de Groot Int$/ha</t>
  </si>
  <si>
    <t xml:space="preserve">Share of net</t>
  </si>
  <si>
    <t xml:space="preserve">Applied $/ha (of 500)</t>
  </si>
  <si>
    <t xml:space="preserve">Provisioning (non-food: water, raw materials, genetic)</t>
  </si>
  <si>
    <t xml:space="preserve">Regulating (non-climate: water flow, waste treatment, erosion, nutrient, pollination, bio-control)</t>
  </si>
  <si>
    <t xml:space="preserve">Habitat / biodiversity (nursery, genetic diversity)</t>
  </si>
  <si>
    <t xml:space="preserve">Cultural (recreation/TOURISM, aesthetic, inspiration)</t>
  </si>
  <si>
    <t xml:space="preserve">NET BASE (food + carbon excluded)</t>
  </si>
  <si>
    <t xml:space="preserve">STRIPPED before renormalisation (already counted elsewhere):</t>
  </si>
  <si>
    <t xml:space="preserve">  Food (provisioning)</t>
  </si>
  <si>
    <t xml:space="preserve">excluded</t>
  </si>
  <si>
    <t xml:space="preserve">  Climate regulation (carbon)</t>
  </si>
  <si>
    <t xml:space="preserve">KEY POINT for Moulaye: TOURISM is a SUBSET of ecosystem-service value — it is the cultural (recreation)</t>
  </si>
  <si>
    <t xml:space="preserve">service line above (~$192 of the $500/ha, since recreation is ~989/990 of the cultural total). It is NOT a</t>
  </si>
  <si>
    <t xml:space="preserve">parallel category alongside 'environment'. The split must be a partition of ONE total, not two overlapping ones.</t>
  </si>
  <si>
    <t xml:space="preserve">Do NOT re-add food or carbon: the $500 figure already excludes them. Pulling the full Costanza/de Groot</t>
  </si>
  <si>
    <t xml:space="preserve">breakdown without stripping food + climate would double-count against Crop value (food) and the carbon benefit.</t>
  </si>
  <si>
    <t xml:space="preserve">Task 5 — answers to Moulaye's two disaggregation questions</t>
  </si>
  <si>
    <t xml:space="preserve">Q1. ECOSYSTEM SERVICES — can the value be split by service type?  YES, evidence-based (see T5_ecosystem_split).</t>
  </si>
  <si>
    <t xml:space="preserve">  - Factors come from Costanza (2014), whose unit values are de Groot et al. (2012) Table 2. Both break value</t>
  </si>
  <si>
    <t xml:space="preserve">    down by service type, so we use their temperate-forest breakdown rather than inventing percentages.</t>
  </si>
  <si>
    <t xml:space="preserve">  - CRITICAL: the $500/ha (primary) and $300/ha (secondary) figures are ALREADY NET of food provisioning and</t>
  </si>
  <si>
    <t xml:space="preserve">    carbon. We strip those two services out of the de Groot breakdown and renormalise the rest to 100% before</t>
  </si>
  <si>
    <t xml:space="preserve">    applying to $500/ha. Skipping this step would reintroduce double-counting against Crop value and the carbon benefit.</t>
  </si>
  <si>
    <t xml:space="preserve">  - TOURISM is a cultural (recreation) service — a SUBSET of the ecosystem-service total, not a separate category</t>
  </si>
  <si>
    <t xml:space="preserve">    parallel to 'environment'. Present the split as a partition of one total. Recreation is ~$192 of the $500/ha.</t>
  </si>
  <si>
    <t xml:space="preserve">  - Taye (2021) gives Morocco/Mediterranean-specific values that can refine the shares; the method is unchanged.</t>
  </si>
  <si>
    <t xml:space="preserve">Q2. FOOD CONSUMER SAVINGS by product — mostly NOT FEASIBLE. Say this early rather than inventing detail.</t>
  </si>
  <si>
    <t xml:space="preserve">  Food consumer savings (64.76 bn cumulative) is built from three components, ALL using flat factors with no</t>
  </si>
  <si>
    <t xml:space="preserve">  product dimension:</t>
  </si>
  <si>
    <t xml:space="preserve">    1. Dietary shift  — $385/person/year x urban population adopting improved diets  (per-capita, flat).</t>
  </si>
  <si>
    <t xml:space="preserve">    2. Consumer food-waste reduction — $350/tonne of food waste avoided  (per-tonne, flat).</t>
  </si>
  <si>
    <t xml:space="preserve">    3. Conservation agriculture — $350/ha of improved cropland  (per-hectare, flat).</t>
  </si>
  <si>
    <t xml:space="preserve">  Because each factor is flat, the calculation carries NO by-product resolution.</t>
  </si>
  <si>
    <t xml:space="preserve">    - Component 1 (dietary) COULD be split by product using an external diet-composition assumption (e.g.</t>
  </si>
  <si>
    <t xml:space="preserve">      Springmann et al. dietary shares) — but that is an ADDED assumption, not something in the model.</t>
  </si>
  <si>
    <t xml:space="preserve">    - Components 2 and 3 (waste, conservation ag) cannot be split by product at all.</t>
  </si>
  <si>
    <t xml:space="preserve">  Recommendation: report the dietary component optionally split via Springmann (flagged as an assumption), and</t>
  </si>
  <si>
    <t xml:space="preserve">  state plainly that the waste and conservation-agriculture components are not decomposable by product.</t>
  </si>
  <si>
    <t xml:space="preserve">Task 7 — (LTS - SNBC) / SNBC, both vs a common no-action (BASE) reference. Cumulative 2023-2050, bn 2019 USD.</t>
  </si>
  <si>
    <t xml:space="preserve">SNBC = PFLO:BAU minus BASE.  LTS = PFLO:LEDS minus BASE.  numerator = LTS - SNBC (= plain LTS-SNBC).</t>
  </si>
  <si>
    <t xml:space="preserve">FINDING: in the reused runs, PFLO:BAU is ~identical to BASE (BAU-BASE ~ 0 for almost every category), so the SNBC denominator collapses and the % is structurally undefined. A meaningful % needs a DISTINCT SNBC-ambition run.</t>
  </si>
  <si>
    <t xml:space="preserve">SNBC (bn)</t>
  </si>
  <si>
    <t xml:space="preserve">LTS (bn)</t>
  </si>
  <si>
    <t xml:space="preserve">numerator (bn)</t>
  </si>
  <si>
    <t xml:space="preserve">% change</t>
  </si>
  <si>
    <t xml:space="preserve">Reason / flag</t>
  </si>
  <si>
    <t xml:space="preserve">—</t>
  </si>
  <si>
    <t xml:space="preserve">SUPPRESSED (denominator changes sign over horizon; % meaningless)</t>
  </si>
  <si>
    <t xml:space="preserve">SUPPRESSED (near-zero denominator)</t>
  </si>
  <si>
    <t xml:space="preserve">Reduce Environmental Damage (water pollution)</t>
  </si>
  <si>
    <t xml:space="preserve">Reduce Environmental Damage (waste pollution)</t>
  </si>
  <si>
    <t xml:space="preserve">Ecosystem services</t>
  </si>
  <si>
    <t xml:space="preserve">Reduce Environmental Damage (fertilizers)</t>
  </si>
  <si>
    <t xml:space="preserve">DROPPED (within $2.7m of zero all years)</t>
  </si>
  <si>
    <t xml:space="preserve">Rules applied (per the task):</t>
  </si>
  <si>
    <t xml:space="preserve">  - Fertilizer DROPPED — within $2.7m of zero in all 28 years.</t>
  </si>
  <si>
    <t xml:space="preserve">  - Sign-change categories SUPPRESSED (a % across a sign change is meaningless): crop value, both fuel-savings rows,</t>
  </si>
  <si>
    <t xml:space="preserve">    air-quality health, water pollution — plus any other whose SNBC increment crosses zero over the horizon.</t>
  </si>
  <si>
    <t xml:space="preserve">  - Near-zero SNBC denominator SUPPRESSED; O&amp;M-type near-zero denominators flagged.</t>
  </si>
  <si>
    <t xml:space="preserve">  - Absolute values (SNBC, LTS, numerator) shown next to every % so nothing is hidden by suppression.</t>
  </si>
  <si>
    <t xml:space="preserve">  - Validation PASSED: sum(numerator) = sum(LTS) - sum(SNBC), and the LTS column reproduces the cost-benefit file.</t>
  </si>
  <si>
    <t xml:space="preserve">Because BAU ~ BASE here, the numerator (LTS - SNBC) essentially equals LTS-vs-no-action and IS delivered; only the</t>
  </si>
  <si>
    <t xml:space="preserve">percentages are undefined. To get real percentages, run a distinct SNBC-ambition scenario (the 'new SNBC run' option).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</si>
</sst>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%"/>
    <numFmt numFmtId="167" formatCode="#,##0"/>
    <numFmt numFmtId="168" formatCode="#,##0.0"/>
    <numFmt numFmtId="169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name val="Arial"/>
      <family val="0"/>
      <charset val="1"/>
    </font>
    <font>
      <sz val="11"/>
      <color rgb="FFBFBFB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name val="Arial"/>
      <family val="0"/>
      <charset val="1"/>
    </font>
    <font>
      <sz val="8"/>
      <color rgb="FF808080"/>
      <name val="Arial"/>
      <family val="0"/>
      <charset val="1"/>
    </font>
    <font>
      <sz val="11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11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D9D9"/>
        <bgColor rgb="FFBFBFB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1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9"/>
    <col collapsed="false" customWidth="true" hidden="false" outlineLevel="0" max="8" min="6" style="0" width="11"/>
    <col collapsed="false" customWidth="true" hidden="false" outlineLevel="0" max="9" min="9" style="0" width="10"/>
    <col collapsed="false" customWidth="true" hidden="false" outlineLevel="0" max="10" min="10" style="0" width="90"/>
  </cols>
  <sheetData>
    <row r="1" customFormat="false" ht="26.85" hidden="false" customHeight="false" outlineLevel="0" collapsed="false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</row>
    <row r="2" customFormat="false" ht="32.8" hidden="false" customHeight="false" outlineLevel="0" collapsed="false">
      <c r="A2" s="4" t="s">
        <v>39</v>
      </c>
      <c r="B2" s="5" t="n">
        <v>65.5003</v>
      </c>
      <c r="C2" s="6" t="n">
        <v>0.25</v>
      </c>
      <c r="D2" s="6" t="n">
        <v>0.7</v>
      </c>
      <c r="E2" s="6" t="n">
        <v>0.05</v>
      </c>
      <c r="F2" s="7" t="n">
        <f aca="false">$B2*C2</f>
        <v>16.375075</v>
      </c>
      <c r="G2" s="7" t="n">
        <f aca="false">$B2*D2</f>
        <v>45.85021</v>
      </c>
      <c r="H2" s="7" t="n">
        <f aca="false">$B2*E2</f>
        <v>3.275015</v>
      </c>
      <c r="I2" s="8" t="n">
        <f aca="false">C2+D2+E2</f>
        <v>1</v>
      </c>
      <c r="J2" s="9" t="s">
        <v>40</v>
      </c>
    </row>
    <row r="3" customFormat="false" ht="22.35" hidden="false" customHeight="false" outlineLevel="0" collapsed="false">
      <c r="A3" s="4" t="s">
        <v>41</v>
      </c>
      <c r="B3" s="5" t="n">
        <v>20.3366</v>
      </c>
      <c r="C3" s="6" t="n">
        <v>0.1</v>
      </c>
      <c r="D3" s="6" t="n">
        <v>0.3</v>
      </c>
      <c r="E3" s="6" t="n">
        <v>0.6</v>
      </c>
      <c r="F3" s="7" t="n">
        <f aca="false">$B3*C3</f>
        <v>2.03366</v>
      </c>
      <c r="G3" s="7" t="n">
        <f aca="false">$B3*D3</f>
        <v>6.10098</v>
      </c>
      <c r="H3" s="7" t="n">
        <f aca="false">$B3*E3</f>
        <v>12.20196</v>
      </c>
      <c r="I3" s="8" t="n">
        <f aca="false">C3+D3+E3</f>
        <v>1</v>
      </c>
      <c r="J3" s="9" t="s">
        <v>42</v>
      </c>
    </row>
    <row r="4" customFormat="false" ht="22.35" hidden="false" customHeight="false" outlineLevel="0" collapsed="false">
      <c r="A4" s="4" t="s">
        <v>43</v>
      </c>
      <c r="B4" s="5" t="n">
        <v>8.9113</v>
      </c>
      <c r="C4" s="6" t="n">
        <v>0.05</v>
      </c>
      <c r="D4" s="6" t="n">
        <v>0.4</v>
      </c>
      <c r="E4" s="6" t="n">
        <v>0.55</v>
      </c>
      <c r="F4" s="7" t="n">
        <f aca="false">$B4*C4</f>
        <v>0.445565</v>
      </c>
      <c r="G4" s="7" t="n">
        <f aca="false">$B4*D4</f>
        <v>3.56452</v>
      </c>
      <c r="H4" s="7" t="n">
        <f aca="false">$B4*E4</f>
        <v>4.901215</v>
      </c>
      <c r="I4" s="8" t="n">
        <f aca="false">C4+D4+E4</f>
        <v>1</v>
      </c>
      <c r="J4" s="9" t="s">
        <v>44</v>
      </c>
    </row>
    <row r="5" customFormat="false" ht="22.35" hidden="false" customHeight="false" outlineLevel="0" collapsed="false">
      <c r="A5" s="4" t="s">
        <v>45</v>
      </c>
      <c r="B5" s="5" t="n">
        <v>8.5337</v>
      </c>
      <c r="C5" s="6" t="n">
        <v>0.05</v>
      </c>
      <c r="D5" s="6" t="n">
        <v>0.95</v>
      </c>
      <c r="E5" s="6" t="n">
        <v>0</v>
      </c>
      <c r="F5" s="7" t="n">
        <f aca="false">$B5*C5</f>
        <v>0.426685</v>
      </c>
      <c r="G5" s="7" t="n">
        <f aca="false">$B5*D5</f>
        <v>8.107015</v>
      </c>
      <c r="H5" s="7" t="n">
        <f aca="false">$B5*E5</f>
        <v>0</v>
      </c>
      <c r="I5" s="8" t="n">
        <f aca="false">C5+D5+E5</f>
        <v>1</v>
      </c>
      <c r="J5" s="9" t="s">
        <v>46</v>
      </c>
    </row>
    <row r="6" customFormat="false" ht="15" hidden="false" customHeight="false" outlineLevel="0" collapsed="false">
      <c r="A6" s="4" t="s">
        <v>47</v>
      </c>
      <c r="B6" s="5" t="n">
        <v>53.5531</v>
      </c>
      <c r="C6" s="6" t="n">
        <v>0.05</v>
      </c>
      <c r="D6" s="6" t="n">
        <v>0.95</v>
      </c>
      <c r="E6" s="6" t="n">
        <v>0</v>
      </c>
      <c r="F6" s="7" t="n">
        <f aca="false">$B6*C6</f>
        <v>2.677655</v>
      </c>
      <c r="G6" s="7" t="n">
        <f aca="false">$B6*D6</f>
        <v>50.875445</v>
      </c>
      <c r="H6" s="7" t="n">
        <f aca="false">$B6*E6</f>
        <v>0</v>
      </c>
      <c r="I6" s="8" t="n">
        <f aca="false">C6+D6+E6</f>
        <v>1</v>
      </c>
      <c r="J6" s="9" t="s">
        <v>48</v>
      </c>
    </row>
    <row r="7" customFormat="false" ht="22.35" hidden="false" customHeight="false" outlineLevel="0" collapsed="false">
      <c r="A7" s="4" t="s">
        <v>49</v>
      </c>
      <c r="B7" s="5" t="n">
        <v>5.7893</v>
      </c>
      <c r="C7" s="6" t="n">
        <v>0.8</v>
      </c>
      <c r="D7" s="6" t="n">
        <v>0.2</v>
      </c>
      <c r="E7" s="6" t="n">
        <v>0</v>
      </c>
      <c r="F7" s="7" t="n">
        <f aca="false">$B7*C7</f>
        <v>4.63144</v>
      </c>
      <c r="G7" s="7" t="n">
        <f aca="false">$B7*D7</f>
        <v>1.15786</v>
      </c>
      <c r="H7" s="7" t="n">
        <f aca="false">$B7*E7</f>
        <v>0</v>
      </c>
      <c r="I7" s="8" t="n">
        <f aca="false">C7+D7+E7</f>
        <v>1</v>
      </c>
      <c r="J7" s="9" t="s">
        <v>50</v>
      </c>
    </row>
    <row r="8" customFormat="false" ht="22.35" hidden="false" customHeight="false" outlineLevel="0" collapsed="false">
      <c r="A8" s="4" t="s">
        <v>51</v>
      </c>
      <c r="B8" s="5" t="n">
        <v>46.3378</v>
      </c>
      <c r="C8" s="6" t="n">
        <v>0.85</v>
      </c>
      <c r="D8" s="6" t="n">
        <v>0.15</v>
      </c>
      <c r="E8" s="6" t="n">
        <v>0</v>
      </c>
      <c r="F8" s="7" t="n">
        <f aca="false">$B8*C8</f>
        <v>39.38713</v>
      </c>
      <c r="G8" s="7" t="n">
        <f aca="false">$B8*D8</f>
        <v>6.95067</v>
      </c>
      <c r="H8" s="7" t="n">
        <f aca="false">$B8*E8</f>
        <v>0</v>
      </c>
      <c r="I8" s="8" t="n">
        <f aca="false">C8+D8+E8</f>
        <v>1</v>
      </c>
      <c r="J8" s="9" t="s">
        <v>52</v>
      </c>
    </row>
    <row r="9" customFormat="false" ht="15" hidden="false" customHeight="false" outlineLevel="0" collapsed="false">
      <c r="A9" s="4" t="s">
        <v>53</v>
      </c>
      <c r="B9" s="5" t="n">
        <v>0</v>
      </c>
      <c r="C9" s="6" t="n">
        <v>0.85</v>
      </c>
      <c r="D9" s="6" t="n">
        <v>0.15</v>
      </c>
      <c r="E9" s="6" t="n">
        <v>0</v>
      </c>
      <c r="F9" s="7" t="n">
        <f aca="false">$B9*C9</f>
        <v>0</v>
      </c>
      <c r="G9" s="7" t="n">
        <f aca="false">$B9*D9</f>
        <v>0</v>
      </c>
      <c r="H9" s="7" t="n">
        <f aca="false">$B9*E9</f>
        <v>0</v>
      </c>
      <c r="I9" s="8" t="n">
        <f aca="false">C9+D9+E9</f>
        <v>1</v>
      </c>
      <c r="J9" s="9" t="s">
        <v>54</v>
      </c>
    </row>
    <row r="10" customFormat="false" ht="15" hidden="false" customHeight="false" outlineLevel="0" collapsed="false">
      <c r="A10" s="4" t="s">
        <v>55</v>
      </c>
      <c r="B10" s="5" t="n">
        <v>0</v>
      </c>
      <c r="C10" s="6" t="n">
        <v>0.5</v>
      </c>
      <c r="D10" s="6" t="n">
        <v>0.5</v>
      </c>
      <c r="E10" s="6" t="n">
        <v>0</v>
      </c>
      <c r="F10" s="7" t="n">
        <f aca="false">$B10*C10</f>
        <v>0</v>
      </c>
      <c r="G10" s="7" t="n">
        <f aca="false">$B10*D10</f>
        <v>0</v>
      </c>
      <c r="H10" s="7" t="n">
        <f aca="false">$B10*E10</f>
        <v>0</v>
      </c>
      <c r="I10" s="8" t="n">
        <f aca="false">C10+D10+E10</f>
        <v>1</v>
      </c>
      <c r="J10" s="9" t="s">
        <v>54</v>
      </c>
    </row>
    <row r="11" customFormat="false" ht="22.35" hidden="false" customHeight="false" outlineLevel="0" collapsed="false">
      <c r="A11" s="4" t="s">
        <v>56</v>
      </c>
      <c r="B11" s="5" t="n">
        <v>64.5649</v>
      </c>
      <c r="C11" s="6" t="n">
        <v>0.85</v>
      </c>
      <c r="D11" s="6" t="n">
        <v>0.1</v>
      </c>
      <c r="E11" s="6" t="n">
        <v>0.05</v>
      </c>
      <c r="F11" s="7" t="n">
        <f aca="false">$B11*C11</f>
        <v>54.880165</v>
      </c>
      <c r="G11" s="7" t="n">
        <f aca="false">$B11*D11</f>
        <v>6.45649</v>
      </c>
      <c r="H11" s="7" t="n">
        <f aca="false">$B11*E11</f>
        <v>3.228245</v>
      </c>
      <c r="I11" s="8" t="n">
        <f aca="false">C11+D11+E11</f>
        <v>1</v>
      </c>
      <c r="J11" s="9" t="s">
        <v>57</v>
      </c>
    </row>
    <row r="12" customFormat="false" ht="15" hidden="false" customHeight="false" outlineLevel="0" collapsed="false">
      <c r="A12" s="10" t="s">
        <v>58</v>
      </c>
      <c r="B12" s="11" t="n">
        <f aca="false">SUM(B2:B11)</f>
        <v>273.527</v>
      </c>
      <c r="C12" s="12"/>
      <c r="D12" s="12"/>
      <c r="E12" s="12"/>
      <c r="F12" s="11" t="n">
        <f aca="false">SUM(F2:F11)</f>
        <v>120.857375</v>
      </c>
      <c r="G12" s="11" t="n">
        <f aca="false">SUM(G2:G11)</f>
        <v>129.06319</v>
      </c>
      <c r="H12" s="11" t="n">
        <f aca="false">SUM(H2:H11)</f>
        <v>23.606435</v>
      </c>
      <c r="I12" s="12"/>
      <c r="J1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11" min="2" style="0" width="13"/>
  </cols>
  <sheetData>
    <row r="1" customFormat="false" ht="52.2" hidden="false" customHeight="false" outlineLevel="0" collapsed="false">
      <c r="A1" s="3" t="s">
        <v>59</v>
      </c>
      <c r="B1" s="3" t="s">
        <v>39</v>
      </c>
      <c r="C1" s="3" t="s">
        <v>41</v>
      </c>
      <c r="D1" s="3" t="s">
        <v>43</v>
      </c>
      <c r="E1" s="3" t="s">
        <v>45</v>
      </c>
      <c r="F1" s="3" t="s">
        <v>47</v>
      </c>
      <c r="G1" s="3" t="s">
        <v>49</v>
      </c>
      <c r="H1" s="3" t="s">
        <v>51</v>
      </c>
      <c r="I1" s="3" t="s">
        <v>53</v>
      </c>
      <c r="J1" s="3" t="s">
        <v>55</v>
      </c>
      <c r="K1" s="3" t="s">
        <v>56</v>
      </c>
    </row>
    <row r="2" customFormat="false" ht="15" hidden="false" customHeight="false" outlineLevel="0" collapsed="false">
      <c r="A2" s="13" t="s">
        <v>60</v>
      </c>
      <c r="B2" s="14" t="n">
        <v>65.5003</v>
      </c>
      <c r="C2" s="14" t="n">
        <v>20.3366</v>
      </c>
      <c r="D2" s="14" t="n">
        <v>8.9113</v>
      </c>
      <c r="E2" s="14" t="n">
        <v>8.5337</v>
      </c>
      <c r="F2" s="14" t="n">
        <v>53.5531</v>
      </c>
      <c r="G2" s="14" t="n">
        <v>5.7893</v>
      </c>
      <c r="H2" s="14" t="n">
        <v>46.3378</v>
      </c>
      <c r="I2" s="14" t="n">
        <v>0</v>
      </c>
      <c r="J2" s="14" t="n">
        <v>0</v>
      </c>
      <c r="K2" s="14" t="n">
        <v>64.5649</v>
      </c>
    </row>
    <row r="3" customFormat="false" ht="15" hidden="false" customHeight="false" outlineLevel="0" collapsed="false">
      <c r="A3" s="4" t="s">
        <v>61</v>
      </c>
      <c r="B3" s="15" t="n">
        <v>0</v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6" t="n">
        <v>0.15</v>
      </c>
    </row>
    <row r="4" customFormat="false" ht="15" hidden="false" customHeight="false" outlineLevel="0" collapsed="false">
      <c r="A4" s="4" t="s">
        <v>62</v>
      </c>
      <c r="B4" s="15" t="n">
        <v>0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6" t="n">
        <v>0.35</v>
      </c>
    </row>
    <row r="5" customFormat="false" ht="15" hidden="false" customHeight="false" outlineLevel="0" collapsed="false">
      <c r="A5" s="4" t="s">
        <v>63</v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</row>
    <row r="6" customFormat="false" ht="15" hidden="false" customHeight="false" outlineLevel="0" collapsed="false">
      <c r="A6" s="4" t="s">
        <v>64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</row>
    <row r="7" customFormat="false" ht="15" hidden="false" customHeight="false" outlineLevel="0" collapsed="false">
      <c r="A7" s="4" t="s">
        <v>65</v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</row>
    <row r="8" customFormat="false" ht="15" hidden="false" customHeight="false" outlineLevel="0" collapsed="false">
      <c r="A8" s="4" t="s">
        <v>66</v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</row>
    <row r="9" customFormat="false" ht="15" hidden="false" customHeight="false" outlineLevel="0" collapsed="false">
      <c r="A9" s="4" t="s">
        <v>67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</row>
    <row r="10" customFormat="false" ht="15" hidden="false" customHeight="false" outlineLevel="0" collapsed="false">
      <c r="A10" s="4" t="s">
        <v>68</v>
      </c>
      <c r="B10" s="15" t="n">
        <v>0</v>
      </c>
      <c r="C10" s="6" t="n">
        <v>0.03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</row>
    <row r="11" customFormat="false" ht="15" hidden="false" customHeight="false" outlineLevel="0" collapsed="false">
      <c r="A11" s="4" t="s">
        <v>69</v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</row>
    <row r="12" customFormat="false" ht="15" hidden="false" customHeight="false" outlineLevel="0" collapsed="false">
      <c r="A12" s="4" t="s">
        <v>70</v>
      </c>
      <c r="B12" s="15" t="n">
        <v>0</v>
      </c>
      <c r="C12" s="15" t="n">
        <v>0</v>
      </c>
      <c r="D12" s="15" t="n">
        <v>0</v>
      </c>
      <c r="E12" s="15" t="n">
        <v>0</v>
      </c>
      <c r="F12" s="6" t="n">
        <v>0.1</v>
      </c>
      <c r="G12" s="15" t="n">
        <v>0</v>
      </c>
      <c r="H12" s="6" t="n">
        <v>0.04</v>
      </c>
      <c r="I12" s="15" t="n">
        <v>0</v>
      </c>
      <c r="J12" s="15" t="n">
        <v>0</v>
      </c>
      <c r="K12" s="15" t="n">
        <v>0</v>
      </c>
    </row>
    <row r="13" customFormat="false" ht="15" hidden="false" customHeight="false" outlineLevel="0" collapsed="false">
      <c r="A13" s="4" t="s">
        <v>71</v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</row>
    <row r="14" customFormat="false" ht="15" hidden="false" customHeight="false" outlineLevel="0" collapsed="false">
      <c r="A14" s="4" t="s">
        <v>72</v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</row>
    <row r="15" customFormat="false" ht="15" hidden="false" customHeight="false" outlineLevel="0" collapsed="false">
      <c r="A15" s="4" t="s">
        <v>73</v>
      </c>
      <c r="B15" s="6" t="n">
        <v>0.059</v>
      </c>
      <c r="C15" s="15" t="n">
        <v>0</v>
      </c>
      <c r="D15" s="15" t="n">
        <v>0</v>
      </c>
      <c r="E15" s="6" t="n">
        <v>0.12</v>
      </c>
      <c r="F15" s="6" t="n">
        <v>0.15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</row>
    <row r="16" customFormat="false" ht="15" hidden="false" customHeight="false" outlineLevel="0" collapsed="false">
      <c r="A16" s="4" t="s">
        <v>74</v>
      </c>
      <c r="B16" s="6" t="n">
        <v>0.0111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</row>
    <row r="17" customFormat="false" ht="15" hidden="false" customHeight="false" outlineLevel="0" collapsed="false">
      <c r="A17" s="4" t="s">
        <v>75</v>
      </c>
      <c r="B17" s="6" t="n">
        <v>0.0872</v>
      </c>
      <c r="C17" s="6" t="n">
        <v>0.15</v>
      </c>
      <c r="D17" s="6" t="n">
        <v>0.08</v>
      </c>
      <c r="E17" s="6" t="n">
        <v>0.08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</row>
    <row r="18" customFormat="false" ht="15" hidden="false" customHeight="false" outlineLevel="0" collapsed="false">
      <c r="A18" s="4" t="s">
        <v>76</v>
      </c>
      <c r="B18" s="6" t="n">
        <v>0.0772</v>
      </c>
      <c r="C18" s="6" t="n">
        <v>0.05</v>
      </c>
      <c r="D18" s="15" t="n">
        <v>0</v>
      </c>
      <c r="E18" s="6" t="n">
        <v>0.25</v>
      </c>
      <c r="F18" s="6" t="n">
        <v>0.3</v>
      </c>
      <c r="G18" s="6" t="n">
        <v>0.2</v>
      </c>
      <c r="H18" s="6" t="n">
        <v>0.15</v>
      </c>
      <c r="I18" s="15" t="n">
        <v>0</v>
      </c>
      <c r="J18" s="15" t="n">
        <v>0</v>
      </c>
      <c r="K18" s="15" t="n">
        <v>0</v>
      </c>
    </row>
    <row r="19" customFormat="false" ht="15" hidden="false" customHeight="false" outlineLevel="0" collapsed="false">
      <c r="A19" s="4" t="s">
        <v>77</v>
      </c>
      <c r="B19" s="6" t="n">
        <v>0.0282</v>
      </c>
      <c r="C19" s="15" t="n">
        <v>0</v>
      </c>
      <c r="D19" s="6" t="n">
        <v>0.15</v>
      </c>
      <c r="E19" s="15" t="n">
        <v>0</v>
      </c>
      <c r="F19" s="15" t="n">
        <v>0</v>
      </c>
      <c r="G19" s="6" t="n">
        <v>0.1</v>
      </c>
      <c r="H19" s="15" t="n">
        <v>0</v>
      </c>
      <c r="I19" s="15" t="n">
        <v>0</v>
      </c>
      <c r="J19" s="15" t="n">
        <v>0</v>
      </c>
      <c r="K19" s="15" t="n">
        <v>0</v>
      </c>
    </row>
    <row r="20" customFormat="false" ht="15" hidden="false" customHeight="false" outlineLevel="0" collapsed="false">
      <c r="A20" s="4" t="s">
        <v>78</v>
      </c>
      <c r="B20" s="15" t="n">
        <v>0</v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</row>
    <row r="21" customFormat="false" ht="15" hidden="false" customHeight="false" outlineLevel="0" collapsed="false">
      <c r="A21" s="4" t="s">
        <v>79</v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</row>
    <row r="22" customFormat="false" ht="15" hidden="false" customHeight="false" outlineLevel="0" collapsed="false">
      <c r="A22" s="4" t="s">
        <v>80</v>
      </c>
      <c r="B22" s="15" t="n">
        <v>0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</row>
    <row r="23" customFormat="false" ht="15" hidden="false" customHeight="false" outlineLevel="0" collapsed="false">
      <c r="A23" s="4" t="s">
        <v>81</v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</row>
    <row r="24" customFormat="false" ht="15" hidden="false" customHeight="false" outlineLevel="0" collapsed="false">
      <c r="A24" s="4" t="s">
        <v>82</v>
      </c>
      <c r="B24" s="15" t="n">
        <v>0</v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</row>
    <row r="25" customFormat="false" ht="15" hidden="false" customHeight="false" outlineLevel="0" collapsed="false">
      <c r="A25" s="4" t="s">
        <v>83</v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</row>
    <row r="26" customFormat="false" ht="15" hidden="false" customHeight="false" outlineLevel="0" collapsed="false">
      <c r="A26" s="4" t="s">
        <v>84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</row>
    <row r="27" customFormat="false" ht="15" hidden="false" customHeight="false" outlineLevel="0" collapsed="false">
      <c r="A27" s="4" t="s">
        <v>85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</row>
    <row r="28" customFormat="false" ht="15" hidden="false" customHeight="false" outlineLevel="0" collapsed="false">
      <c r="A28" s="4" t="s">
        <v>86</v>
      </c>
      <c r="B28" s="15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</row>
    <row r="29" customFormat="false" ht="15" hidden="false" customHeight="false" outlineLevel="0" collapsed="false">
      <c r="A29" s="4" t="s">
        <v>87</v>
      </c>
      <c r="B29" s="15" t="n">
        <v>0</v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</row>
    <row r="30" customFormat="false" ht="15" hidden="false" customHeight="false" outlineLevel="0" collapsed="false">
      <c r="A30" s="4" t="s">
        <v>88</v>
      </c>
      <c r="B30" s="15" t="n">
        <v>0</v>
      </c>
      <c r="C30" s="15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6" t="n">
        <v>0.12</v>
      </c>
      <c r="I30" s="15" t="n">
        <v>0</v>
      </c>
      <c r="J30" s="15" t="n">
        <v>0</v>
      </c>
      <c r="K30" s="15" t="n">
        <v>0</v>
      </c>
    </row>
    <row r="31" customFormat="false" ht="15" hidden="false" customHeight="false" outlineLevel="0" collapsed="false">
      <c r="A31" s="4" t="s">
        <v>89</v>
      </c>
      <c r="B31" s="6" t="n">
        <v>0.2252</v>
      </c>
      <c r="C31" s="6" t="n">
        <v>0.25</v>
      </c>
      <c r="D31" s="6" t="n">
        <v>0.07</v>
      </c>
      <c r="E31" s="6" t="n">
        <v>0.1</v>
      </c>
      <c r="F31" s="6" t="n">
        <v>0.2</v>
      </c>
      <c r="G31" s="6" t="n">
        <v>0.4</v>
      </c>
      <c r="H31" s="6" t="n">
        <v>0.55</v>
      </c>
      <c r="I31" s="6" t="n">
        <v>1</v>
      </c>
      <c r="J31" s="6" t="n">
        <v>1</v>
      </c>
      <c r="K31" s="6" t="n">
        <v>0.08</v>
      </c>
    </row>
    <row r="32" customFormat="false" ht="15" hidden="false" customHeight="false" outlineLevel="0" collapsed="false">
      <c r="A32" s="4" t="s">
        <v>90</v>
      </c>
      <c r="B32" s="15" t="n">
        <v>0</v>
      </c>
      <c r="C32" s="15" t="n">
        <v>0</v>
      </c>
      <c r="D32" s="6" t="n">
        <v>0.1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</row>
    <row r="33" customFormat="false" ht="15" hidden="false" customHeight="false" outlineLevel="0" collapsed="false">
      <c r="A33" s="4" t="s">
        <v>91</v>
      </c>
      <c r="B33" s="15" t="n">
        <v>0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6" t="n">
        <v>0.07</v>
      </c>
    </row>
    <row r="34" customFormat="false" ht="15" hidden="false" customHeight="false" outlineLevel="0" collapsed="false">
      <c r="A34" s="4" t="s">
        <v>92</v>
      </c>
      <c r="B34" s="15" t="n">
        <v>0</v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</row>
    <row r="35" customFormat="false" ht="15" hidden="false" customHeight="false" outlineLevel="0" collapsed="false">
      <c r="A35" s="4" t="s">
        <v>93</v>
      </c>
      <c r="B35" s="15" t="n">
        <v>0</v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</row>
    <row r="36" customFormat="false" ht="15" hidden="false" customHeight="false" outlineLevel="0" collapsed="false">
      <c r="A36" s="4" t="s">
        <v>94</v>
      </c>
      <c r="B36" s="15" t="n">
        <v>0</v>
      </c>
      <c r="C36" s="15" t="n">
        <v>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</row>
    <row r="37" customFormat="false" ht="15" hidden="false" customHeight="false" outlineLevel="0" collapsed="false">
      <c r="A37" s="4" t="s">
        <v>95</v>
      </c>
      <c r="B37" s="15" t="n">
        <v>0</v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</row>
    <row r="38" customFormat="false" ht="15" hidden="false" customHeight="false" outlineLevel="0" collapsed="false">
      <c r="A38" s="4" t="s">
        <v>96</v>
      </c>
      <c r="B38" s="6" t="n">
        <v>0.0532</v>
      </c>
      <c r="C38" s="6" t="n">
        <v>0.07</v>
      </c>
      <c r="D38" s="6" t="n">
        <v>0.05</v>
      </c>
      <c r="E38" s="6" t="n">
        <v>0.05</v>
      </c>
      <c r="F38" s="6" t="n">
        <v>0.1</v>
      </c>
      <c r="G38" s="6" t="n">
        <v>0.08</v>
      </c>
      <c r="H38" s="6" t="n">
        <v>0.06</v>
      </c>
      <c r="I38" s="15" t="n">
        <v>0</v>
      </c>
      <c r="J38" s="15" t="n">
        <v>0</v>
      </c>
      <c r="K38" s="6" t="n">
        <v>0.15</v>
      </c>
    </row>
    <row r="39" customFormat="false" ht="15" hidden="false" customHeight="false" outlineLevel="0" collapsed="false">
      <c r="A39" s="4" t="s">
        <v>97</v>
      </c>
      <c r="B39" s="15" t="n">
        <v>0</v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6" t="n">
        <v>0.1</v>
      </c>
    </row>
    <row r="40" customFormat="false" ht="15" hidden="false" customHeight="false" outlineLevel="0" collapsed="false">
      <c r="A40" s="4" t="s">
        <v>98</v>
      </c>
      <c r="B40" s="15" t="n">
        <v>0</v>
      </c>
      <c r="C40" s="15" t="n">
        <v>0</v>
      </c>
      <c r="D40" s="15" t="n">
        <v>0</v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</row>
    <row r="41" customFormat="false" ht="15" hidden="false" customHeight="false" outlineLevel="0" collapsed="false">
      <c r="A41" s="4" t="s">
        <v>99</v>
      </c>
      <c r="B41" s="15" t="n">
        <v>0</v>
      </c>
      <c r="C41" s="15" t="n">
        <v>0</v>
      </c>
      <c r="D41" s="15" t="n">
        <v>0</v>
      </c>
      <c r="E41" s="15" t="n">
        <v>0</v>
      </c>
      <c r="F41" s="15" t="n">
        <v>0</v>
      </c>
      <c r="G41" s="6" t="n">
        <v>0.1</v>
      </c>
      <c r="H41" s="15" t="n">
        <v>0</v>
      </c>
      <c r="I41" s="15" t="n">
        <v>0</v>
      </c>
      <c r="J41" s="15" t="n">
        <v>0</v>
      </c>
      <c r="K41" s="6" t="n">
        <v>0.1</v>
      </c>
    </row>
    <row r="42" customFormat="false" ht="15" hidden="false" customHeight="false" outlineLevel="0" collapsed="false">
      <c r="A42" s="16" t="s">
        <v>100</v>
      </c>
      <c r="B42" s="6" t="n">
        <v>0.4589</v>
      </c>
      <c r="C42" s="6" t="n">
        <v>0.45</v>
      </c>
      <c r="D42" s="6" t="n">
        <v>0.55</v>
      </c>
      <c r="E42" s="6" t="n">
        <v>0.4</v>
      </c>
      <c r="F42" s="6" t="n">
        <v>0.15</v>
      </c>
      <c r="G42" s="6" t="n">
        <v>0.12</v>
      </c>
      <c r="H42" s="6" t="n">
        <v>0.08</v>
      </c>
      <c r="I42" s="15" t="n">
        <v>0</v>
      </c>
      <c r="J42" s="15" t="n">
        <v>0</v>
      </c>
      <c r="K42" s="15" t="n">
        <v>0</v>
      </c>
    </row>
    <row r="43" customFormat="false" ht="15" hidden="false" customHeight="false" outlineLevel="0" collapsed="false">
      <c r="A43" s="13" t="s">
        <v>101</v>
      </c>
      <c r="B43" s="17" t="n">
        <f aca="false">SUM(B3:B42)</f>
        <v>1</v>
      </c>
      <c r="C43" s="17" t="n">
        <f aca="false">SUM(C3:C42)</f>
        <v>1</v>
      </c>
      <c r="D43" s="17" t="n">
        <f aca="false">SUM(D3:D42)</f>
        <v>1</v>
      </c>
      <c r="E43" s="17" t="n">
        <f aca="false">SUM(E3:E42)</f>
        <v>1</v>
      </c>
      <c r="F43" s="17" t="n">
        <f aca="false">SUM(F3:F42)</f>
        <v>1</v>
      </c>
      <c r="G43" s="17" t="n">
        <f aca="false">SUM(G3:G42)</f>
        <v>1</v>
      </c>
      <c r="H43" s="17" t="n">
        <f aca="false">SUM(H3:H42)</f>
        <v>1</v>
      </c>
      <c r="I43" s="17" t="n">
        <f aca="false">SUM(I3:I42)</f>
        <v>1</v>
      </c>
      <c r="J43" s="17" t="n">
        <f aca="false">SUM(J3:J42)</f>
        <v>1</v>
      </c>
      <c r="K43" s="17" t="n">
        <f aca="false">SUM(K3:K42)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12" min="2" style="0" width="13"/>
  </cols>
  <sheetData>
    <row r="1" customFormat="false" ht="52.2" hidden="false" customHeight="false" outlineLevel="0" collapsed="false">
      <c r="A1" s="3" t="s">
        <v>102</v>
      </c>
      <c r="B1" s="3" t="s">
        <v>39</v>
      </c>
      <c r="C1" s="3" t="s">
        <v>41</v>
      </c>
      <c r="D1" s="3" t="s">
        <v>43</v>
      </c>
      <c r="E1" s="3" t="s">
        <v>45</v>
      </c>
      <c r="F1" s="3" t="s">
        <v>47</v>
      </c>
      <c r="G1" s="3" t="s">
        <v>49</v>
      </c>
      <c r="H1" s="3" t="s">
        <v>51</v>
      </c>
      <c r="I1" s="3" t="s">
        <v>53</v>
      </c>
      <c r="J1" s="3" t="s">
        <v>55</v>
      </c>
      <c r="K1" s="3" t="s">
        <v>56</v>
      </c>
      <c r="L1" s="3" t="s">
        <v>58</v>
      </c>
    </row>
    <row r="2" customFormat="false" ht="15" hidden="false" customHeight="false" outlineLevel="0" collapsed="false">
      <c r="A2" s="4" t="s">
        <v>61</v>
      </c>
      <c r="B2" s="7" t="n">
        <f aca="false">T1_cost_vectors!B3*T1_cost_vectors!B$2</f>
        <v>0</v>
      </c>
      <c r="C2" s="7" t="n">
        <f aca="false">T1_cost_vectors!C3*T1_cost_vectors!C$2</f>
        <v>0</v>
      </c>
      <c r="D2" s="7" t="n">
        <f aca="false">T1_cost_vectors!D3*T1_cost_vectors!D$2</f>
        <v>0</v>
      </c>
      <c r="E2" s="7" t="n">
        <f aca="false">T1_cost_vectors!E3*T1_cost_vectors!E$2</f>
        <v>0</v>
      </c>
      <c r="F2" s="7" t="n">
        <f aca="false">T1_cost_vectors!F3*T1_cost_vectors!F$2</f>
        <v>0</v>
      </c>
      <c r="G2" s="7" t="n">
        <f aca="false">T1_cost_vectors!G3*T1_cost_vectors!G$2</f>
        <v>0</v>
      </c>
      <c r="H2" s="7" t="n">
        <f aca="false">T1_cost_vectors!H3*T1_cost_vectors!H$2</f>
        <v>0</v>
      </c>
      <c r="I2" s="7" t="n">
        <f aca="false">T1_cost_vectors!I3*T1_cost_vectors!I$2</f>
        <v>0</v>
      </c>
      <c r="J2" s="7" t="n">
        <f aca="false">T1_cost_vectors!J3*T1_cost_vectors!J$2</f>
        <v>0</v>
      </c>
      <c r="K2" s="7" t="n">
        <f aca="false">T1_cost_vectors!K3*T1_cost_vectors!K$2</f>
        <v>9.684735</v>
      </c>
      <c r="L2" s="18" t="n">
        <f aca="false">SUM(B2:K2)</f>
        <v>9.684735</v>
      </c>
    </row>
    <row r="3" customFormat="false" ht="15" hidden="false" customHeight="false" outlineLevel="0" collapsed="false">
      <c r="A3" s="4" t="s">
        <v>62</v>
      </c>
      <c r="B3" s="7" t="n">
        <f aca="false">T1_cost_vectors!B4*T1_cost_vectors!B$2</f>
        <v>0</v>
      </c>
      <c r="C3" s="7" t="n">
        <f aca="false">T1_cost_vectors!C4*T1_cost_vectors!C$2</f>
        <v>0</v>
      </c>
      <c r="D3" s="7" t="n">
        <f aca="false">T1_cost_vectors!D4*T1_cost_vectors!D$2</f>
        <v>0</v>
      </c>
      <c r="E3" s="7" t="n">
        <f aca="false">T1_cost_vectors!E4*T1_cost_vectors!E$2</f>
        <v>0</v>
      </c>
      <c r="F3" s="7" t="n">
        <f aca="false">T1_cost_vectors!F4*T1_cost_vectors!F$2</f>
        <v>0</v>
      </c>
      <c r="G3" s="7" t="n">
        <f aca="false">T1_cost_vectors!G4*T1_cost_vectors!G$2</f>
        <v>0</v>
      </c>
      <c r="H3" s="7" t="n">
        <f aca="false">T1_cost_vectors!H4*T1_cost_vectors!H$2</f>
        <v>0</v>
      </c>
      <c r="I3" s="7" t="n">
        <f aca="false">T1_cost_vectors!I4*T1_cost_vectors!I$2</f>
        <v>0</v>
      </c>
      <c r="J3" s="7" t="n">
        <f aca="false">T1_cost_vectors!J4*T1_cost_vectors!J$2</f>
        <v>0</v>
      </c>
      <c r="K3" s="7" t="n">
        <f aca="false">T1_cost_vectors!K4*T1_cost_vectors!K$2</f>
        <v>22.597715</v>
      </c>
      <c r="L3" s="18" t="n">
        <f aca="false">SUM(B3:K3)</f>
        <v>22.597715</v>
      </c>
    </row>
    <row r="4" customFormat="false" ht="15" hidden="false" customHeight="false" outlineLevel="0" collapsed="false">
      <c r="A4" s="4" t="s">
        <v>63</v>
      </c>
      <c r="B4" s="7" t="n">
        <f aca="false">T1_cost_vectors!B5*T1_cost_vectors!B$2</f>
        <v>0</v>
      </c>
      <c r="C4" s="7" t="n">
        <f aca="false">T1_cost_vectors!C5*T1_cost_vectors!C$2</f>
        <v>0</v>
      </c>
      <c r="D4" s="7" t="n">
        <f aca="false">T1_cost_vectors!D5*T1_cost_vectors!D$2</f>
        <v>0</v>
      </c>
      <c r="E4" s="7" t="n">
        <f aca="false">T1_cost_vectors!E5*T1_cost_vectors!E$2</f>
        <v>0</v>
      </c>
      <c r="F4" s="7" t="n">
        <f aca="false">T1_cost_vectors!F5*T1_cost_vectors!F$2</f>
        <v>0</v>
      </c>
      <c r="G4" s="7" t="n">
        <f aca="false">T1_cost_vectors!G5*T1_cost_vectors!G$2</f>
        <v>0</v>
      </c>
      <c r="H4" s="7" t="n">
        <f aca="false">T1_cost_vectors!H5*T1_cost_vectors!H$2</f>
        <v>0</v>
      </c>
      <c r="I4" s="7" t="n">
        <f aca="false">T1_cost_vectors!I5*T1_cost_vectors!I$2</f>
        <v>0</v>
      </c>
      <c r="J4" s="7" t="n">
        <f aca="false">T1_cost_vectors!J5*T1_cost_vectors!J$2</f>
        <v>0</v>
      </c>
      <c r="K4" s="7" t="n">
        <f aca="false">T1_cost_vectors!K5*T1_cost_vectors!K$2</f>
        <v>0</v>
      </c>
      <c r="L4" s="18" t="n">
        <f aca="false">SUM(B4:K4)</f>
        <v>0</v>
      </c>
    </row>
    <row r="5" customFormat="false" ht="15" hidden="false" customHeight="false" outlineLevel="0" collapsed="false">
      <c r="A5" s="4" t="s">
        <v>64</v>
      </c>
      <c r="B5" s="7" t="n">
        <f aca="false">T1_cost_vectors!B6*T1_cost_vectors!B$2</f>
        <v>0</v>
      </c>
      <c r="C5" s="7" t="n">
        <f aca="false">T1_cost_vectors!C6*T1_cost_vectors!C$2</f>
        <v>0</v>
      </c>
      <c r="D5" s="7" t="n">
        <f aca="false">T1_cost_vectors!D6*T1_cost_vectors!D$2</f>
        <v>0</v>
      </c>
      <c r="E5" s="7" t="n">
        <f aca="false">T1_cost_vectors!E6*T1_cost_vectors!E$2</f>
        <v>0</v>
      </c>
      <c r="F5" s="7" t="n">
        <f aca="false">T1_cost_vectors!F6*T1_cost_vectors!F$2</f>
        <v>0</v>
      </c>
      <c r="G5" s="7" t="n">
        <f aca="false">T1_cost_vectors!G6*T1_cost_vectors!G$2</f>
        <v>0</v>
      </c>
      <c r="H5" s="7" t="n">
        <f aca="false">T1_cost_vectors!H6*T1_cost_vectors!H$2</f>
        <v>0</v>
      </c>
      <c r="I5" s="7" t="n">
        <f aca="false">T1_cost_vectors!I6*T1_cost_vectors!I$2</f>
        <v>0</v>
      </c>
      <c r="J5" s="7" t="n">
        <f aca="false">T1_cost_vectors!J6*T1_cost_vectors!J$2</f>
        <v>0</v>
      </c>
      <c r="K5" s="7" t="n">
        <f aca="false">T1_cost_vectors!K6*T1_cost_vectors!K$2</f>
        <v>0</v>
      </c>
      <c r="L5" s="18" t="n">
        <f aca="false">SUM(B5:K5)</f>
        <v>0</v>
      </c>
    </row>
    <row r="6" customFormat="false" ht="15" hidden="false" customHeight="false" outlineLevel="0" collapsed="false">
      <c r="A6" s="4" t="s">
        <v>65</v>
      </c>
      <c r="B6" s="7" t="n">
        <f aca="false">T1_cost_vectors!B7*T1_cost_vectors!B$2</f>
        <v>0</v>
      </c>
      <c r="C6" s="7" t="n">
        <f aca="false">T1_cost_vectors!C7*T1_cost_vectors!C$2</f>
        <v>0</v>
      </c>
      <c r="D6" s="7" t="n">
        <f aca="false">T1_cost_vectors!D7*T1_cost_vectors!D$2</f>
        <v>0</v>
      </c>
      <c r="E6" s="7" t="n">
        <f aca="false">T1_cost_vectors!E7*T1_cost_vectors!E$2</f>
        <v>0</v>
      </c>
      <c r="F6" s="7" t="n">
        <f aca="false">T1_cost_vectors!F7*T1_cost_vectors!F$2</f>
        <v>0</v>
      </c>
      <c r="G6" s="7" t="n">
        <f aca="false">T1_cost_vectors!G7*T1_cost_vectors!G$2</f>
        <v>0</v>
      </c>
      <c r="H6" s="7" t="n">
        <f aca="false">T1_cost_vectors!H7*T1_cost_vectors!H$2</f>
        <v>0</v>
      </c>
      <c r="I6" s="7" t="n">
        <f aca="false">T1_cost_vectors!I7*T1_cost_vectors!I$2</f>
        <v>0</v>
      </c>
      <c r="J6" s="7" t="n">
        <f aca="false">T1_cost_vectors!J7*T1_cost_vectors!J$2</f>
        <v>0</v>
      </c>
      <c r="K6" s="7" t="n">
        <f aca="false">T1_cost_vectors!K7*T1_cost_vectors!K$2</f>
        <v>0</v>
      </c>
      <c r="L6" s="18" t="n">
        <f aca="false">SUM(B6:K6)</f>
        <v>0</v>
      </c>
    </row>
    <row r="7" customFormat="false" ht="15" hidden="false" customHeight="false" outlineLevel="0" collapsed="false">
      <c r="A7" s="4" t="s">
        <v>66</v>
      </c>
      <c r="B7" s="7" t="n">
        <f aca="false">T1_cost_vectors!B8*T1_cost_vectors!B$2</f>
        <v>0</v>
      </c>
      <c r="C7" s="7" t="n">
        <f aca="false">T1_cost_vectors!C8*T1_cost_vectors!C$2</f>
        <v>0</v>
      </c>
      <c r="D7" s="7" t="n">
        <f aca="false">T1_cost_vectors!D8*T1_cost_vectors!D$2</f>
        <v>0</v>
      </c>
      <c r="E7" s="7" t="n">
        <f aca="false">T1_cost_vectors!E8*T1_cost_vectors!E$2</f>
        <v>0</v>
      </c>
      <c r="F7" s="7" t="n">
        <f aca="false">T1_cost_vectors!F8*T1_cost_vectors!F$2</f>
        <v>0</v>
      </c>
      <c r="G7" s="7" t="n">
        <f aca="false">T1_cost_vectors!G8*T1_cost_vectors!G$2</f>
        <v>0</v>
      </c>
      <c r="H7" s="7" t="n">
        <f aca="false">T1_cost_vectors!H8*T1_cost_vectors!H$2</f>
        <v>0</v>
      </c>
      <c r="I7" s="7" t="n">
        <f aca="false">T1_cost_vectors!I8*T1_cost_vectors!I$2</f>
        <v>0</v>
      </c>
      <c r="J7" s="7" t="n">
        <f aca="false">T1_cost_vectors!J8*T1_cost_vectors!J$2</f>
        <v>0</v>
      </c>
      <c r="K7" s="7" t="n">
        <f aca="false">T1_cost_vectors!K8*T1_cost_vectors!K$2</f>
        <v>0</v>
      </c>
      <c r="L7" s="18" t="n">
        <f aca="false">SUM(B7:K7)</f>
        <v>0</v>
      </c>
    </row>
    <row r="8" customFormat="false" ht="15" hidden="false" customHeight="false" outlineLevel="0" collapsed="false">
      <c r="A8" s="4" t="s">
        <v>67</v>
      </c>
      <c r="B8" s="7" t="n">
        <f aca="false">T1_cost_vectors!B9*T1_cost_vectors!B$2</f>
        <v>0</v>
      </c>
      <c r="C8" s="7" t="n">
        <f aca="false">T1_cost_vectors!C9*T1_cost_vectors!C$2</f>
        <v>0</v>
      </c>
      <c r="D8" s="7" t="n">
        <f aca="false">T1_cost_vectors!D9*T1_cost_vectors!D$2</f>
        <v>0</v>
      </c>
      <c r="E8" s="7" t="n">
        <f aca="false">T1_cost_vectors!E9*T1_cost_vectors!E$2</f>
        <v>0</v>
      </c>
      <c r="F8" s="7" t="n">
        <f aca="false">T1_cost_vectors!F9*T1_cost_vectors!F$2</f>
        <v>0</v>
      </c>
      <c r="G8" s="7" t="n">
        <f aca="false">T1_cost_vectors!G9*T1_cost_vectors!G$2</f>
        <v>0</v>
      </c>
      <c r="H8" s="7" t="n">
        <f aca="false">T1_cost_vectors!H9*T1_cost_vectors!H$2</f>
        <v>0</v>
      </c>
      <c r="I8" s="7" t="n">
        <f aca="false">T1_cost_vectors!I9*T1_cost_vectors!I$2</f>
        <v>0</v>
      </c>
      <c r="J8" s="7" t="n">
        <f aca="false">T1_cost_vectors!J9*T1_cost_vectors!J$2</f>
        <v>0</v>
      </c>
      <c r="K8" s="7" t="n">
        <f aca="false">T1_cost_vectors!K9*T1_cost_vectors!K$2</f>
        <v>0</v>
      </c>
      <c r="L8" s="18" t="n">
        <f aca="false">SUM(B8:K8)</f>
        <v>0</v>
      </c>
    </row>
    <row r="9" customFormat="false" ht="15" hidden="false" customHeight="false" outlineLevel="0" collapsed="false">
      <c r="A9" s="4" t="s">
        <v>68</v>
      </c>
      <c r="B9" s="7" t="n">
        <f aca="false">T1_cost_vectors!B10*T1_cost_vectors!B$2</f>
        <v>0</v>
      </c>
      <c r="C9" s="7" t="n">
        <f aca="false">T1_cost_vectors!C10*T1_cost_vectors!C$2</f>
        <v>0.610098</v>
      </c>
      <c r="D9" s="7" t="n">
        <f aca="false">T1_cost_vectors!D10*T1_cost_vectors!D$2</f>
        <v>0</v>
      </c>
      <c r="E9" s="7" t="n">
        <f aca="false">T1_cost_vectors!E10*T1_cost_vectors!E$2</f>
        <v>0</v>
      </c>
      <c r="F9" s="7" t="n">
        <f aca="false">T1_cost_vectors!F10*T1_cost_vectors!F$2</f>
        <v>0</v>
      </c>
      <c r="G9" s="7" t="n">
        <f aca="false">T1_cost_vectors!G10*T1_cost_vectors!G$2</f>
        <v>0</v>
      </c>
      <c r="H9" s="7" t="n">
        <f aca="false">T1_cost_vectors!H10*T1_cost_vectors!H$2</f>
        <v>0</v>
      </c>
      <c r="I9" s="7" t="n">
        <f aca="false">T1_cost_vectors!I10*T1_cost_vectors!I$2</f>
        <v>0</v>
      </c>
      <c r="J9" s="7" t="n">
        <f aca="false">T1_cost_vectors!J10*T1_cost_vectors!J$2</f>
        <v>0</v>
      </c>
      <c r="K9" s="7" t="n">
        <f aca="false">T1_cost_vectors!K10*T1_cost_vectors!K$2</f>
        <v>0</v>
      </c>
      <c r="L9" s="18" t="n">
        <f aca="false">SUM(B9:K9)</f>
        <v>0.610098</v>
      </c>
    </row>
    <row r="10" customFormat="false" ht="15" hidden="false" customHeight="false" outlineLevel="0" collapsed="false">
      <c r="A10" s="4" t="s">
        <v>69</v>
      </c>
      <c r="B10" s="7" t="n">
        <f aca="false">T1_cost_vectors!B11*T1_cost_vectors!B$2</f>
        <v>0</v>
      </c>
      <c r="C10" s="7" t="n">
        <f aca="false">T1_cost_vectors!C11*T1_cost_vectors!C$2</f>
        <v>0</v>
      </c>
      <c r="D10" s="7" t="n">
        <f aca="false">T1_cost_vectors!D11*T1_cost_vectors!D$2</f>
        <v>0</v>
      </c>
      <c r="E10" s="7" t="n">
        <f aca="false">T1_cost_vectors!E11*T1_cost_vectors!E$2</f>
        <v>0</v>
      </c>
      <c r="F10" s="7" t="n">
        <f aca="false">T1_cost_vectors!F11*T1_cost_vectors!F$2</f>
        <v>0</v>
      </c>
      <c r="G10" s="7" t="n">
        <f aca="false">T1_cost_vectors!G11*T1_cost_vectors!G$2</f>
        <v>0</v>
      </c>
      <c r="H10" s="7" t="n">
        <f aca="false">T1_cost_vectors!H11*T1_cost_vectors!H$2</f>
        <v>0</v>
      </c>
      <c r="I10" s="7" t="n">
        <f aca="false">T1_cost_vectors!I11*T1_cost_vectors!I$2</f>
        <v>0</v>
      </c>
      <c r="J10" s="7" t="n">
        <f aca="false">T1_cost_vectors!J11*T1_cost_vectors!J$2</f>
        <v>0</v>
      </c>
      <c r="K10" s="7" t="n">
        <f aca="false">T1_cost_vectors!K11*T1_cost_vectors!K$2</f>
        <v>0</v>
      </c>
      <c r="L10" s="18" t="n">
        <f aca="false">SUM(B10:K10)</f>
        <v>0</v>
      </c>
    </row>
    <row r="11" customFormat="false" ht="15" hidden="false" customHeight="false" outlineLevel="0" collapsed="false">
      <c r="A11" s="4" t="s">
        <v>70</v>
      </c>
      <c r="B11" s="7" t="n">
        <f aca="false">T1_cost_vectors!B12*T1_cost_vectors!B$2</f>
        <v>0</v>
      </c>
      <c r="C11" s="7" t="n">
        <f aca="false">T1_cost_vectors!C12*T1_cost_vectors!C$2</f>
        <v>0</v>
      </c>
      <c r="D11" s="7" t="n">
        <f aca="false">T1_cost_vectors!D12*T1_cost_vectors!D$2</f>
        <v>0</v>
      </c>
      <c r="E11" s="7" t="n">
        <f aca="false">T1_cost_vectors!E12*T1_cost_vectors!E$2</f>
        <v>0</v>
      </c>
      <c r="F11" s="7" t="n">
        <f aca="false">T1_cost_vectors!F12*T1_cost_vectors!F$2</f>
        <v>5.35531</v>
      </c>
      <c r="G11" s="7" t="n">
        <f aca="false">T1_cost_vectors!G12*T1_cost_vectors!G$2</f>
        <v>0</v>
      </c>
      <c r="H11" s="7" t="n">
        <f aca="false">T1_cost_vectors!H12*T1_cost_vectors!H$2</f>
        <v>1.853512</v>
      </c>
      <c r="I11" s="7" t="n">
        <f aca="false">T1_cost_vectors!I12*T1_cost_vectors!I$2</f>
        <v>0</v>
      </c>
      <c r="J11" s="7" t="n">
        <f aca="false">T1_cost_vectors!J12*T1_cost_vectors!J$2</f>
        <v>0</v>
      </c>
      <c r="K11" s="7" t="n">
        <f aca="false">T1_cost_vectors!K12*T1_cost_vectors!K$2</f>
        <v>0</v>
      </c>
      <c r="L11" s="18" t="n">
        <f aca="false">SUM(B11:K11)</f>
        <v>7.208822</v>
      </c>
    </row>
    <row r="12" customFormat="false" ht="15" hidden="false" customHeight="false" outlineLevel="0" collapsed="false">
      <c r="A12" s="4" t="s">
        <v>71</v>
      </c>
      <c r="B12" s="7" t="n">
        <f aca="false">T1_cost_vectors!B13*T1_cost_vectors!B$2</f>
        <v>0</v>
      </c>
      <c r="C12" s="7" t="n">
        <f aca="false">T1_cost_vectors!C13*T1_cost_vectors!C$2</f>
        <v>0</v>
      </c>
      <c r="D12" s="7" t="n">
        <f aca="false">T1_cost_vectors!D13*T1_cost_vectors!D$2</f>
        <v>0</v>
      </c>
      <c r="E12" s="7" t="n">
        <f aca="false">T1_cost_vectors!E13*T1_cost_vectors!E$2</f>
        <v>0</v>
      </c>
      <c r="F12" s="7" t="n">
        <f aca="false">T1_cost_vectors!F13*T1_cost_vectors!F$2</f>
        <v>0</v>
      </c>
      <c r="G12" s="7" t="n">
        <f aca="false">T1_cost_vectors!G13*T1_cost_vectors!G$2</f>
        <v>0</v>
      </c>
      <c r="H12" s="7" t="n">
        <f aca="false">T1_cost_vectors!H13*T1_cost_vectors!H$2</f>
        <v>0</v>
      </c>
      <c r="I12" s="7" t="n">
        <f aca="false">T1_cost_vectors!I13*T1_cost_vectors!I$2</f>
        <v>0</v>
      </c>
      <c r="J12" s="7" t="n">
        <f aca="false">T1_cost_vectors!J13*T1_cost_vectors!J$2</f>
        <v>0</v>
      </c>
      <c r="K12" s="7" t="n">
        <f aca="false">T1_cost_vectors!K13*T1_cost_vectors!K$2</f>
        <v>0</v>
      </c>
      <c r="L12" s="18" t="n">
        <f aca="false">SUM(B12:K12)</f>
        <v>0</v>
      </c>
    </row>
    <row r="13" customFormat="false" ht="15" hidden="false" customHeight="false" outlineLevel="0" collapsed="false">
      <c r="A13" s="4" t="s">
        <v>72</v>
      </c>
      <c r="B13" s="7" t="n">
        <f aca="false">T1_cost_vectors!B14*T1_cost_vectors!B$2</f>
        <v>0</v>
      </c>
      <c r="C13" s="7" t="n">
        <f aca="false">T1_cost_vectors!C14*T1_cost_vectors!C$2</f>
        <v>0</v>
      </c>
      <c r="D13" s="7" t="n">
        <f aca="false">T1_cost_vectors!D14*T1_cost_vectors!D$2</f>
        <v>0</v>
      </c>
      <c r="E13" s="7" t="n">
        <f aca="false">T1_cost_vectors!E14*T1_cost_vectors!E$2</f>
        <v>0</v>
      </c>
      <c r="F13" s="7" t="n">
        <f aca="false">T1_cost_vectors!F14*T1_cost_vectors!F$2</f>
        <v>0</v>
      </c>
      <c r="G13" s="7" t="n">
        <f aca="false">T1_cost_vectors!G14*T1_cost_vectors!G$2</f>
        <v>0</v>
      </c>
      <c r="H13" s="7" t="n">
        <f aca="false">T1_cost_vectors!H14*T1_cost_vectors!H$2</f>
        <v>0</v>
      </c>
      <c r="I13" s="7" t="n">
        <f aca="false">T1_cost_vectors!I14*T1_cost_vectors!I$2</f>
        <v>0</v>
      </c>
      <c r="J13" s="7" t="n">
        <f aca="false">T1_cost_vectors!J14*T1_cost_vectors!J$2</f>
        <v>0</v>
      </c>
      <c r="K13" s="7" t="n">
        <f aca="false">T1_cost_vectors!K14*T1_cost_vectors!K$2</f>
        <v>0</v>
      </c>
      <c r="L13" s="18" t="n">
        <f aca="false">SUM(B13:K13)</f>
        <v>0</v>
      </c>
    </row>
    <row r="14" customFormat="false" ht="15" hidden="false" customHeight="false" outlineLevel="0" collapsed="false">
      <c r="A14" s="4" t="s">
        <v>73</v>
      </c>
      <c r="B14" s="7" t="n">
        <f aca="false">T1_cost_vectors!B15*T1_cost_vectors!B$2</f>
        <v>3.8645177</v>
      </c>
      <c r="C14" s="7" t="n">
        <f aca="false">T1_cost_vectors!C15*T1_cost_vectors!C$2</f>
        <v>0</v>
      </c>
      <c r="D14" s="7" t="n">
        <f aca="false">T1_cost_vectors!D15*T1_cost_vectors!D$2</f>
        <v>0</v>
      </c>
      <c r="E14" s="7" t="n">
        <f aca="false">T1_cost_vectors!E15*T1_cost_vectors!E$2</f>
        <v>1.024044</v>
      </c>
      <c r="F14" s="7" t="n">
        <f aca="false">T1_cost_vectors!F15*T1_cost_vectors!F$2</f>
        <v>8.032965</v>
      </c>
      <c r="G14" s="7" t="n">
        <f aca="false">T1_cost_vectors!G15*T1_cost_vectors!G$2</f>
        <v>0</v>
      </c>
      <c r="H14" s="7" t="n">
        <f aca="false">T1_cost_vectors!H15*T1_cost_vectors!H$2</f>
        <v>0</v>
      </c>
      <c r="I14" s="7" t="n">
        <f aca="false">T1_cost_vectors!I15*T1_cost_vectors!I$2</f>
        <v>0</v>
      </c>
      <c r="J14" s="7" t="n">
        <f aca="false">T1_cost_vectors!J15*T1_cost_vectors!J$2</f>
        <v>0</v>
      </c>
      <c r="K14" s="7" t="n">
        <f aca="false">T1_cost_vectors!K15*T1_cost_vectors!K$2</f>
        <v>0</v>
      </c>
      <c r="L14" s="18" t="n">
        <f aca="false">SUM(B14:K14)</f>
        <v>12.9215267</v>
      </c>
    </row>
    <row r="15" customFormat="false" ht="15" hidden="false" customHeight="false" outlineLevel="0" collapsed="false">
      <c r="A15" s="4" t="s">
        <v>74</v>
      </c>
      <c r="B15" s="7" t="n">
        <f aca="false">T1_cost_vectors!B16*T1_cost_vectors!B$2</f>
        <v>0.72705333</v>
      </c>
      <c r="C15" s="7" t="n">
        <f aca="false">T1_cost_vectors!C16*T1_cost_vectors!C$2</f>
        <v>0</v>
      </c>
      <c r="D15" s="7" t="n">
        <f aca="false">T1_cost_vectors!D16*T1_cost_vectors!D$2</f>
        <v>0</v>
      </c>
      <c r="E15" s="7" t="n">
        <f aca="false">T1_cost_vectors!E16*T1_cost_vectors!E$2</f>
        <v>0</v>
      </c>
      <c r="F15" s="7" t="n">
        <f aca="false">T1_cost_vectors!F16*T1_cost_vectors!F$2</f>
        <v>0</v>
      </c>
      <c r="G15" s="7" t="n">
        <f aca="false">T1_cost_vectors!G16*T1_cost_vectors!G$2</f>
        <v>0</v>
      </c>
      <c r="H15" s="7" t="n">
        <f aca="false">T1_cost_vectors!H16*T1_cost_vectors!H$2</f>
        <v>0</v>
      </c>
      <c r="I15" s="7" t="n">
        <f aca="false">T1_cost_vectors!I16*T1_cost_vectors!I$2</f>
        <v>0</v>
      </c>
      <c r="J15" s="7" t="n">
        <f aca="false">T1_cost_vectors!J16*T1_cost_vectors!J$2</f>
        <v>0</v>
      </c>
      <c r="K15" s="7" t="n">
        <f aca="false">T1_cost_vectors!K16*T1_cost_vectors!K$2</f>
        <v>0</v>
      </c>
      <c r="L15" s="18" t="n">
        <f aca="false">SUM(B15:K15)</f>
        <v>0.72705333</v>
      </c>
    </row>
    <row r="16" customFormat="false" ht="15" hidden="false" customHeight="false" outlineLevel="0" collapsed="false">
      <c r="A16" s="4" t="s">
        <v>75</v>
      </c>
      <c r="B16" s="7" t="n">
        <f aca="false">T1_cost_vectors!B17*T1_cost_vectors!B$2</f>
        <v>5.71162616</v>
      </c>
      <c r="C16" s="7" t="n">
        <f aca="false">T1_cost_vectors!C17*T1_cost_vectors!C$2</f>
        <v>3.05049</v>
      </c>
      <c r="D16" s="7" t="n">
        <f aca="false">T1_cost_vectors!D17*T1_cost_vectors!D$2</f>
        <v>0.712904</v>
      </c>
      <c r="E16" s="7" t="n">
        <f aca="false">T1_cost_vectors!E17*T1_cost_vectors!E$2</f>
        <v>0.682696</v>
      </c>
      <c r="F16" s="7" t="n">
        <f aca="false">T1_cost_vectors!F17*T1_cost_vectors!F$2</f>
        <v>0</v>
      </c>
      <c r="G16" s="7" t="n">
        <f aca="false">T1_cost_vectors!G17*T1_cost_vectors!G$2</f>
        <v>0</v>
      </c>
      <c r="H16" s="7" t="n">
        <f aca="false">T1_cost_vectors!H17*T1_cost_vectors!H$2</f>
        <v>0</v>
      </c>
      <c r="I16" s="7" t="n">
        <f aca="false">T1_cost_vectors!I17*T1_cost_vectors!I$2</f>
        <v>0</v>
      </c>
      <c r="J16" s="7" t="n">
        <f aca="false">T1_cost_vectors!J17*T1_cost_vectors!J$2</f>
        <v>0</v>
      </c>
      <c r="K16" s="7" t="n">
        <f aca="false">T1_cost_vectors!K17*T1_cost_vectors!K$2</f>
        <v>0</v>
      </c>
      <c r="L16" s="18" t="n">
        <f aca="false">SUM(B16:K16)</f>
        <v>10.15771616</v>
      </c>
    </row>
    <row r="17" customFormat="false" ht="15" hidden="false" customHeight="false" outlineLevel="0" collapsed="false">
      <c r="A17" s="4" t="s">
        <v>76</v>
      </c>
      <c r="B17" s="7" t="n">
        <f aca="false">T1_cost_vectors!B18*T1_cost_vectors!B$2</f>
        <v>5.05662316</v>
      </c>
      <c r="C17" s="7" t="n">
        <f aca="false">T1_cost_vectors!C18*T1_cost_vectors!C$2</f>
        <v>1.01683</v>
      </c>
      <c r="D17" s="7" t="n">
        <f aca="false">T1_cost_vectors!D18*T1_cost_vectors!D$2</f>
        <v>0</v>
      </c>
      <c r="E17" s="7" t="n">
        <f aca="false">T1_cost_vectors!E18*T1_cost_vectors!E$2</f>
        <v>2.133425</v>
      </c>
      <c r="F17" s="7" t="n">
        <f aca="false">T1_cost_vectors!F18*T1_cost_vectors!F$2</f>
        <v>16.06593</v>
      </c>
      <c r="G17" s="7" t="n">
        <f aca="false">T1_cost_vectors!G18*T1_cost_vectors!G$2</f>
        <v>1.15786</v>
      </c>
      <c r="H17" s="7" t="n">
        <f aca="false">T1_cost_vectors!H18*T1_cost_vectors!H$2</f>
        <v>6.95067</v>
      </c>
      <c r="I17" s="7" t="n">
        <f aca="false">T1_cost_vectors!I18*T1_cost_vectors!I$2</f>
        <v>0</v>
      </c>
      <c r="J17" s="7" t="n">
        <f aca="false">T1_cost_vectors!J18*T1_cost_vectors!J$2</f>
        <v>0</v>
      </c>
      <c r="K17" s="7" t="n">
        <f aca="false">T1_cost_vectors!K18*T1_cost_vectors!K$2</f>
        <v>0</v>
      </c>
      <c r="L17" s="18" t="n">
        <f aca="false">SUM(B17:K17)</f>
        <v>32.38133816</v>
      </c>
    </row>
    <row r="18" customFormat="false" ht="15" hidden="false" customHeight="false" outlineLevel="0" collapsed="false">
      <c r="A18" s="4" t="s">
        <v>77</v>
      </c>
      <c r="B18" s="7" t="n">
        <f aca="false">T1_cost_vectors!B19*T1_cost_vectors!B$2</f>
        <v>1.84710846</v>
      </c>
      <c r="C18" s="7" t="n">
        <f aca="false">T1_cost_vectors!C19*T1_cost_vectors!C$2</f>
        <v>0</v>
      </c>
      <c r="D18" s="7" t="n">
        <f aca="false">T1_cost_vectors!D19*T1_cost_vectors!D$2</f>
        <v>1.336695</v>
      </c>
      <c r="E18" s="7" t="n">
        <f aca="false">T1_cost_vectors!E19*T1_cost_vectors!E$2</f>
        <v>0</v>
      </c>
      <c r="F18" s="7" t="n">
        <f aca="false">T1_cost_vectors!F19*T1_cost_vectors!F$2</f>
        <v>0</v>
      </c>
      <c r="G18" s="7" t="n">
        <f aca="false">T1_cost_vectors!G19*T1_cost_vectors!G$2</f>
        <v>0.57893</v>
      </c>
      <c r="H18" s="7" t="n">
        <f aca="false">T1_cost_vectors!H19*T1_cost_vectors!H$2</f>
        <v>0</v>
      </c>
      <c r="I18" s="7" t="n">
        <f aca="false">T1_cost_vectors!I19*T1_cost_vectors!I$2</f>
        <v>0</v>
      </c>
      <c r="J18" s="7" t="n">
        <f aca="false">T1_cost_vectors!J19*T1_cost_vectors!J$2</f>
        <v>0</v>
      </c>
      <c r="K18" s="7" t="n">
        <f aca="false">T1_cost_vectors!K19*T1_cost_vectors!K$2</f>
        <v>0</v>
      </c>
      <c r="L18" s="18" t="n">
        <f aca="false">SUM(B18:K18)</f>
        <v>3.76273346</v>
      </c>
    </row>
    <row r="19" customFormat="false" ht="15" hidden="false" customHeight="false" outlineLevel="0" collapsed="false">
      <c r="A19" s="4" t="s">
        <v>78</v>
      </c>
      <c r="B19" s="7" t="n">
        <f aca="false">T1_cost_vectors!B20*T1_cost_vectors!B$2</f>
        <v>0</v>
      </c>
      <c r="C19" s="7" t="n">
        <f aca="false">T1_cost_vectors!C20*T1_cost_vectors!C$2</f>
        <v>0</v>
      </c>
      <c r="D19" s="7" t="n">
        <f aca="false">T1_cost_vectors!D20*T1_cost_vectors!D$2</f>
        <v>0</v>
      </c>
      <c r="E19" s="7" t="n">
        <f aca="false">T1_cost_vectors!E20*T1_cost_vectors!E$2</f>
        <v>0</v>
      </c>
      <c r="F19" s="7" t="n">
        <f aca="false">T1_cost_vectors!F20*T1_cost_vectors!F$2</f>
        <v>0</v>
      </c>
      <c r="G19" s="7" t="n">
        <f aca="false">T1_cost_vectors!G20*T1_cost_vectors!G$2</f>
        <v>0</v>
      </c>
      <c r="H19" s="7" t="n">
        <f aca="false">T1_cost_vectors!H20*T1_cost_vectors!H$2</f>
        <v>0</v>
      </c>
      <c r="I19" s="7" t="n">
        <f aca="false">T1_cost_vectors!I20*T1_cost_vectors!I$2</f>
        <v>0</v>
      </c>
      <c r="J19" s="7" t="n">
        <f aca="false">T1_cost_vectors!J20*T1_cost_vectors!J$2</f>
        <v>0</v>
      </c>
      <c r="K19" s="7" t="n">
        <f aca="false">T1_cost_vectors!K20*T1_cost_vectors!K$2</f>
        <v>0</v>
      </c>
      <c r="L19" s="18" t="n">
        <f aca="false">SUM(B19:K19)</f>
        <v>0</v>
      </c>
    </row>
    <row r="20" customFormat="false" ht="15" hidden="false" customHeight="false" outlineLevel="0" collapsed="false">
      <c r="A20" s="4" t="s">
        <v>79</v>
      </c>
      <c r="B20" s="7" t="n">
        <f aca="false">T1_cost_vectors!B21*T1_cost_vectors!B$2</f>
        <v>0</v>
      </c>
      <c r="C20" s="7" t="n">
        <f aca="false">T1_cost_vectors!C21*T1_cost_vectors!C$2</f>
        <v>0</v>
      </c>
      <c r="D20" s="7" t="n">
        <f aca="false">T1_cost_vectors!D21*T1_cost_vectors!D$2</f>
        <v>0</v>
      </c>
      <c r="E20" s="7" t="n">
        <f aca="false">T1_cost_vectors!E21*T1_cost_vectors!E$2</f>
        <v>0</v>
      </c>
      <c r="F20" s="7" t="n">
        <f aca="false">T1_cost_vectors!F21*T1_cost_vectors!F$2</f>
        <v>0</v>
      </c>
      <c r="G20" s="7" t="n">
        <f aca="false">T1_cost_vectors!G21*T1_cost_vectors!G$2</f>
        <v>0</v>
      </c>
      <c r="H20" s="7" t="n">
        <f aca="false">T1_cost_vectors!H21*T1_cost_vectors!H$2</f>
        <v>0</v>
      </c>
      <c r="I20" s="7" t="n">
        <f aca="false">T1_cost_vectors!I21*T1_cost_vectors!I$2</f>
        <v>0</v>
      </c>
      <c r="J20" s="7" t="n">
        <f aca="false">T1_cost_vectors!J21*T1_cost_vectors!J$2</f>
        <v>0</v>
      </c>
      <c r="K20" s="7" t="n">
        <f aca="false">T1_cost_vectors!K21*T1_cost_vectors!K$2</f>
        <v>0</v>
      </c>
      <c r="L20" s="18" t="n">
        <f aca="false">SUM(B20:K20)</f>
        <v>0</v>
      </c>
    </row>
    <row r="21" customFormat="false" ht="15" hidden="false" customHeight="false" outlineLevel="0" collapsed="false">
      <c r="A21" s="4" t="s">
        <v>80</v>
      </c>
      <c r="B21" s="7" t="n">
        <f aca="false">T1_cost_vectors!B22*T1_cost_vectors!B$2</f>
        <v>0</v>
      </c>
      <c r="C21" s="7" t="n">
        <f aca="false">T1_cost_vectors!C22*T1_cost_vectors!C$2</f>
        <v>0</v>
      </c>
      <c r="D21" s="7" t="n">
        <f aca="false">T1_cost_vectors!D22*T1_cost_vectors!D$2</f>
        <v>0</v>
      </c>
      <c r="E21" s="7" t="n">
        <f aca="false">T1_cost_vectors!E22*T1_cost_vectors!E$2</f>
        <v>0</v>
      </c>
      <c r="F21" s="7" t="n">
        <f aca="false">T1_cost_vectors!F22*T1_cost_vectors!F$2</f>
        <v>0</v>
      </c>
      <c r="G21" s="7" t="n">
        <f aca="false">T1_cost_vectors!G22*T1_cost_vectors!G$2</f>
        <v>0</v>
      </c>
      <c r="H21" s="7" t="n">
        <f aca="false">T1_cost_vectors!H22*T1_cost_vectors!H$2</f>
        <v>0</v>
      </c>
      <c r="I21" s="7" t="n">
        <f aca="false">T1_cost_vectors!I22*T1_cost_vectors!I$2</f>
        <v>0</v>
      </c>
      <c r="J21" s="7" t="n">
        <f aca="false">T1_cost_vectors!J22*T1_cost_vectors!J$2</f>
        <v>0</v>
      </c>
      <c r="K21" s="7" t="n">
        <f aca="false">T1_cost_vectors!K22*T1_cost_vectors!K$2</f>
        <v>0</v>
      </c>
      <c r="L21" s="18" t="n">
        <f aca="false">SUM(B21:K21)</f>
        <v>0</v>
      </c>
    </row>
    <row r="22" customFormat="false" ht="15" hidden="false" customHeight="false" outlineLevel="0" collapsed="false">
      <c r="A22" s="4" t="s">
        <v>81</v>
      </c>
      <c r="B22" s="7" t="n">
        <f aca="false">T1_cost_vectors!B23*T1_cost_vectors!B$2</f>
        <v>0</v>
      </c>
      <c r="C22" s="7" t="n">
        <f aca="false">T1_cost_vectors!C23*T1_cost_vectors!C$2</f>
        <v>0</v>
      </c>
      <c r="D22" s="7" t="n">
        <f aca="false">T1_cost_vectors!D23*T1_cost_vectors!D$2</f>
        <v>0</v>
      </c>
      <c r="E22" s="7" t="n">
        <f aca="false">T1_cost_vectors!E23*T1_cost_vectors!E$2</f>
        <v>0</v>
      </c>
      <c r="F22" s="7" t="n">
        <f aca="false">T1_cost_vectors!F23*T1_cost_vectors!F$2</f>
        <v>0</v>
      </c>
      <c r="G22" s="7" t="n">
        <f aca="false">T1_cost_vectors!G23*T1_cost_vectors!G$2</f>
        <v>0</v>
      </c>
      <c r="H22" s="7" t="n">
        <f aca="false">T1_cost_vectors!H23*T1_cost_vectors!H$2</f>
        <v>0</v>
      </c>
      <c r="I22" s="7" t="n">
        <f aca="false">T1_cost_vectors!I23*T1_cost_vectors!I$2</f>
        <v>0</v>
      </c>
      <c r="J22" s="7" t="n">
        <f aca="false">T1_cost_vectors!J23*T1_cost_vectors!J$2</f>
        <v>0</v>
      </c>
      <c r="K22" s="7" t="n">
        <f aca="false">T1_cost_vectors!K23*T1_cost_vectors!K$2</f>
        <v>0</v>
      </c>
      <c r="L22" s="18" t="n">
        <f aca="false">SUM(B22:K22)</f>
        <v>0</v>
      </c>
    </row>
    <row r="23" customFormat="false" ht="15" hidden="false" customHeight="false" outlineLevel="0" collapsed="false">
      <c r="A23" s="4" t="s">
        <v>82</v>
      </c>
      <c r="B23" s="7" t="n">
        <f aca="false">T1_cost_vectors!B24*T1_cost_vectors!B$2</f>
        <v>0</v>
      </c>
      <c r="C23" s="7" t="n">
        <f aca="false">T1_cost_vectors!C24*T1_cost_vectors!C$2</f>
        <v>0</v>
      </c>
      <c r="D23" s="7" t="n">
        <f aca="false">T1_cost_vectors!D24*T1_cost_vectors!D$2</f>
        <v>0</v>
      </c>
      <c r="E23" s="7" t="n">
        <f aca="false">T1_cost_vectors!E24*T1_cost_vectors!E$2</f>
        <v>0</v>
      </c>
      <c r="F23" s="7" t="n">
        <f aca="false">T1_cost_vectors!F24*T1_cost_vectors!F$2</f>
        <v>0</v>
      </c>
      <c r="G23" s="7" t="n">
        <f aca="false">T1_cost_vectors!G24*T1_cost_vectors!G$2</f>
        <v>0</v>
      </c>
      <c r="H23" s="7" t="n">
        <f aca="false">T1_cost_vectors!H24*T1_cost_vectors!H$2</f>
        <v>0</v>
      </c>
      <c r="I23" s="7" t="n">
        <f aca="false">T1_cost_vectors!I24*T1_cost_vectors!I$2</f>
        <v>0</v>
      </c>
      <c r="J23" s="7" t="n">
        <f aca="false">T1_cost_vectors!J24*T1_cost_vectors!J$2</f>
        <v>0</v>
      </c>
      <c r="K23" s="7" t="n">
        <f aca="false">T1_cost_vectors!K24*T1_cost_vectors!K$2</f>
        <v>0</v>
      </c>
      <c r="L23" s="18" t="n">
        <f aca="false">SUM(B23:K23)</f>
        <v>0</v>
      </c>
    </row>
    <row r="24" customFormat="false" ht="15" hidden="false" customHeight="false" outlineLevel="0" collapsed="false">
      <c r="A24" s="4" t="s">
        <v>83</v>
      </c>
      <c r="B24" s="7" t="n">
        <f aca="false">T1_cost_vectors!B25*T1_cost_vectors!B$2</f>
        <v>0</v>
      </c>
      <c r="C24" s="7" t="n">
        <f aca="false">T1_cost_vectors!C25*T1_cost_vectors!C$2</f>
        <v>0</v>
      </c>
      <c r="D24" s="7" t="n">
        <f aca="false">T1_cost_vectors!D25*T1_cost_vectors!D$2</f>
        <v>0</v>
      </c>
      <c r="E24" s="7" t="n">
        <f aca="false">T1_cost_vectors!E25*T1_cost_vectors!E$2</f>
        <v>0</v>
      </c>
      <c r="F24" s="7" t="n">
        <f aca="false">T1_cost_vectors!F25*T1_cost_vectors!F$2</f>
        <v>0</v>
      </c>
      <c r="G24" s="7" t="n">
        <f aca="false">T1_cost_vectors!G25*T1_cost_vectors!G$2</f>
        <v>0</v>
      </c>
      <c r="H24" s="7" t="n">
        <f aca="false">T1_cost_vectors!H25*T1_cost_vectors!H$2</f>
        <v>0</v>
      </c>
      <c r="I24" s="7" t="n">
        <f aca="false">T1_cost_vectors!I25*T1_cost_vectors!I$2</f>
        <v>0</v>
      </c>
      <c r="J24" s="7" t="n">
        <f aca="false">T1_cost_vectors!J25*T1_cost_vectors!J$2</f>
        <v>0</v>
      </c>
      <c r="K24" s="7" t="n">
        <f aca="false">T1_cost_vectors!K25*T1_cost_vectors!K$2</f>
        <v>0</v>
      </c>
      <c r="L24" s="18" t="n">
        <f aca="false">SUM(B24:K24)</f>
        <v>0</v>
      </c>
    </row>
    <row r="25" customFormat="false" ht="15" hidden="false" customHeight="false" outlineLevel="0" collapsed="false">
      <c r="A25" s="4" t="s">
        <v>84</v>
      </c>
      <c r="B25" s="7" t="n">
        <f aca="false">T1_cost_vectors!B26*T1_cost_vectors!B$2</f>
        <v>0</v>
      </c>
      <c r="C25" s="7" t="n">
        <f aca="false">T1_cost_vectors!C26*T1_cost_vectors!C$2</f>
        <v>0</v>
      </c>
      <c r="D25" s="7" t="n">
        <f aca="false">T1_cost_vectors!D26*T1_cost_vectors!D$2</f>
        <v>0</v>
      </c>
      <c r="E25" s="7" t="n">
        <f aca="false">T1_cost_vectors!E26*T1_cost_vectors!E$2</f>
        <v>0</v>
      </c>
      <c r="F25" s="7" t="n">
        <f aca="false">T1_cost_vectors!F26*T1_cost_vectors!F$2</f>
        <v>0</v>
      </c>
      <c r="G25" s="7" t="n">
        <f aca="false">T1_cost_vectors!G26*T1_cost_vectors!G$2</f>
        <v>0</v>
      </c>
      <c r="H25" s="7" t="n">
        <f aca="false">T1_cost_vectors!H26*T1_cost_vectors!H$2</f>
        <v>0</v>
      </c>
      <c r="I25" s="7" t="n">
        <f aca="false">T1_cost_vectors!I26*T1_cost_vectors!I$2</f>
        <v>0</v>
      </c>
      <c r="J25" s="7" t="n">
        <f aca="false">T1_cost_vectors!J26*T1_cost_vectors!J$2</f>
        <v>0</v>
      </c>
      <c r="K25" s="7" t="n">
        <f aca="false">T1_cost_vectors!K26*T1_cost_vectors!K$2</f>
        <v>0</v>
      </c>
      <c r="L25" s="18" t="n">
        <f aca="false">SUM(B25:K25)</f>
        <v>0</v>
      </c>
    </row>
    <row r="26" customFormat="false" ht="15" hidden="false" customHeight="false" outlineLevel="0" collapsed="false">
      <c r="A26" s="4" t="s">
        <v>85</v>
      </c>
      <c r="B26" s="7" t="n">
        <f aca="false">T1_cost_vectors!B27*T1_cost_vectors!B$2</f>
        <v>0</v>
      </c>
      <c r="C26" s="7" t="n">
        <f aca="false">T1_cost_vectors!C27*T1_cost_vectors!C$2</f>
        <v>0</v>
      </c>
      <c r="D26" s="7" t="n">
        <f aca="false">T1_cost_vectors!D27*T1_cost_vectors!D$2</f>
        <v>0</v>
      </c>
      <c r="E26" s="7" t="n">
        <f aca="false">T1_cost_vectors!E27*T1_cost_vectors!E$2</f>
        <v>0</v>
      </c>
      <c r="F26" s="7" t="n">
        <f aca="false">T1_cost_vectors!F27*T1_cost_vectors!F$2</f>
        <v>0</v>
      </c>
      <c r="G26" s="7" t="n">
        <f aca="false">T1_cost_vectors!G27*T1_cost_vectors!G$2</f>
        <v>0</v>
      </c>
      <c r="H26" s="7" t="n">
        <f aca="false">T1_cost_vectors!H27*T1_cost_vectors!H$2</f>
        <v>0</v>
      </c>
      <c r="I26" s="7" t="n">
        <f aca="false">T1_cost_vectors!I27*T1_cost_vectors!I$2</f>
        <v>0</v>
      </c>
      <c r="J26" s="7" t="n">
        <f aca="false">T1_cost_vectors!J27*T1_cost_vectors!J$2</f>
        <v>0</v>
      </c>
      <c r="K26" s="7" t="n">
        <f aca="false">T1_cost_vectors!K27*T1_cost_vectors!K$2</f>
        <v>0</v>
      </c>
      <c r="L26" s="18" t="n">
        <f aca="false">SUM(B26:K26)</f>
        <v>0</v>
      </c>
    </row>
    <row r="27" customFormat="false" ht="15" hidden="false" customHeight="false" outlineLevel="0" collapsed="false">
      <c r="A27" s="4" t="s">
        <v>86</v>
      </c>
      <c r="B27" s="7" t="n">
        <f aca="false">T1_cost_vectors!B28*T1_cost_vectors!B$2</f>
        <v>0</v>
      </c>
      <c r="C27" s="7" t="n">
        <f aca="false">T1_cost_vectors!C28*T1_cost_vectors!C$2</f>
        <v>0</v>
      </c>
      <c r="D27" s="7" t="n">
        <f aca="false">T1_cost_vectors!D28*T1_cost_vectors!D$2</f>
        <v>0</v>
      </c>
      <c r="E27" s="7" t="n">
        <f aca="false">T1_cost_vectors!E28*T1_cost_vectors!E$2</f>
        <v>0</v>
      </c>
      <c r="F27" s="7" t="n">
        <f aca="false">T1_cost_vectors!F28*T1_cost_vectors!F$2</f>
        <v>0</v>
      </c>
      <c r="G27" s="7" t="n">
        <f aca="false">T1_cost_vectors!G28*T1_cost_vectors!G$2</f>
        <v>0</v>
      </c>
      <c r="H27" s="7" t="n">
        <f aca="false">T1_cost_vectors!H28*T1_cost_vectors!H$2</f>
        <v>0</v>
      </c>
      <c r="I27" s="7" t="n">
        <f aca="false">T1_cost_vectors!I28*T1_cost_vectors!I$2</f>
        <v>0</v>
      </c>
      <c r="J27" s="7" t="n">
        <f aca="false">T1_cost_vectors!J28*T1_cost_vectors!J$2</f>
        <v>0</v>
      </c>
      <c r="K27" s="7" t="n">
        <f aca="false">T1_cost_vectors!K28*T1_cost_vectors!K$2</f>
        <v>0</v>
      </c>
      <c r="L27" s="18" t="n">
        <f aca="false">SUM(B27:K27)</f>
        <v>0</v>
      </c>
    </row>
    <row r="28" customFormat="false" ht="15" hidden="false" customHeight="false" outlineLevel="0" collapsed="false">
      <c r="A28" s="4" t="s">
        <v>87</v>
      </c>
      <c r="B28" s="7" t="n">
        <f aca="false">T1_cost_vectors!B29*T1_cost_vectors!B$2</f>
        <v>0</v>
      </c>
      <c r="C28" s="7" t="n">
        <f aca="false">T1_cost_vectors!C29*T1_cost_vectors!C$2</f>
        <v>0</v>
      </c>
      <c r="D28" s="7" t="n">
        <f aca="false">T1_cost_vectors!D29*T1_cost_vectors!D$2</f>
        <v>0</v>
      </c>
      <c r="E28" s="7" t="n">
        <f aca="false">T1_cost_vectors!E29*T1_cost_vectors!E$2</f>
        <v>0</v>
      </c>
      <c r="F28" s="7" t="n">
        <f aca="false">T1_cost_vectors!F29*T1_cost_vectors!F$2</f>
        <v>0</v>
      </c>
      <c r="G28" s="7" t="n">
        <f aca="false">T1_cost_vectors!G29*T1_cost_vectors!G$2</f>
        <v>0</v>
      </c>
      <c r="H28" s="7" t="n">
        <f aca="false">T1_cost_vectors!H29*T1_cost_vectors!H$2</f>
        <v>0</v>
      </c>
      <c r="I28" s="7" t="n">
        <f aca="false">T1_cost_vectors!I29*T1_cost_vectors!I$2</f>
        <v>0</v>
      </c>
      <c r="J28" s="7" t="n">
        <f aca="false">T1_cost_vectors!J29*T1_cost_vectors!J$2</f>
        <v>0</v>
      </c>
      <c r="K28" s="7" t="n">
        <f aca="false">T1_cost_vectors!K29*T1_cost_vectors!K$2</f>
        <v>0</v>
      </c>
      <c r="L28" s="18" t="n">
        <f aca="false">SUM(B28:K28)</f>
        <v>0</v>
      </c>
    </row>
    <row r="29" customFormat="false" ht="15" hidden="false" customHeight="false" outlineLevel="0" collapsed="false">
      <c r="A29" s="4" t="s">
        <v>88</v>
      </c>
      <c r="B29" s="7" t="n">
        <f aca="false">T1_cost_vectors!B30*T1_cost_vectors!B$2</f>
        <v>0</v>
      </c>
      <c r="C29" s="7" t="n">
        <f aca="false">T1_cost_vectors!C30*T1_cost_vectors!C$2</f>
        <v>0</v>
      </c>
      <c r="D29" s="7" t="n">
        <f aca="false">T1_cost_vectors!D30*T1_cost_vectors!D$2</f>
        <v>0</v>
      </c>
      <c r="E29" s="7" t="n">
        <f aca="false">T1_cost_vectors!E30*T1_cost_vectors!E$2</f>
        <v>0</v>
      </c>
      <c r="F29" s="7" t="n">
        <f aca="false">T1_cost_vectors!F30*T1_cost_vectors!F$2</f>
        <v>0</v>
      </c>
      <c r="G29" s="7" t="n">
        <f aca="false">T1_cost_vectors!G30*T1_cost_vectors!G$2</f>
        <v>0</v>
      </c>
      <c r="H29" s="7" t="n">
        <f aca="false">T1_cost_vectors!H30*T1_cost_vectors!H$2</f>
        <v>5.560536</v>
      </c>
      <c r="I29" s="7" t="n">
        <f aca="false">T1_cost_vectors!I30*T1_cost_vectors!I$2</f>
        <v>0</v>
      </c>
      <c r="J29" s="7" t="n">
        <f aca="false">T1_cost_vectors!J30*T1_cost_vectors!J$2</f>
        <v>0</v>
      </c>
      <c r="K29" s="7" t="n">
        <f aca="false">T1_cost_vectors!K30*T1_cost_vectors!K$2</f>
        <v>0</v>
      </c>
      <c r="L29" s="18" t="n">
        <f aca="false">SUM(B29:K29)</f>
        <v>5.560536</v>
      </c>
    </row>
    <row r="30" customFormat="false" ht="15" hidden="false" customHeight="false" outlineLevel="0" collapsed="false">
      <c r="A30" s="4" t="s">
        <v>89</v>
      </c>
      <c r="B30" s="7" t="n">
        <f aca="false">T1_cost_vectors!B31*T1_cost_vectors!B$2</f>
        <v>14.75066756</v>
      </c>
      <c r="C30" s="7" t="n">
        <f aca="false">T1_cost_vectors!C31*T1_cost_vectors!C$2</f>
        <v>5.08415</v>
      </c>
      <c r="D30" s="7" t="n">
        <f aca="false">T1_cost_vectors!D31*T1_cost_vectors!D$2</f>
        <v>0.623791</v>
      </c>
      <c r="E30" s="7" t="n">
        <f aca="false">T1_cost_vectors!E31*T1_cost_vectors!E$2</f>
        <v>0.85337</v>
      </c>
      <c r="F30" s="7" t="n">
        <f aca="false">T1_cost_vectors!F31*T1_cost_vectors!F$2</f>
        <v>10.71062</v>
      </c>
      <c r="G30" s="7" t="n">
        <f aca="false">T1_cost_vectors!G31*T1_cost_vectors!G$2</f>
        <v>2.31572</v>
      </c>
      <c r="H30" s="7" t="n">
        <f aca="false">T1_cost_vectors!H31*T1_cost_vectors!H$2</f>
        <v>25.48579</v>
      </c>
      <c r="I30" s="7" t="n">
        <f aca="false">T1_cost_vectors!I31*T1_cost_vectors!I$2</f>
        <v>0</v>
      </c>
      <c r="J30" s="7" t="n">
        <f aca="false">T1_cost_vectors!J31*T1_cost_vectors!J$2</f>
        <v>0</v>
      </c>
      <c r="K30" s="7" t="n">
        <f aca="false">T1_cost_vectors!K31*T1_cost_vectors!K$2</f>
        <v>5.165192</v>
      </c>
      <c r="L30" s="18" t="n">
        <f aca="false">SUM(B30:K30)</f>
        <v>64.98930056</v>
      </c>
    </row>
    <row r="31" customFormat="false" ht="15" hidden="false" customHeight="false" outlineLevel="0" collapsed="false">
      <c r="A31" s="4" t="s">
        <v>90</v>
      </c>
      <c r="B31" s="7" t="n">
        <f aca="false">T1_cost_vectors!B32*T1_cost_vectors!B$2</f>
        <v>0</v>
      </c>
      <c r="C31" s="7" t="n">
        <f aca="false">T1_cost_vectors!C32*T1_cost_vectors!C$2</f>
        <v>0</v>
      </c>
      <c r="D31" s="7" t="n">
        <f aca="false">T1_cost_vectors!D32*T1_cost_vectors!D$2</f>
        <v>0.89113</v>
      </c>
      <c r="E31" s="7" t="n">
        <f aca="false">T1_cost_vectors!E32*T1_cost_vectors!E$2</f>
        <v>0</v>
      </c>
      <c r="F31" s="7" t="n">
        <f aca="false">T1_cost_vectors!F32*T1_cost_vectors!F$2</f>
        <v>0</v>
      </c>
      <c r="G31" s="7" t="n">
        <f aca="false">T1_cost_vectors!G32*T1_cost_vectors!G$2</f>
        <v>0</v>
      </c>
      <c r="H31" s="7" t="n">
        <f aca="false">T1_cost_vectors!H32*T1_cost_vectors!H$2</f>
        <v>0</v>
      </c>
      <c r="I31" s="7" t="n">
        <f aca="false">T1_cost_vectors!I32*T1_cost_vectors!I$2</f>
        <v>0</v>
      </c>
      <c r="J31" s="7" t="n">
        <f aca="false">T1_cost_vectors!J32*T1_cost_vectors!J$2</f>
        <v>0</v>
      </c>
      <c r="K31" s="7" t="n">
        <f aca="false">T1_cost_vectors!K32*T1_cost_vectors!K$2</f>
        <v>0</v>
      </c>
      <c r="L31" s="18" t="n">
        <f aca="false">SUM(B31:K31)</f>
        <v>0.89113</v>
      </c>
    </row>
    <row r="32" customFormat="false" ht="15" hidden="false" customHeight="false" outlineLevel="0" collapsed="false">
      <c r="A32" s="4" t="s">
        <v>91</v>
      </c>
      <c r="B32" s="7" t="n">
        <f aca="false">T1_cost_vectors!B33*T1_cost_vectors!B$2</f>
        <v>0</v>
      </c>
      <c r="C32" s="7" t="n">
        <f aca="false">T1_cost_vectors!C33*T1_cost_vectors!C$2</f>
        <v>0</v>
      </c>
      <c r="D32" s="7" t="n">
        <f aca="false">T1_cost_vectors!D33*T1_cost_vectors!D$2</f>
        <v>0</v>
      </c>
      <c r="E32" s="7" t="n">
        <f aca="false">T1_cost_vectors!E33*T1_cost_vectors!E$2</f>
        <v>0</v>
      </c>
      <c r="F32" s="7" t="n">
        <f aca="false">T1_cost_vectors!F33*T1_cost_vectors!F$2</f>
        <v>0</v>
      </c>
      <c r="G32" s="7" t="n">
        <f aca="false">T1_cost_vectors!G33*T1_cost_vectors!G$2</f>
        <v>0</v>
      </c>
      <c r="H32" s="7" t="n">
        <f aca="false">T1_cost_vectors!H33*T1_cost_vectors!H$2</f>
        <v>0</v>
      </c>
      <c r="I32" s="7" t="n">
        <f aca="false">T1_cost_vectors!I33*T1_cost_vectors!I$2</f>
        <v>0</v>
      </c>
      <c r="J32" s="7" t="n">
        <f aca="false">T1_cost_vectors!J33*T1_cost_vectors!J$2</f>
        <v>0</v>
      </c>
      <c r="K32" s="7" t="n">
        <f aca="false">T1_cost_vectors!K33*T1_cost_vectors!K$2</f>
        <v>4.519543</v>
      </c>
      <c r="L32" s="18" t="n">
        <f aca="false">SUM(B32:K32)</f>
        <v>4.519543</v>
      </c>
    </row>
    <row r="33" customFormat="false" ht="15" hidden="false" customHeight="false" outlineLevel="0" collapsed="false">
      <c r="A33" s="4" t="s">
        <v>92</v>
      </c>
      <c r="B33" s="7" t="n">
        <f aca="false">T1_cost_vectors!B34*T1_cost_vectors!B$2</f>
        <v>0</v>
      </c>
      <c r="C33" s="7" t="n">
        <f aca="false">T1_cost_vectors!C34*T1_cost_vectors!C$2</f>
        <v>0</v>
      </c>
      <c r="D33" s="7" t="n">
        <f aca="false">T1_cost_vectors!D34*T1_cost_vectors!D$2</f>
        <v>0</v>
      </c>
      <c r="E33" s="7" t="n">
        <f aca="false">T1_cost_vectors!E34*T1_cost_vectors!E$2</f>
        <v>0</v>
      </c>
      <c r="F33" s="7" t="n">
        <f aca="false">T1_cost_vectors!F34*T1_cost_vectors!F$2</f>
        <v>0</v>
      </c>
      <c r="G33" s="7" t="n">
        <f aca="false">T1_cost_vectors!G34*T1_cost_vectors!G$2</f>
        <v>0</v>
      </c>
      <c r="H33" s="7" t="n">
        <f aca="false">T1_cost_vectors!H34*T1_cost_vectors!H$2</f>
        <v>0</v>
      </c>
      <c r="I33" s="7" t="n">
        <f aca="false">T1_cost_vectors!I34*T1_cost_vectors!I$2</f>
        <v>0</v>
      </c>
      <c r="J33" s="7" t="n">
        <f aca="false">T1_cost_vectors!J34*T1_cost_vectors!J$2</f>
        <v>0</v>
      </c>
      <c r="K33" s="7" t="n">
        <f aca="false">T1_cost_vectors!K34*T1_cost_vectors!K$2</f>
        <v>0</v>
      </c>
      <c r="L33" s="18" t="n">
        <f aca="false">SUM(B33:K33)</f>
        <v>0</v>
      </c>
    </row>
    <row r="34" customFormat="false" ht="15" hidden="false" customHeight="false" outlineLevel="0" collapsed="false">
      <c r="A34" s="4" t="s">
        <v>93</v>
      </c>
      <c r="B34" s="7" t="n">
        <f aca="false">T1_cost_vectors!B35*T1_cost_vectors!B$2</f>
        <v>0</v>
      </c>
      <c r="C34" s="7" t="n">
        <f aca="false">T1_cost_vectors!C35*T1_cost_vectors!C$2</f>
        <v>0</v>
      </c>
      <c r="D34" s="7" t="n">
        <f aca="false">T1_cost_vectors!D35*T1_cost_vectors!D$2</f>
        <v>0</v>
      </c>
      <c r="E34" s="7" t="n">
        <f aca="false">T1_cost_vectors!E35*T1_cost_vectors!E$2</f>
        <v>0</v>
      </c>
      <c r="F34" s="7" t="n">
        <f aca="false">T1_cost_vectors!F35*T1_cost_vectors!F$2</f>
        <v>0</v>
      </c>
      <c r="G34" s="7" t="n">
        <f aca="false">T1_cost_vectors!G35*T1_cost_vectors!G$2</f>
        <v>0</v>
      </c>
      <c r="H34" s="7" t="n">
        <f aca="false">T1_cost_vectors!H35*T1_cost_vectors!H$2</f>
        <v>0</v>
      </c>
      <c r="I34" s="7" t="n">
        <f aca="false">T1_cost_vectors!I35*T1_cost_vectors!I$2</f>
        <v>0</v>
      </c>
      <c r="J34" s="7" t="n">
        <f aca="false">T1_cost_vectors!J35*T1_cost_vectors!J$2</f>
        <v>0</v>
      </c>
      <c r="K34" s="7" t="n">
        <f aca="false">T1_cost_vectors!K35*T1_cost_vectors!K$2</f>
        <v>0</v>
      </c>
      <c r="L34" s="18" t="n">
        <f aca="false">SUM(B34:K34)</f>
        <v>0</v>
      </c>
    </row>
    <row r="35" customFormat="false" ht="15" hidden="false" customHeight="false" outlineLevel="0" collapsed="false">
      <c r="A35" s="4" t="s">
        <v>94</v>
      </c>
      <c r="B35" s="7" t="n">
        <f aca="false">T1_cost_vectors!B36*T1_cost_vectors!B$2</f>
        <v>0</v>
      </c>
      <c r="C35" s="7" t="n">
        <f aca="false">T1_cost_vectors!C36*T1_cost_vectors!C$2</f>
        <v>0</v>
      </c>
      <c r="D35" s="7" t="n">
        <f aca="false">T1_cost_vectors!D36*T1_cost_vectors!D$2</f>
        <v>0</v>
      </c>
      <c r="E35" s="7" t="n">
        <f aca="false">T1_cost_vectors!E36*T1_cost_vectors!E$2</f>
        <v>0</v>
      </c>
      <c r="F35" s="7" t="n">
        <f aca="false">T1_cost_vectors!F36*T1_cost_vectors!F$2</f>
        <v>0</v>
      </c>
      <c r="G35" s="7" t="n">
        <f aca="false">T1_cost_vectors!G36*T1_cost_vectors!G$2</f>
        <v>0</v>
      </c>
      <c r="H35" s="7" t="n">
        <f aca="false">T1_cost_vectors!H36*T1_cost_vectors!H$2</f>
        <v>0</v>
      </c>
      <c r="I35" s="7" t="n">
        <f aca="false">T1_cost_vectors!I36*T1_cost_vectors!I$2</f>
        <v>0</v>
      </c>
      <c r="J35" s="7" t="n">
        <f aca="false">T1_cost_vectors!J36*T1_cost_vectors!J$2</f>
        <v>0</v>
      </c>
      <c r="K35" s="7" t="n">
        <f aca="false">T1_cost_vectors!K36*T1_cost_vectors!K$2</f>
        <v>0</v>
      </c>
      <c r="L35" s="18" t="n">
        <f aca="false">SUM(B35:K35)</f>
        <v>0</v>
      </c>
    </row>
    <row r="36" customFormat="false" ht="15" hidden="false" customHeight="false" outlineLevel="0" collapsed="false">
      <c r="A36" s="4" t="s">
        <v>95</v>
      </c>
      <c r="B36" s="7" t="n">
        <f aca="false">T1_cost_vectors!B37*T1_cost_vectors!B$2</f>
        <v>0</v>
      </c>
      <c r="C36" s="7" t="n">
        <f aca="false">T1_cost_vectors!C37*T1_cost_vectors!C$2</f>
        <v>0</v>
      </c>
      <c r="D36" s="7" t="n">
        <f aca="false">T1_cost_vectors!D37*T1_cost_vectors!D$2</f>
        <v>0</v>
      </c>
      <c r="E36" s="7" t="n">
        <f aca="false">T1_cost_vectors!E37*T1_cost_vectors!E$2</f>
        <v>0</v>
      </c>
      <c r="F36" s="7" t="n">
        <f aca="false">T1_cost_vectors!F37*T1_cost_vectors!F$2</f>
        <v>0</v>
      </c>
      <c r="G36" s="7" t="n">
        <f aca="false">T1_cost_vectors!G37*T1_cost_vectors!G$2</f>
        <v>0</v>
      </c>
      <c r="H36" s="7" t="n">
        <f aca="false">T1_cost_vectors!H37*T1_cost_vectors!H$2</f>
        <v>0</v>
      </c>
      <c r="I36" s="7" t="n">
        <f aca="false">T1_cost_vectors!I37*T1_cost_vectors!I$2</f>
        <v>0</v>
      </c>
      <c r="J36" s="7" t="n">
        <f aca="false">T1_cost_vectors!J37*T1_cost_vectors!J$2</f>
        <v>0</v>
      </c>
      <c r="K36" s="7" t="n">
        <f aca="false">T1_cost_vectors!K37*T1_cost_vectors!K$2</f>
        <v>0</v>
      </c>
      <c r="L36" s="18" t="n">
        <f aca="false">SUM(B36:K36)</f>
        <v>0</v>
      </c>
    </row>
    <row r="37" customFormat="false" ht="15" hidden="false" customHeight="false" outlineLevel="0" collapsed="false">
      <c r="A37" s="4" t="s">
        <v>96</v>
      </c>
      <c r="B37" s="7" t="n">
        <f aca="false">T1_cost_vectors!B38*T1_cost_vectors!B$2</f>
        <v>3.48461596</v>
      </c>
      <c r="C37" s="7" t="n">
        <f aca="false">T1_cost_vectors!C38*T1_cost_vectors!C$2</f>
        <v>1.423562</v>
      </c>
      <c r="D37" s="7" t="n">
        <f aca="false">T1_cost_vectors!D38*T1_cost_vectors!D$2</f>
        <v>0.445565</v>
      </c>
      <c r="E37" s="7" t="n">
        <f aca="false">T1_cost_vectors!E38*T1_cost_vectors!E$2</f>
        <v>0.426685</v>
      </c>
      <c r="F37" s="7" t="n">
        <f aca="false">T1_cost_vectors!F38*T1_cost_vectors!F$2</f>
        <v>5.35531</v>
      </c>
      <c r="G37" s="7" t="n">
        <f aca="false">T1_cost_vectors!G38*T1_cost_vectors!G$2</f>
        <v>0.463144</v>
      </c>
      <c r="H37" s="7" t="n">
        <f aca="false">T1_cost_vectors!H38*T1_cost_vectors!H$2</f>
        <v>2.780268</v>
      </c>
      <c r="I37" s="7" t="n">
        <f aca="false">T1_cost_vectors!I38*T1_cost_vectors!I$2</f>
        <v>0</v>
      </c>
      <c r="J37" s="7" t="n">
        <f aca="false">T1_cost_vectors!J38*T1_cost_vectors!J$2</f>
        <v>0</v>
      </c>
      <c r="K37" s="7" t="n">
        <f aca="false">T1_cost_vectors!K38*T1_cost_vectors!K$2</f>
        <v>9.684735</v>
      </c>
      <c r="L37" s="18" t="n">
        <f aca="false">SUM(B37:K37)</f>
        <v>24.06388496</v>
      </c>
    </row>
    <row r="38" customFormat="false" ht="15" hidden="false" customHeight="false" outlineLevel="0" collapsed="false">
      <c r="A38" s="4" t="s">
        <v>97</v>
      </c>
      <c r="B38" s="7" t="n">
        <f aca="false">T1_cost_vectors!B39*T1_cost_vectors!B$2</f>
        <v>0</v>
      </c>
      <c r="C38" s="7" t="n">
        <f aca="false">T1_cost_vectors!C39*T1_cost_vectors!C$2</f>
        <v>0</v>
      </c>
      <c r="D38" s="7" t="n">
        <f aca="false">T1_cost_vectors!D39*T1_cost_vectors!D$2</f>
        <v>0</v>
      </c>
      <c r="E38" s="7" t="n">
        <f aca="false">T1_cost_vectors!E39*T1_cost_vectors!E$2</f>
        <v>0</v>
      </c>
      <c r="F38" s="7" t="n">
        <f aca="false">T1_cost_vectors!F39*T1_cost_vectors!F$2</f>
        <v>0</v>
      </c>
      <c r="G38" s="7" t="n">
        <f aca="false">T1_cost_vectors!G39*T1_cost_vectors!G$2</f>
        <v>0</v>
      </c>
      <c r="H38" s="7" t="n">
        <f aca="false">T1_cost_vectors!H39*T1_cost_vectors!H$2</f>
        <v>0</v>
      </c>
      <c r="I38" s="7" t="n">
        <f aca="false">T1_cost_vectors!I39*T1_cost_vectors!I$2</f>
        <v>0</v>
      </c>
      <c r="J38" s="7" t="n">
        <f aca="false">T1_cost_vectors!J39*T1_cost_vectors!J$2</f>
        <v>0</v>
      </c>
      <c r="K38" s="7" t="n">
        <f aca="false">T1_cost_vectors!K39*T1_cost_vectors!K$2</f>
        <v>6.45649</v>
      </c>
      <c r="L38" s="18" t="n">
        <f aca="false">SUM(B38:K38)</f>
        <v>6.45649</v>
      </c>
    </row>
    <row r="39" customFormat="false" ht="15" hidden="false" customHeight="false" outlineLevel="0" collapsed="false">
      <c r="A39" s="4" t="s">
        <v>98</v>
      </c>
      <c r="B39" s="7" t="n">
        <f aca="false">T1_cost_vectors!B40*T1_cost_vectors!B$2</f>
        <v>0</v>
      </c>
      <c r="C39" s="7" t="n">
        <f aca="false">T1_cost_vectors!C40*T1_cost_vectors!C$2</f>
        <v>0</v>
      </c>
      <c r="D39" s="7" t="n">
        <f aca="false">T1_cost_vectors!D40*T1_cost_vectors!D$2</f>
        <v>0</v>
      </c>
      <c r="E39" s="7" t="n">
        <f aca="false">T1_cost_vectors!E40*T1_cost_vectors!E$2</f>
        <v>0</v>
      </c>
      <c r="F39" s="7" t="n">
        <f aca="false">T1_cost_vectors!F40*T1_cost_vectors!F$2</f>
        <v>0</v>
      </c>
      <c r="G39" s="7" t="n">
        <f aca="false">T1_cost_vectors!G40*T1_cost_vectors!G$2</f>
        <v>0</v>
      </c>
      <c r="H39" s="7" t="n">
        <f aca="false">T1_cost_vectors!H40*T1_cost_vectors!H$2</f>
        <v>0</v>
      </c>
      <c r="I39" s="7" t="n">
        <f aca="false">T1_cost_vectors!I40*T1_cost_vectors!I$2</f>
        <v>0</v>
      </c>
      <c r="J39" s="7" t="n">
        <f aca="false">T1_cost_vectors!J40*T1_cost_vectors!J$2</f>
        <v>0</v>
      </c>
      <c r="K39" s="7" t="n">
        <f aca="false">T1_cost_vectors!K40*T1_cost_vectors!K$2</f>
        <v>0</v>
      </c>
      <c r="L39" s="18" t="n">
        <f aca="false">SUM(B39:K39)</f>
        <v>0</v>
      </c>
    </row>
    <row r="40" customFormat="false" ht="15" hidden="false" customHeight="false" outlineLevel="0" collapsed="false">
      <c r="A40" s="4" t="s">
        <v>99</v>
      </c>
      <c r="B40" s="7" t="n">
        <f aca="false">T1_cost_vectors!B41*T1_cost_vectors!B$2</f>
        <v>0</v>
      </c>
      <c r="C40" s="7" t="n">
        <f aca="false">T1_cost_vectors!C41*T1_cost_vectors!C$2</f>
        <v>0</v>
      </c>
      <c r="D40" s="7" t="n">
        <f aca="false">T1_cost_vectors!D41*T1_cost_vectors!D$2</f>
        <v>0</v>
      </c>
      <c r="E40" s="7" t="n">
        <f aca="false">T1_cost_vectors!E41*T1_cost_vectors!E$2</f>
        <v>0</v>
      </c>
      <c r="F40" s="7" t="n">
        <f aca="false">T1_cost_vectors!F41*T1_cost_vectors!F$2</f>
        <v>0</v>
      </c>
      <c r="G40" s="7" t="n">
        <f aca="false">T1_cost_vectors!G41*T1_cost_vectors!G$2</f>
        <v>0.57893</v>
      </c>
      <c r="H40" s="7" t="n">
        <f aca="false">T1_cost_vectors!H41*T1_cost_vectors!H$2</f>
        <v>0</v>
      </c>
      <c r="I40" s="7" t="n">
        <f aca="false">T1_cost_vectors!I41*T1_cost_vectors!I$2</f>
        <v>0</v>
      </c>
      <c r="J40" s="7" t="n">
        <f aca="false">T1_cost_vectors!J41*T1_cost_vectors!J$2</f>
        <v>0</v>
      </c>
      <c r="K40" s="7" t="n">
        <f aca="false">T1_cost_vectors!K41*T1_cost_vectors!K$2</f>
        <v>6.45649</v>
      </c>
      <c r="L40" s="18" t="n">
        <f aca="false">SUM(B40:K40)</f>
        <v>7.03542</v>
      </c>
    </row>
    <row r="41" customFormat="false" ht="15" hidden="false" customHeight="false" outlineLevel="0" collapsed="false">
      <c r="A41" s="16" t="s">
        <v>100</v>
      </c>
      <c r="B41" s="7" t="n">
        <f aca="false">T1_cost_vectors!B42*T1_cost_vectors!B$2</f>
        <v>30.05808767</v>
      </c>
      <c r="C41" s="7" t="n">
        <f aca="false">T1_cost_vectors!C42*T1_cost_vectors!C$2</f>
        <v>9.15147</v>
      </c>
      <c r="D41" s="7" t="n">
        <f aca="false">T1_cost_vectors!D42*T1_cost_vectors!D$2</f>
        <v>4.901215</v>
      </c>
      <c r="E41" s="7" t="n">
        <f aca="false">T1_cost_vectors!E42*T1_cost_vectors!E$2</f>
        <v>3.41348</v>
      </c>
      <c r="F41" s="7" t="n">
        <f aca="false">T1_cost_vectors!F42*T1_cost_vectors!F$2</f>
        <v>8.032965</v>
      </c>
      <c r="G41" s="7" t="n">
        <f aca="false">T1_cost_vectors!G42*T1_cost_vectors!G$2</f>
        <v>0.694716</v>
      </c>
      <c r="H41" s="7" t="n">
        <f aca="false">T1_cost_vectors!H42*T1_cost_vectors!H$2</f>
        <v>3.707024</v>
      </c>
      <c r="I41" s="7" t="n">
        <f aca="false">T1_cost_vectors!I42*T1_cost_vectors!I$2</f>
        <v>0</v>
      </c>
      <c r="J41" s="7" t="n">
        <f aca="false">T1_cost_vectors!J42*T1_cost_vectors!J$2</f>
        <v>0</v>
      </c>
      <c r="K41" s="7" t="n">
        <f aca="false">T1_cost_vectors!K42*T1_cost_vectors!K$2</f>
        <v>0</v>
      </c>
      <c r="L41" s="18" t="n">
        <f aca="false">SUM(B41:K41)</f>
        <v>59.95895767</v>
      </c>
    </row>
    <row r="42" customFormat="false" ht="15" hidden="false" customHeight="false" outlineLevel="0" collapsed="false">
      <c r="A42" s="13" t="s">
        <v>58</v>
      </c>
      <c r="B42" s="11" t="n">
        <f aca="false">SUM(B2:B41)</f>
        <v>65.5003</v>
      </c>
      <c r="C42" s="11" t="n">
        <f aca="false">SUM(C2:C41)</f>
        <v>20.3366</v>
      </c>
      <c r="D42" s="11" t="n">
        <f aca="false">SUM(D2:D41)</f>
        <v>8.9113</v>
      </c>
      <c r="E42" s="11" t="n">
        <f aca="false">SUM(E2:E41)</f>
        <v>8.5337</v>
      </c>
      <c r="F42" s="11" t="n">
        <f aca="false">SUM(F2:F41)</f>
        <v>53.5531</v>
      </c>
      <c r="G42" s="11" t="n">
        <f aca="false">SUM(G2:G41)</f>
        <v>5.7893</v>
      </c>
      <c r="H42" s="11" t="n">
        <f aca="false">SUM(H2:H41)</f>
        <v>46.3378</v>
      </c>
      <c r="I42" s="11" t="n">
        <f aca="false">SUM(I2:I41)</f>
        <v>0</v>
      </c>
      <c r="J42" s="11" t="n">
        <f aca="false">SUM(J2:J41)</f>
        <v>0</v>
      </c>
      <c r="K42" s="11" t="n">
        <f aca="false">SUM(K2:K41)</f>
        <v>64.5649</v>
      </c>
      <c r="L42" s="11" t="n">
        <f aca="false">SUM(L2:L41)</f>
        <v>273.527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7"/>
  </cols>
  <sheetData>
    <row r="1" customFormat="false" ht="15" hidden="false" customHeight="false" outlineLevel="0" collapsed="false">
      <c r="A1" s="13" t="s">
        <v>103</v>
      </c>
    </row>
    <row r="2" customFormat="false" ht="74.6" hidden="false" customHeight="false" outlineLevel="0" collapsed="false">
      <c r="A2" s="19" t="s">
        <v>104</v>
      </c>
    </row>
    <row r="3" customFormat="false" ht="85.05" hidden="false" customHeight="false" outlineLevel="0" collapsed="false">
      <c r="A3" s="19" t="s">
        <v>105</v>
      </c>
    </row>
    <row r="4" customFormat="false" ht="105.95" hidden="false" customHeight="false" outlineLevel="0" collapsed="false">
      <c r="A4" s="19" t="s">
        <v>106</v>
      </c>
    </row>
    <row r="5" customFormat="false" ht="85.05" hidden="false" customHeight="false" outlineLevel="0" collapsed="false">
      <c r="A5" s="19" t="s">
        <v>107</v>
      </c>
    </row>
    <row r="6" customFormat="false" ht="85.05" hidden="false" customHeight="false" outlineLevel="0" collapsed="false">
      <c r="A6" s="19" t="s">
        <v>108</v>
      </c>
    </row>
    <row r="7" customFormat="false" ht="85.05" hidden="false" customHeight="false" outlineLevel="0" collapsed="false">
      <c r="A7" s="19" t="s">
        <v>109</v>
      </c>
    </row>
    <row r="8" customFormat="false" ht="74.6" hidden="false" customHeight="false" outlineLevel="0" collapsed="false">
      <c r="A8" s="19" t="s">
        <v>110</v>
      </c>
    </row>
    <row r="9" customFormat="false" ht="85.05" hidden="false" customHeight="false" outlineLevel="0" collapsed="false">
      <c r="A9" s="19" t="s">
        <v>111</v>
      </c>
    </row>
    <row r="11" customFormat="false" ht="15" hidden="false" customHeight="false" outlineLevel="0" collapsed="false">
      <c r="A11" s="10" t="s">
        <v>112</v>
      </c>
      <c r="B11" s="12"/>
      <c r="C11" s="12"/>
      <c r="D11" s="12"/>
      <c r="E11" s="12"/>
      <c r="F11" s="12"/>
      <c r="G11" s="12"/>
      <c r="H11" s="12"/>
    </row>
    <row r="12" customFormat="false" ht="39.55" hidden="false" customHeight="false" outlineLevel="0" collapsed="false">
      <c r="A12" s="3" t="s">
        <v>113</v>
      </c>
      <c r="B12" s="3" t="s">
        <v>114</v>
      </c>
      <c r="C12" s="3" t="s">
        <v>115</v>
      </c>
      <c r="D12" s="3" t="s">
        <v>116</v>
      </c>
      <c r="E12" s="3" t="s">
        <v>117</v>
      </c>
      <c r="F12" s="3" t="s">
        <v>118</v>
      </c>
      <c r="G12" s="3" t="s">
        <v>119</v>
      </c>
      <c r="H12" s="3" t="s">
        <v>120</v>
      </c>
    </row>
    <row r="13" customFormat="false" ht="15" hidden="false" customHeight="false" outlineLevel="0" collapsed="false">
      <c r="A13" s="4" t="n">
        <v>2023</v>
      </c>
      <c r="B13" s="5" t="n">
        <v>1.8034</v>
      </c>
      <c r="C13" s="5" t="n">
        <v>0.3245</v>
      </c>
      <c r="D13" s="5" t="n">
        <v>0.2213</v>
      </c>
      <c r="E13" s="5" t="n">
        <v>0.0004</v>
      </c>
      <c r="F13" s="5" t="n">
        <v>0.0358</v>
      </c>
      <c r="G13" s="5" t="n">
        <v>0.0131</v>
      </c>
      <c r="H13" s="5" t="n">
        <v>0.0008</v>
      </c>
    </row>
    <row r="14" customFormat="false" ht="15" hidden="false" customHeight="false" outlineLevel="0" collapsed="false">
      <c r="A14" s="4" t="n">
        <v>2024</v>
      </c>
      <c r="B14" s="5" t="n">
        <v>1.839</v>
      </c>
      <c r="C14" s="5" t="n">
        <v>0.3309</v>
      </c>
      <c r="D14" s="5" t="n">
        <v>0.2257</v>
      </c>
      <c r="E14" s="5" t="n">
        <v>0.0004</v>
      </c>
      <c r="F14" s="5" t="n">
        <v>0.042</v>
      </c>
      <c r="G14" s="5" t="n">
        <v>0.0133</v>
      </c>
      <c r="H14" s="5" t="n">
        <v>0.0008</v>
      </c>
    </row>
    <row r="15" customFormat="false" ht="15" hidden="false" customHeight="false" outlineLevel="0" collapsed="false">
      <c r="A15" s="4" t="n">
        <v>2025</v>
      </c>
      <c r="B15" s="5" t="n">
        <v>1.8751</v>
      </c>
      <c r="C15" s="5" t="n">
        <v>0.3374</v>
      </c>
      <c r="D15" s="5" t="n">
        <v>0.2303</v>
      </c>
      <c r="E15" s="5" t="n">
        <v>0.0004</v>
      </c>
      <c r="F15" s="5" t="n">
        <v>0.0498</v>
      </c>
      <c r="G15" s="5" t="n">
        <v>0.0136</v>
      </c>
      <c r="H15" s="5" t="n">
        <v>0.0008</v>
      </c>
    </row>
    <row r="16" customFormat="false" ht="15" hidden="false" customHeight="false" outlineLevel="0" collapsed="false">
      <c r="A16" s="4" t="n">
        <v>2026</v>
      </c>
      <c r="B16" s="5" t="n">
        <v>1.9131</v>
      </c>
      <c r="C16" s="5" t="n">
        <v>0.3442</v>
      </c>
      <c r="D16" s="5" t="n">
        <v>0.235</v>
      </c>
      <c r="E16" s="5" t="n">
        <v>0.0004</v>
      </c>
      <c r="F16" s="5" t="n">
        <v>0.0562</v>
      </c>
      <c r="G16" s="5" t="n">
        <v>0.0138</v>
      </c>
      <c r="H16" s="5" t="n">
        <v>0.0008</v>
      </c>
    </row>
    <row r="17" customFormat="false" ht="15" hidden="false" customHeight="false" outlineLevel="0" collapsed="false">
      <c r="A17" s="4" t="n">
        <v>2027</v>
      </c>
      <c r="B17" s="5" t="n">
        <v>1.9521</v>
      </c>
      <c r="C17" s="5" t="n">
        <v>0.3513</v>
      </c>
      <c r="D17" s="5" t="n">
        <v>0.2399</v>
      </c>
      <c r="E17" s="5" t="n">
        <v>0.0004</v>
      </c>
      <c r="F17" s="5" t="n">
        <v>0.0562</v>
      </c>
      <c r="G17" s="5" t="n">
        <v>0.0141</v>
      </c>
      <c r="H17" s="5" t="n">
        <v>0.0008</v>
      </c>
    </row>
    <row r="18" customFormat="false" ht="15" hidden="false" customHeight="false" outlineLevel="0" collapsed="false">
      <c r="A18" s="4" t="n">
        <v>2028</v>
      </c>
      <c r="B18" s="5" t="n">
        <v>1.9919</v>
      </c>
      <c r="C18" s="5" t="n">
        <v>0.3584</v>
      </c>
      <c r="D18" s="5" t="n">
        <v>0.2448</v>
      </c>
      <c r="E18" s="5" t="n">
        <v>0.0004</v>
      </c>
      <c r="F18" s="5" t="n">
        <v>0.0563</v>
      </c>
      <c r="G18" s="5" t="n">
        <v>0.0144</v>
      </c>
      <c r="H18" s="5" t="n">
        <v>0.0009</v>
      </c>
    </row>
    <row r="19" customFormat="false" ht="15" hidden="false" customHeight="false" outlineLevel="0" collapsed="false">
      <c r="A19" s="4" t="n">
        <v>2029</v>
      </c>
      <c r="B19" s="5" t="n">
        <v>2.0329</v>
      </c>
      <c r="C19" s="5" t="n">
        <v>0.3658</v>
      </c>
      <c r="D19" s="5" t="n">
        <v>0.25</v>
      </c>
      <c r="E19" s="5" t="n">
        <v>0.0004</v>
      </c>
      <c r="F19" s="5" t="n">
        <v>0.0563</v>
      </c>
      <c r="G19" s="5" t="n">
        <v>0.0147</v>
      </c>
      <c r="H19" s="5" t="n">
        <v>0.0009</v>
      </c>
    </row>
    <row r="20" customFormat="false" ht="15" hidden="false" customHeight="false" outlineLevel="0" collapsed="false">
      <c r="A20" s="4" t="n">
        <v>2030</v>
      </c>
      <c r="B20" s="5" t="n">
        <v>2.0745</v>
      </c>
      <c r="C20" s="5" t="n">
        <v>0.3733</v>
      </c>
      <c r="D20" s="5" t="n">
        <v>0.2552</v>
      </c>
      <c r="E20" s="5" t="n">
        <v>0.0004</v>
      </c>
      <c r="F20" s="5" t="n">
        <v>0.0564</v>
      </c>
      <c r="G20" s="5" t="n">
        <v>0.0161</v>
      </c>
      <c r="H20" s="5" t="n">
        <v>0.0009</v>
      </c>
    </row>
    <row r="21" customFormat="false" ht="15" hidden="false" customHeight="false" outlineLevel="0" collapsed="false">
      <c r="A21" s="4" t="n">
        <v>2031</v>
      </c>
      <c r="B21" s="5" t="n">
        <v>2.1165</v>
      </c>
      <c r="C21" s="5" t="n">
        <v>0.3808</v>
      </c>
      <c r="D21" s="5" t="n">
        <v>0.2604</v>
      </c>
      <c r="E21" s="5" t="n">
        <v>0.0004</v>
      </c>
      <c r="F21" s="5" t="n">
        <v>0.0545</v>
      </c>
      <c r="G21" s="5" t="n">
        <v>0.0172</v>
      </c>
      <c r="H21" s="5" t="n">
        <v>0.0009</v>
      </c>
    </row>
    <row r="22" customFormat="false" ht="15" hidden="false" customHeight="false" outlineLevel="0" collapsed="false">
      <c r="A22" s="4" t="n">
        <v>2032</v>
      </c>
      <c r="B22" s="5" t="n">
        <v>2.1589</v>
      </c>
      <c r="C22" s="5" t="n">
        <v>0.3885</v>
      </c>
      <c r="D22" s="5" t="n">
        <v>0.2658</v>
      </c>
      <c r="E22" s="5" t="n">
        <v>0.0004</v>
      </c>
      <c r="F22" s="5" t="n">
        <v>0.0523</v>
      </c>
      <c r="G22" s="5" t="n">
        <v>0.0184</v>
      </c>
      <c r="H22" s="5" t="n">
        <v>0.0009</v>
      </c>
    </row>
    <row r="23" customFormat="false" ht="15" hidden="false" customHeight="false" outlineLevel="0" collapsed="false">
      <c r="A23" s="4" t="n">
        <v>2033</v>
      </c>
      <c r="B23" s="5" t="n">
        <v>2.2018</v>
      </c>
      <c r="C23" s="5" t="n">
        <v>0.3962</v>
      </c>
      <c r="D23" s="5" t="n">
        <v>0.2712</v>
      </c>
      <c r="E23" s="5" t="n">
        <v>0.0005</v>
      </c>
      <c r="F23" s="5" t="n">
        <v>0.0503</v>
      </c>
      <c r="G23" s="5" t="n">
        <v>0.0195</v>
      </c>
      <c r="H23" s="5" t="n">
        <v>0.0009</v>
      </c>
    </row>
    <row r="24" customFormat="false" ht="15" hidden="false" customHeight="false" outlineLevel="0" collapsed="false">
      <c r="A24" s="4" t="n">
        <v>2034</v>
      </c>
      <c r="B24" s="5" t="n">
        <v>2.2452</v>
      </c>
      <c r="C24" s="5" t="n">
        <v>0.404</v>
      </c>
      <c r="D24" s="5" t="n">
        <v>0.2766</v>
      </c>
      <c r="E24" s="5" t="n">
        <v>0.0005</v>
      </c>
      <c r="F24" s="5" t="n">
        <v>0.0484</v>
      </c>
      <c r="G24" s="5" t="n">
        <v>0.0206</v>
      </c>
      <c r="H24" s="5" t="n">
        <v>0.001</v>
      </c>
    </row>
    <row r="25" customFormat="false" ht="15" hidden="false" customHeight="false" outlineLevel="0" collapsed="false">
      <c r="A25" s="4" t="n">
        <v>2035</v>
      </c>
      <c r="B25" s="5" t="n">
        <v>2.2889</v>
      </c>
      <c r="C25" s="5" t="n">
        <v>0.4119</v>
      </c>
      <c r="D25" s="5" t="n">
        <v>0.2821</v>
      </c>
      <c r="E25" s="5" t="n">
        <v>0.0005</v>
      </c>
      <c r="F25" s="5" t="n">
        <v>0.0464</v>
      </c>
      <c r="G25" s="5" t="n">
        <v>0.0217</v>
      </c>
      <c r="H25" s="5" t="n">
        <v>0.001</v>
      </c>
    </row>
    <row r="26" customFormat="false" ht="15" hidden="false" customHeight="false" outlineLevel="0" collapsed="false">
      <c r="A26" s="4" t="n">
        <v>2036</v>
      </c>
      <c r="B26" s="5" t="n">
        <v>2.3331</v>
      </c>
      <c r="C26" s="5" t="n">
        <v>0.4198</v>
      </c>
      <c r="D26" s="5" t="n">
        <v>0.2877</v>
      </c>
      <c r="E26" s="5" t="n">
        <v>0.0005</v>
      </c>
      <c r="F26" s="5" t="n">
        <v>0.0445</v>
      </c>
      <c r="G26" s="5" t="n">
        <v>0.0228</v>
      </c>
      <c r="H26" s="5" t="n">
        <v>0.001</v>
      </c>
    </row>
    <row r="27" customFormat="false" ht="15" hidden="false" customHeight="false" outlineLevel="0" collapsed="false">
      <c r="A27" s="4" t="n">
        <v>2037</v>
      </c>
      <c r="B27" s="5" t="n">
        <v>2.3777</v>
      </c>
      <c r="C27" s="5" t="n">
        <v>0.4279</v>
      </c>
      <c r="D27" s="5" t="n">
        <v>0.2933</v>
      </c>
      <c r="E27" s="5" t="n">
        <v>0.0005</v>
      </c>
      <c r="F27" s="5" t="n">
        <v>0.0449</v>
      </c>
      <c r="G27" s="5" t="n">
        <v>0.0234</v>
      </c>
      <c r="H27" s="5" t="n">
        <v>0.001</v>
      </c>
    </row>
    <row r="28" customFormat="false" ht="15" hidden="false" customHeight="false" outlineLevel="0" collapsed="false">
      <c r="A28" s="4" t="n">
        <v>2038</v>
      </c>
      <c r="B28" s="5" t="n">
        <v>2.4227</v>
      </c>
      <c r="C28" s="5" t="n">
        <v>0.4359</v>
      </c>
      <c r="D28" s="5" t="n">
        <v>0.299</v>
      </c>
      <c r="E28" s="5" t="n">
        <v>0.0005</v>
      </c>
      <c r="F28" s="5" t="n">
        <v>0.0452</v>
      </c>
      <c r="G28" s="5" t="n">
        <v>0.0239</v>
      </c>
      <c r="H28" s="5" t="n">
        <v>0.001</v>
      </c>
    </row>
    <row r="29" customFormat="false" ht="15" hidden="false" customHeight="false" outlineLevel="0" collapsed="false">
      <c r="A29" s="4" t="n">
        <v>2039</v>
      </c>
      <c r="B29" s="5" t="n">
        <v>2.468</v>
      </c>
      <c r="C29" s="5" t="n">
        <v>0.4441</v>
      </c>
      <c r="D29" s="5" t="n">
        <v>0.3047</v>
      </c>
      <c r="E29" s="5" t="n">
        <v>0.0005</v>
      </c>
      <c r="F29" s="5" t="n">
        <v>0.0456</v>
      </c>
      <c r="G29" s="5" t="n">
        <v>0.0245</v>
      </c>
      <c r="H29" s="5" t="n">
        <v>0.0011</v>
      </c>
    </row>
    <row r="30" customFormat="false" ht="15" hidden="false" customHeight="false" outlineLevel="0" collapsed="false">
      <c r="A30" s="4" t="n">
        <v>2040</v>
      </c>
      <c r="B30" s="5" t="n">
        <v>2.5137</v>
      </c>
      <c r="C30" s="5" t="n">
        <v>0.4523</v>
      </c>
      <c r="D30" s="5" t="n">
        <v>0.3105</v>
      </c>
      <c r="E30" s="5" t="n">
        <v>0.0005</v>
      </c>
      <c r="F30" s="5" t="n">
        <v>0.013</v>
      </c>
      <c r="G30" s="5" t="n">
        <v>0.0332</v>
      </c>
      <c r="H30" s="5" t="n">
        <v>0.0011</v>
      </c>
    </row>
    <row r="31" customFormat="false" ht="15" hidden="false" customHeight="false" outlineLevel="0" collapsed="false">
      <c r="A31" s="4" t="n">
        <v>2041</v>
      </c>
      <c r="B31" s="5" t="n">
        <v>2.5604</v>
      </c>
      <c r="C31" s="5" t="n">
        <v>0.4607</v>
      </c>
      <c r="D31" s="5" t="n">
        <v>0.3164</v>
      </c>
      <c r="E31" s="5" t="n">
        <v>0.0005</v>
      </c>
      <c r="F31" s="5" t="n">
        <v>0.0133</v>
      </c>
      <c r="G31" s="5" t="n">
        <v>0.0338</v>
      </c>
      <c r="H31" s="5" t="n">
        <v>0.0011</v>
      </c>
    </row>
    <row r="32" customFormat="false" ht="15" hidden="false" customHeight="false" outlineLevel="0" collapsed="false">
      <c r="A32" s="4" t="n">
        <v>2042</v>
      </c>
      <c r="B32" s="5" t="n">
        <v>2.6079</v>
      </c>
      <c r="C32" s="5" t="n">
        <v>0.4693</v>
      </c>
      <c r="D32" s="5" t="n">
        <v>0.3224</v>
      </c>
      <c r="E32" s="5" t="n">
        <v>0.0005</v>
      </c>
      <c r="F32" s="5" t="n">
        <v>0.0135</v>
      </c>
      <c r="G32" s="5" t="n">
        <v>0.0344</v>
      </c>
      <c r="H32" s="5" t="n">
        <v>0.0011</v>
      </c>
    </row>
    <row r="33" customFormat="false" ht="15" hidden="false" customHeight="false" outlineLevel="0" collapsed="false">
      <c r="A33" s="4" t="n">
        <v>2043</v>
      </c>
      <c r="B33" s="5" t="n">
        <v>2.6565</v>
      </c>
      <c r="C33" s="5" t="n">
        <v>0.478</v>
      </c>
      <c r="D33" s="5" t="n">
        <v>0.3286</v>
      </c>
      <c r="E33" s="5" t="n">
        <v>0.0005</v>
      </c>
      <c r="F33" s="5" t="n">
        <v>0.0138</v>
      </c>
      <c r="G33" s="5" t="n">
        <v>0.0351</v>
      </c>
      <c r="H33" s="5" t="n">
        <v>0.0012</v>
      </c>
    </row>
    <row r="34" customFormat="false" ht="15" hidden="false" customHeight="false" outlineLevel="0" collapsed="false">
      <c r="A34" s="4" t="n">
        <v>2044</v>
      </c>
      <c r="B34" s="5" t="n">
        <v>2.706</v>
      </c>
      <c r="C34" s="5" t="n">
        <v>0.4869</v>
      </c>
      <c r="D34" s="5" t="n">
        <v>0.3349</v>
      </c>
      <c r="E34" s="5" t="n">
        <v>0.0005</v>
      </c>
      <c r="F34" s="5" t="n">
        <v>0.0103</v>
      </c>
      <c r="G34" s="5" t="n">
        <v>0.0366</v>
      </c>
      <c r="H34" s="5" t="n">
        <v>0.0012</v>
      </c>
    </row>
    <row r="35" customFormat="false" ht="15" hidden="false" customHeight="false" outlineLevel="0" collapsed="false">
      <c r="A35" s="4" t="n">
        <v>2045</v>
      </c>
      <c r="B35" s="5" t="n">
        <v>2.7565</v>
      </c>
      <c r="C35" s="5" t="n">
        <v>0.496</v>
      </c>
      <c r="D35" s="5" t="n">
        <v>0.3413</v>
      </c>
      <c r="E35" s="5" t="n">
        <v>0.0005</v>
      </c>
      <c r="F35" s="5" t="n">
        <v>0.0031</v>
      </c>
      <c r="G35" s="5" t="n">
        <v>0.0391</v>
      </c>
      <c r="H35" s="5" t="n">
        <v>0.0012</v>
      </c>
    </row>
    <row r="36" customFormat="false" ht="15" hidden="false" customHeight="false" outlineLevel="0" collapsed="false">
      <c r="A36" s="4" t="n">
        <v>2046</v>
      </c>
      <c r="B36" s="5" t="n">
        <v>2.8081</v>
      </c>
      <c r="C36" s="5" t="n">
        <v>0.5053</v>
      </c>
      <c r="D36" s="5" t="n">
        <v>0.3479</v>
      </c>
      <c r="E36" s="5" t="n">
        <v>0.0005</v>
      </c>
      <c r="F36" s="5" t="n">
        <v>0.0031</v>
      </c>
      <c r="G36" s="5" t="n">
        <v>0.0399</v>
      </c>
      <c r="H36" s="5" t="n">
        <v>0.0012</v>
      </c>
    </row>
    <row r="37" customFormat="false" ht="15" hidden="false" customHeight="false" outlineLevel="0" collapsed="false">
      <c r="A37" s="4" t="n">
        <v>2047</v>
      </c>
      <c r="B37" s="5" t="n">
        <v>2.8608</v>
      </c>
      <c r="C37" s="5" t="n">
        <v>0.5148</v>
      </c>
      <c r="D37" s="5" t="n">
        <v>0.3546</v>
      </c>
      <c r="E37" s="5" t="n">
        <v>0.0005</v>
      </c>
      <c r="F37" s="5" t="n">
        <v>0.0031</v>
      </c>
      <c r="G37" s="5" t="n">
        <v>0.0406</v>
      </c>
      <c r="H37" s="5" t="n">
        <v>0.0013</v>
      </c>
    </row>
    <row r="38" customFormat="false" ht="15" hidden="false" customHeight="false" outlineLevel="0" collapsed="false">
      <c r="A38" s="4" t="n">
        <v>2048</v>
      </c>
      <c r="B38" s="5" t="n">
        <v>2.9145</v>
      </c>
      <c r="C38" s="5" t="n">
        <v>0.5244</v>
      </c>
      <c r="D38" s="5" t="n">
        <v>0.3614</v>
      </c>
      <c r="E38" s="5" t="n">
        <v>0.0006</v>
      </c>
      <c r="F38" s="5" t="n">
        <v>0.0031</v>
      </c>
      <c r="G38" s="5" t="n">
        <v>0.0414</v>
      </c>
      <c r="H38" s="5" t="n">
        <v>0.0013</v>
      </c>
    </row>
    <row r="39" customFormat="false" ht="15" hidden="false" customHeight="false" outlineLevel="0" collapsed="false">
      <c r="A39" s="4" t="n">
        <v>2049</v>
      </c>
      <c r="B39" s="5" t="n">
        <v>2.9693</v>
      </c>
      <c r="C39" s="5" t="n">
        <v>0.5343</v>
      </c>
      <c r="D39" s="5" t="n">
        <v>0.3684</v>
      </c>
      <c r="E39" s="5" t="n">
        <v>0.0006</v>
      </c>
      <c r="F39" s="5" t="n">
        <v>0.0031</v>
      </c>
      <c r="G39" s="5" t="n">
        <v>0.0422</v>
      </c>
      <c r="H39" s="5" t="n">
        <v>0.0013</v>
      </c>
    </row>
    <row r="40" customFormat="false" ht="15" hidden="false" customHeight="false" outlineLevel="0" collapsed="false">
      <c r="A40" s="4" t="n">
        <v>2050</v>
      </c>
      <c r="B40" s="5" t="n">
        <v>3.0253</v>
      </c>
      <c r="C40" s="5" t="n">
        <v>0.5444</v>
      </c>
      <c r="D40" s="5" t="n">
        <v>0.3755</v>
      </c>
      <c r="E40" s="5" t="n">
        <v>0.0006</v>
      </c>
      <c r="F40" s="5" t="n">
        <v>0.0031</v>
      </c>
      <c r="G40" s="5" t="n">
        <v>0.043</v>
      </c>
      <c r="H40" s="5" t="n">
        <v>0.0013</v>
      </c>
    </row>
    <row r="41" customFormat="false" ht="15" hidden="false" customHeight="false" outlineLevel="0" collapsed="false">
      <c r="A41" s="20" t="s">
        <v>121</v>
      </c>
    </row>
    <row r="43" customFormat="false" ht="15" hidden="false" customHeight="false" outlineLevel="0" collapsed="false">
      <c r="A43" s="10" t="s">
        <v>122</v>
      </c>
      <c r="B43" s="12"/>
      <c r="C43" s="12"/>
      <c r="D43" s="12"/>
      <c r="E43" s="12"/>
      <c r="F43" s="12"/>
      <c r="G43" s="12"/>
      <c r="H43" s="12"/>
    </row>
    <row r="44" customFormat="false" ht="39.55" hidden="false" customHeight="false" outlineLevel="0" collapsed="false">
      <c r="A44" s="3" t="s">
        <v>113</v>
      </c>
      <c r="B44" s="3" t="s">
        <v>114</v>
      </c>
      <c r="C44" s="3" t="s">
        <v>115</v>
      </c>
      <c r="D44" s="3" t="s">
        <v>116</v>
      </c>
      <c r="E44" s="3" t="s">
        <v>117</v>
      </c>
      <c r="F44" s="3" t="s">
        <v>118</v>
      </c>
      <c r="G44" s="3" t="s">
        <v>119</v>
      </c>
      <c r="H44" s="3" t="s">
        <v>120</v>
      </c>
    </row>
    <row r="45" customFormat="false" ht="15" hidden="false" customHeight="false" outlineLevel="0" collapsed="false">
      <c r="A45" s="4" t="n">
        <v>2023</v>
      </c>
      <c r="B45" s="5" t="n">
        <v>1.9139</v>
      </c>
      <c r="C45" s="5" t="n">
        <v>0.3444</v>
      </c>
      <c r="D45" s="5" t="n">
        <v>0.2375</v>
      </c>
      <c r="E45" s="5" t="n">
        <v>0.0008</v>
      </c>
      <c r="F45" s="5" t="n">
        <v>0.0546</v>
      </c>
      <c r="G45" s="5" t="n">
        <v>0.0139</v>
      </c>
      <c r="H45" s="5" t="n">
        <v>0.0007</v>
      </c>
    </row>
    <row r="46" customFormat="false" ht="15" hidden="false" customHeight="false" outlineLevel="0" collapsed="false">
      <c r="A46" s="4" t="n">
        <v>2024</v>
      </c>
      <c r="B46" s="5" t="n">
        <v>1.9513</v>
      </c>
      <c r="C46" s="5" t="n">
        <v>0.3511</v>
      </c>
      <c r="D46" s="5" t="n">
        <v>0.2437</v>
      </c>
      <c r="E46" s="5" t="n">
        <v>0.001</v>
      </c>
      <c r="F46" s="5" t="n">
        <v>0.0552</v>
      </c>
      <c r="G46" s="5" t="n">
        <v>0.015</v>
      </c>
      <c r="H46" s="5" t="n">
        <v>0.0007</v>
      </c>
    </row>
    <row r="47" customFormat="false" ht="15" hidden="false" customHeight="false" outlineLevel="0" collapsed="false">
      <c r="A47" s="4" t="n">
        <v>2025</v>
      </c>
      <c r="B47" s="5" t="n">
        <v>1.9567</v>
      </c>
      <c r="C47" s="5" t="n">
        <v>0.3521</v>
      </c>
      <c r="D47" s="5" t="n">
        <v>0.2454</v>
      </c>
      <c r="E47" s="5" t="n">
        <v>0.0012</v>
      </c>
      <c r="F47" s="5" t="n">
        <v>0.0502</v>
      </c>
      <c r="G47" s="5" t="n">
        <v>0.015</v>
      </c>
      <c r="H47" s="5" t="n">
        <v>0.0007</v>
      </c>
    </row>
    <row r="48" customFormat="false" ht="15" hidden="false" customHeight="false" outlineLevel="0" collapsed="false">
      <c r="A48" s="4" t="n">
        <v>2026</v>
      </c>
      <c r="B48" s="5" t="n">
        <v>1.916</v>
      </c>
      <c r="C48" s="5" t="n">
        <v>0.3438</v>
      </c>
      <c r="D48" s="5" t="n">
        <v>0.2343</v>
      </c>
      <c r="E48" s="5" t="n">
        <v>0.0067</v>
      </c>
      <c r="F48" s="5" t="n">
        <v>0.0615</v>
      </c>
      <c r="G48" s="5" t="n">
        <v>0.0151</v>
      </c>
      <c r="H48" s="5" t="n">
        <v>0.0007</v>
      </c>
    </row>
    <row r="49" customFormat="false" ht="15" hidden="false" customHeight="false" outlineLevel="0" collapsed="false">
      <c r="A49" s="4" t="n">
        <v>2027</v>
      </c>
      <c r="B49" s="5" t="n">
        <v>1.8109</v>
      </c>
      <c r="C49" s="5" t="n">
        <v>0.3248</v>
      </c>
      <c r="D49" s="5" t="n">
        <v>0.2214</v>
      </c>
      <c r="E49" s="5" t="n">
        <v>0.0129</v>
      </c>
      <c r="F49" s="5" t="n">
        <v>0.0277</v>
      </c>
      <c r="G49" s="5" t="n">
        <v>0.0153</v>
      </c>
      <c r="H49" s="5" t="n">
        <v>0.0007</v>
      </c>
    </row>
    <row r="50" customFormat="false" ht="15" hidden="false" customHeight="false" outlineLevel="0" collapsed="false">
      <c r="A50" s="4" t="n">
        <v>2028</v>
      </c>
      <c r="B50" s="5" t="n">
        <v>1.5637</v>
      </c>
      <c r="C50" s="5" t="n">
        <v>0.2798</v>
      </c>
      <c r="D50" s="5" t="n">
        <v>0.1994</v>
      </c>
      <c r="E50" s="5" t="n">
        <v>0.02</v>
      </c>
      <c r="F50" s="5" t="n">
        <v>0.0169</v>
      </c>
      <c r="G50" s="5" t="n">
        <v>0.0154</v>
      </c>
      <c r="H50" s="5" t="n">
        <v>0.0007</v>
      </c>
    </row>
    <row r="51" customFormat="false" ht="15" hidden="false" customHeight="false" outlineLevel="0" collapsed="false">
      <c r="A51" s="4" t="n">
        <v>2029</v>
      </c>
      <c r="B51" s="5" t="n">
        <v>1.0771</v>
      </c>
      <c r="C51" s="5" t="n">
        <v>0.1938</v>
      </c>
      <c r="D51" s="5" t="n">
        <v>0.1603</v>
      </c>
      <c r="E51" s="5" t="n">
        <v>0.028</v>
      </c>
      <c r="F51" s="5" t="n">
        <v>0</v>
      </c>
      <c r="G51" s="5" t="n">
        <v>0.0156</v>
      </c>
      <c r="H51" s="5" t="n">
        <v>0.0008</v>
      </c>
    </row>
    <row r="52" customFormat="false" ht="15" hidden="false" customHeight="false" outlineLevel="0" collapsed="false">
      <c r="A52" s="4" t="n">
        <v>2030</v>
      </c>
      <c r="B52" s="5" t="n">
        <v>0.5955</v>
      </c>
      <c r="C52" s="5" t="n">
        <v>0.1071</v>
      </c>
      <c r="D52" s="5" t="n">
        <v>0.1012</v>
      </c>
      <c r="E52" s="5" t="n">
        <v>0.037</v>
      </c>
      <c r="F52" s="5" t="n">
        <v>0</v>
      </c>
      <c r="G52" s="5" t="n">
        <v>0.0159</v>
      </c>
      <c r="H52" s="5" t="n">
        <v>0.0008</v>
      </c>
    </row>
    <row r="53" customFormat="false" ht="15" hidden="false" customHeight="false" outlineLevel="0" collapsed="false">
      <c r="A53" s="4" t="n">
        <v>2031</v>
      </c>
      <c r="B53" s="5" t="n">
        <v>0.3341</v>
      </c>
      <c r="C53" s="5" t="n">
        <v>0.0601</v>
      </c>
      <c r="D53" s="5" t="n">
        <v>0.041</v>
      </c>
      <c r="E53" s="5" t="n">
        <v>0.047</v>
      </c>
      <c r="F53" s="5" t="n">
        <v>0</v>
      </c>
      <c r="G53" s="5" t="n">
        <v>0.0166</v>
      </c>
      <c r="H53" s="5" t="n">
        <v>0.0008</v>
      </c>
    </row>
    <row r="54" customFormat="false" ht="15" hidden="false" customHeight="false" outlineLevel="0" collapsed="false">
      <c r="A54" s="4" t="n">
        <v>2032</v>
      </c>
      <c r="B54" s="5" t="n">
        <v>0.2067</v>
      </c>
      <c r="C54" s="5" t="n">
        <v>0.0372</v>
      </c>
      <c r="D54" s="5" t="n">
        <v>0.0254</v>
      </c>
      <c r="E54" s="5" t="n">
        <v>0.0581</v>
      </c>
      <c r="F54" s="5" t="n">
        <v>0</v>
      </c>
      <c r="G54" s="5" t="n">
        <v>0.0171</v>
      </c>
      <c r="H54" s="5" t="n">
        <v>0.0008</v>
      </c>
    </row>
    <row r="55" customFormat="false" ht="15" hidden="false" customHeight="false" outlineLevel="0" collapsed="false">
      <c r="A55" s="4" t="n">
        <v>2033</v>
      </c>
      <c r="B55" s="5" t="n">
        <v>0.1334</v>
      </c>
      <c r="C55" s="5" t="n">
        <v>0.024</v>
      </c>
      <c r="D55" s="5" t="n">
        <v>0.0164</v>
      </c>
      <c r="E55" s="5" t="n">
        <v>0.0704</v>
      </c>
      <c r="F55" s="5" t="n">
        <v>0</v>
      </c>
      <c r="G55" s="5" t="n">
        <v>0.0182</v>
      </c>
      <c r="H55" s="5" t="n">
        <v>0.0008</v>
      </c>
    </row>
    <row r="56" customFormat="false" ht="15" hidden="false" customHeight="false" outlineLevel="0" collapsed="false">
      <c r="A56" s="4" t="n">
        <v>2034</v>
      </c>
      <c r="B56" s="5" t="n">
        <v>0.0685</v>
      </c>
      <c r="C56" s="5" t="n">
        <v>0.0123</v>
      </c>
      <c r="D56" s="5" t="n">
        <v>0.0084</v>
      </c>
      <c r="E56" s="5" t="n">
        <v>0.084</v>
      </c>
      <c r="F56" s="5" t="n">
        <v>0</v>
      </c>
      <c r="G56" s="5" t="n">
        <v>0.0213</v>
      </c>
      <c r="H56" s="5" t="n">
        <v>0.0008</v>
      </c>
    </row>
    <row r="57" customFormat="false" ht="15" hidden="false" customHeight="false" outlineLevel="0" collapsed="false">
      <c r="A57" s="4" t="n">
        <v>2035</v>
      </c>
      <c r="B57" s="5" t="n">
        <v>0</v>
      </c>
      <c r="C57" s="5" t="n">
        <v>0</v>
      </c>
      <c r="D57" s="5" t="n">
        <v>0</v>
      </c>
      <c r="E57" s="5" t="n">
        <v>0.099</v>
      </c>
      <c r="F57" s="5" t="n">
        <v>0</v>
      </c>
      <c r="G57" s="5" t="n">
        <v>0.0356</v>
      </c>
      <c r="H57" s="5" t="n">
        <v>0.0008</v>
      </c>
    </row>
    <row r="58" customFormat="false" ht="15" hidden="false" customHeight="false" outlineLevel="0" collapsed="false">
      <c r="A58" s="4" t="n">
        <v>2036</v>
      </c>
      <c r="B58" s="5" t="n">
        <v>0</v>
      </c>
      <c r="C58" s="5" t="n">
        <v>0</v>
      </c>
      <c r="D58" s="5" t="n">
        <v>0</v>
      </c>
      <c r="E58" s="5" t="n">
        <v>0.1016</v>
      </c>
      <c r="F58" s="5" t="n">
        <v>0</v>
      </c>
      <c r="G58" s="5" t="n">
        <v>0.0371</v>
      </c>
      <c r="H58" s="5" t="n">
        <v>0.0008</v>
      </c>
    </row>
    <row r="59" customFormat="false" ht="15" hidden="false" customHeight="false" outlineLevel="0" collapsed="false">
      <c r="A59" s="4" t="n">
        <v>2037</v>
      </c>
      <c r="B59" s="5" t="n">
        <v>0</v>
      </c>
      <c r="C59" s="5" t="n">
        <v>0</v>
      </c>
      <c r="D59" s="5" t="n">
        <v>0</v>
      </c>
      <c r="E59" s="5" t="n">
        <v>0.1042</v>
      </c>
      <c r="F59" s="5" t="n">
        <v>0.0024</v>
      </c>
      <c r="G59" s="5" t="n">
        <v>0.0387</v>
      </c>
      <c r="H59" s="5" t="n">
        <v>0.0008</v>
      </c>
    </row>
    <row r="60" customFormat="false" ht="15" hidden="false" customHeight="false" outlineLevel="0" collapsed="false">
      <c r="A60" s="4" t="n">
        <v>2038</v>
      </c>
      <c r="B60" s="5" t="n">
        <v>0</v>
      </c>
      <c r="C60" s="5" t="n">
        <v>0</v>
      </c>
      <c r="D60" s="5" t="n">
        <v>0</v>
      </c>
      <c r="E60" s="5" t="n">
        <v>0.1068</v>
      </c>
      <c r="F60" s="5" t="n">
        <v>0.0042</v>
      </c>
      <c r="G60" s="5" t="n">
        <v>0.0403</v>
      </c>
      <c r="H60" s="5" t="n">
        <v>0.0009</v>
      </c>
    </row>
    <row r="61" customFormat="false" ht="15" hidden="false" customHeight="false" outlineLevel="0" collapsed="false">
      <c r="A61" s="4" t="n">
        <v>2039</v>
      </c>
      <c r="B61" s="5" t="n">
        <v>0</v>
      </c>
      <c r="C61" s="5" t="n">
        <v>0</v>
      </c>
      <c r="D61" s="5" t="n">
        <v>0</v>
      </c>
      <c r="E61" s="5" t="n">
        <v>0.1095</v>
      </c>
      <c r="F61" s="5" t="n">
        <v>0.008</v>
      </c>
      <c r="G61" s="5" t="n">
        <v>0.0417</v>
      </c>
      <c r="H61" s="5" t="n">
        <v>0.0009</v>
      </c>
    </row>
    <row r="62" customFormat="false" ht="15" hidden="false" customHeight="false" outlineLevel="0" collapsed="false">
      <c r="A62" s="4" t="n">
        <v>2040</v>
      </c>
      <c r="B62" s="5" t="n">
        <v>0</v>
      </c>
      <c r="C62" s="5" t="n">
        <v>0</v>
      </c>
      <c r="D62" s="5" t="n">
        <v>0</v>
      </c>
      <c r="E62" s="5" t="n">
        <v>0.1122</v>
      </c>
      <c r="F62" s="5" t="n">
        <v>0.0089</v>
      </c>
      <c r="G62" s="5" t="n">
        <v>0.043</v>
      </c>
      <c r="H62" s="5" t="n">
        <v>0.0009</v>
      </c>
    </row>
    <row r="63" customFormat="false" ht="15" hidden="false" customHeight="false" outlineLevel="0" collapsed="false">
      <c r="A63" s="4" t="n">
        <v>2041</v>
      </c>
      <c r="B63" s="5" t="n">
        <v>0</v>
      </c>
      <c r="C63" s="5" t="n">
        <v>0</v>
      </c>
      <c r="D63" s="5" t="n">
        <v>0</v>
      </c>
      <c r="E63" s="5" t="n">
        <v>0.1149</v>
      </c>
      <c r="F63" s="5" t="n">
        <v>0.0089</v>
      </c>
      <c r="G63" s="5" t="n">
        <v>0.0447</v>
      </c>
      <c r="H63" s="5" t="n">
        <v>0.0009</v>
      </c>
    </row>
    <row r="64" customFormat="false" ht="15" hidden="false" customHeight="false" outlineLevel="0" collapsed="false">
      <c r="A64" s="4" t="n">
        <v>2042</v>
      </c>
      <c r="B64" s="5" t="n">
        <v>0</v>
      </c>
      <c r="C64" s="5" t="n">
        <v>0</v>
      </c>
      <c r="D64" s="5" t="n">
        <v>0</v>
      </c>
      <c r="E64" s="5" t="n">
        <v>0.1177</v>
      </c>
      <c r="F64" s="5" t="n">
        <v>0.0089</v>
      </c>
      <c r="G64" s="5" t="n">
        <v>0.0459</v>
      </c>
      <c r="H64" s="5" t="n">
        <v>0.0009</v>
      </c>
    </row>
    <row r="65" customFormat="false" ht="15" hidden="false" customHeight="false" outlineLevel="0" collapsed="false">
      <c r="A65" s="4" t="n">
        <v>2043</v>
      </c>
      <c r="B65" s="5" t="n">
        <v>0</v>
      </c>
      <c r="C65" s="5" t="n">
        <v>0</v>
      </c>
      <c r="D65" s="5" t="n">
        <v>0</v>
      </c>
      <c r="E65" s="5" t="n">
        <v>0.1206</v>
      </c>
      <c r="F65" s="5" t="n">
        <v>0.0089</v>
      </c>
      <c r="G65" s="5" t="n">
        <v>0.0467</v>
      </c>
      <c r="H65" s="5" t="n">
        <v>0.001</v>
      </c>
    </row>
    <row r="66" customFormat="false" ht="15" hidden="false" customHeight="false" outlineLevel="0" collapsed="false">
      <c r="A66" s="4" t="n">
        <v>2044</v>
      </c>
      <c r="B66" s="5" t="n">
        <v>0</v>
      </c>
      <c r="C66" s="5" t="n">
        <v>0</v>
      </c>
      <c r="D66" s="5" t="n">
        <v>0</v>
      </c>
      <c r="E66" s="5" t="n">
        <v>0.1235</v>
      </c>
      <c r="F66" s="5" t="n">
        <v>0.007</v>
      </c>
      <c r="G66" s="5" t="n">
        <v>0.0479</v>
      </c>
      <c r="H66" s="5" t="n">
        <v>0.001</v>
      </c>
    </row>
    <row r="67" customFormat="false" ht="15" hidden="false" customHeight="false" outlineLevel="0" collapsed="false">
      <c r="A67" s="4" t="n">
        <v>2045</v>
      </c>
      <c r="B67" s="5" t="n">
        <v>0</v>
      </c>
      <c r="C67" s="5" t="n">
        <v>0</v>
      </c>
      <c r="D67" s="5" t="n">
        <v>0</v>
      </c>
      <c r="E67" s="5" t="n">
        <v>0.1265</v>
      </c>
      <c r="F67" s="5" t="n">
        <v>0.0015</v>
      </c>
      <c r="G67" s="5" t="n">
        <v>0.0492</v>
      </c>
      <c r="H67" s="5" t="n">
        <v>0.001</v>
      </c>
    </row>
    <row r="68" customFormat="false" ht="15" hidden="false" customHeight="false" outlineLevel="0" collapsed="false">
      <c r="A68" s="4" t="n">
        <v>2046</v>
      </c>
      <c r="B68" s="5" t="n">
        <v>0</v>
      </c>
      <c r="C68" s="5" t="n">
        <v>0</v>
      </c>
      <c r="D68" s="5" t="n">
        <v>0</v>
      </c>
      <c r="E68" s="5" t="n">
        <v>0.1295</v>
      </c>
      <c r="F68" s="5" t="n">
        <v>0.0015</v>
      </c>
      <c r="G68" s="5" t="n">
        <v>0.0504</v>
      </c>
      <c r="H68" s="5" t="n">
        <v>0.001</v>
      </c>
    </row>
    <row r="69" customFormat="false" ht="15" hidden="false" customHeight="false" outlineLevel="0" collapsed="false">
      <c r="A69" s="4" t="n">
        <v>2047</v>
      </c>
      <c r="B69" s="5" t="n">
        <v>0</v>
      </c>
      <c r="C69" s="5" t="n">
        <v>0</v>
      </c>
      <c r="D69" s="5" t="n">
        <v>0</v>
      </c>
      <c r="E69" s="5" t="n">
        <v>0.1326</v>
      </c>
      <c r="F69" s="5" t="n">
        <v>0.0015</v>
      </c>
      <c r="G69" s="5" t="n">
        <v>0.0517</v>
      </c>
      <c r="H69" s="5" t="n">
        <v>0.001</v>
      </c>
    </row>
    <row r="70" customFormat="false" ht="15" hidden="false" customHeight="false" outlineLevel="0" collapsed="false">
      <c r="A70" s="4" t="n">
        <v>2048</v>
      </c>
      <c r="B70" s="5" t="n">
        <v>0</v>
      </c>
      <c r="C70" s="5" t="n">
        <v>0</v>
      </c>
      <c r="D70" s="5" t="n">
        <v>0</v>
      </c>
      <c r="E70" s="5" t="n">
        <v>0.1358</v>
      </c>
      <c r="F70" s="5" t="n">
        <v>0.0015</v>
      </c>
      <c r="G70" s="5" t="n">
        <v>0.0529</v>
      </c>
      <c r="H70" s="5" t="n">
        <v>0.0011</v>
      </c>
    </row>
    <row r="71" customFormat="false" ht="15" hidden="false" customHeight="false" outlineLevel="0" collapsed="false">
      <c r="A71" s="4" t="n">
        <v>2049</v>
      </c>
      <c r="B71" s="5" t="n">
        <v>0</v>
      </c>
      <c r="C71" s="5" t="n">
        <v>0</v>
      </c>
      <c r="D71" s="5" t="n">
        <v>0</v>
      </c>
      <c r="E71" s="5" t="n">
        <v>0.1391</v>
      </c>
      <c r="F71" s="5" t="n">
        <v>0.0015</v>
      </c>
      <c r="G71" s="5" t="n">
        <v>0.0541</v>
      </c>
      <c r="H71" s="5" t="n">
        <v>0.0011</v>
      </c>
    </row>
    <row r="72" customFormat="false" ht="15" hidden="false" customHeight="false" outlineLevel="0" collapsed="false">
      <c r="A72" s="4" t="n">
        <v>2050</v>
      </c>
      <c r="B72" s="5" t="n">
        <v>0</v>
      </c>
      <c r="C72" s="5" t="n">
        <v>0</v>
      </c>
      <c r="D72" s="5" t="n">
        <v>0</v>
      </c>
      <c r="E72" s="5" t="n">
        <v>0.1425</v>
      </c>
      <c r="F72" s="5" t="n">
        <v>0.0015</v>
      </c>
      <c r="G72" s="5" t="n">
        <v>0.0553</v>
      </c>
      <c r="H72" s="5" t="n">
        <v>0.0011</v>
      </c>
    </row>
    <row r="75" customFormat="false" ht="15" hidden="false" customHeight="false" outlineLevel="0" collapsed="false">
      <c r="A75" s="10" t="s">
        <v>123</v>
      </c>
      <c r="B75" s="12"/>
      <c r="C75" s="12"/>
      <c r="D75" s="12"/>
      <c r="E75" s="12"/>
      <c r="F75" s="12"/>
      <c r="G75" s="12"/>
      <c r="H75" s="12"/>
    </row>
    <row r="76" customFormat="false" ht="39.55" hidden="false" customHeight="false" outlineLevel="0" collapsed="false">
      <c r="A76" s="3" t="s">
        <v>113</v>
      </c>
      <c r="B76" s="3" t="s">
        <v>114</v>
      </c>
      <c r="C76" s="3" t="s">
        <v>115</v>
      </c>
      <c r="D76" s="3" t="s">
        <v>116</v>
      </c>
      <c r="E76" s="3" t="s">
        <v>117</v>
      </c>
      <c r="F76" s="3" t="s">
        <v>118</v>
      </c>
      <c r="G76" s="3" t="s">
        <v>119</v>
      </c>
      <c r="H76" s="3" t="s">
        <v>120</v>
      </c>
    </row>
    <row r="77" customFormat="false" ht="15" hidden="false" customHeight="false" outlineLevel="0" collapsed="false">
      <c r="A77" s="4" t="n">
        <v>2023</v>
      </c>
      <c r="B77" s="7" t="n">
        <f aca="false">B13-B45</f>
        <v>-0.1105</v>
      </c>
      <c r="C77" s="7" t="n">
        <f aca="false">C13-C45</f>
        <v>-0.0199</v>
      </c>
      <c r="D77" s="7" t="n">
        <f aca="false">D13-D45</f>
        <v>-0.0162</v>
      </c>
      <c r="E77" s="7" t="n">
        <f aca="false">E13-E45</f>
        <v>-0.0004</v>
      </c>
      <c r="F77" s="7" t="n">
        <f aca="false">F13-F45</f>
        <v>-0.0188</v>
      </c>
      <c r="G77" s="7" t="n">
        <f aca="false">G13-G45</f>
        <v>-0.000799999999999999</v>
      </c>
      <c r="H77" s="7" t="n">
        <f aca="false">H13-H45</f>
        <v>0.0001</v>
      </c>
    </row>
    <row r="78" customFormat="false" ht="15" hidden="false" customHeight="false" outlineLevel="0" collapsed="false">
      <c r="A78" s="4" t="n">
        <v>2024</v>
      </c>
      <c r="B78" s="7" t="n">
        <f aca="false">B14-B46</f>
        <v>-0.1123</v>
      </c>
      <c r="C78" s="7" t="n">
        <f aca="false">C14-C46</f>
        <v>-0.0202</v>
      </c>
      <c r="D78" s="7" t="n">
        <f aca="false">D14-D46</f>
        <v>-0.018</v>
      </c>
      <c r="E78" s="7" t="n">
        <f aca="false">E14-E46</f>
        <v>-0.0006</v>
      </c>
      <c r="F78" s="7" t="n">
        <f aca="false">F14-F46</f>
        <v>-0.0132</v>
      </c>
      <c r="G78" s="7" t="n">
        <f aca="false">G14-G46</f>
        <v>-0.0017</v>
      </c>
      <c r="H78" s="7" t="n">
        <f aca="false">H14-H46</f>
        <v>0.0001</v>
      </c>
    </row>
    <row r="79" customFormat="false" ht="15" hidden="false" customHeight="false" outlineLevel="0" collapsed="false">
      <c r="A79" s="4" t="n">
        <v>2025</v>
      </c>
      <c r="B79" s="7" t="n">
        <f aca="false">B15-B47</f>
        <v>-0.0816000000000001</v>
      </c>
      <c r="C79" s="7" t="n">
        <f aca="false">C15-C47</f>
        <v>-0.0147</v>
      </c>
      <c r="D79" s="7" t="n">
        <f aca="false">D15-D47</f>
        <v>-0.0151</v>
      </c>
      <c r="E79" s="7" t="n">
        <f aca="false">E15-E47</f>
        <v>-0.0008</v>
      </c>
      <c r="F79" s="7" t="n">
        <f aca="false">F15-F47</f>
        <v>-0.000400000000000005</v>
      </c>
      <c r="G79" s="7" t="n">
        <f aca="false">G15-G47</f>
        <v>-0.0014</v>
      </c>
      <c r="H79" s="7" t="n">
        <f aca="false">H15-H47</f>
        <v>0.0001</v>
      </c>
    </row>
    <row r="80" customFormat="false" ht="15" hidden="false" customHeight="false" outlineLevel="0" collapsed="false">
      <c r="A80" s="4" t="n">
        <v>2026</v>
      </c>
      <c r="B80" s="7" t="n">
        <f aca="false">B16-B48</f>
        <v>-0.0028999999999999</v>
      </c>
      <c r="C80" s="7" t="n">
        <f aca="false">C16-C48</f>
        <v>0.000400000000000011</v>
      </c>
      <c r="D80" s="7" t="n">
        <f aca="false">D16-D48</f>
        <v>0.000699999999999978</v>
      </c>
      <c r="E80" s="7" t="n">
        <f aca="false">E16-E48</f>
        <v>-0.0063</v>
      </c>
      <c r="F80" s="7" t="n">
        <f aca="false">F16-F48</f>
        <v>-0.0053</v>
      </c>
      <c r="G80" s="7" t="n">
        <f aca="false">G16-G48</f>
        <v>-0.0013</v>
      </c>
      <c r="H80" s="7" t="n">
        <f aca="false">H16-H48</f>
        <v>0.0001</v>
      </c>
    </row>
    <row r="81" customFormat="false" ht="15" hidden="false" customHeight="false" outlineLevel="0" collapsed="false">
      <c r="A81" s="4" t="n">
        <v>2027</v>
      </c>
      <c r="B81" s="7" t="n">
        <f aca="false">B17-B49</f>
        <v>0.1412</v>
      </c>
      <c r="C81" s="7" t="n">
        <f aca="false">C17-C49</f>
        <v>0.0265</v>
      </c>
      <c r="D81" s="7" t="n">
        <f aca="false">D17-D49</f>
        <v>0.0185</v>
      </c>
      <c r="E81" s="7" t="n">
        <f aca="false">E17-E49</f>
        <v>-0.0125</v>
      </c>
      <c r="F81" s="7" t="n">
        <f aca="false">F17-F49</f>
        <v>0.0285</v>
      </c>
      <c r="G81" s="7" t="n">
        <f aca="false">G17-G49</f>
        <v>-0.0012</v>
      </c>
      <c r="H81" s="7" t="n">
        <f aca="false">H17-H49</f>
        <v>0.0001</v>
      </c>
    </row>
    <row r="82" customFormat="false" ht="15" hidden="false" customHeight="false" outlineLevel="0" collapsed="false">
      <c r="A82" s="4" t="n">
        <v>2028</v>
      </c>
      <c r="B82" s="7" t="n">
        <f aca="false">B18-B50</f>
        <v>0.4282</v>
      </c>
      <c r="C82" s="7" t="n">
        <f aca="false">C18-C50</f>
        <v>0.0786</v>
      </c>
      <c r="D82" s="7" t="n">
        <f aca="false">D18-D50</f>
        <v>0.0454</v>
      </c>
      <c r="E82" s="7" t="n">
        <f aca="false">E18-E50</f>
        <v>-0.0196</v>
      </c>
      <c r="F82" s="7" t="n">
        <f aca="false">F18-F50</f>
        <v>0.0394</v>
      </c>
      <c r="G82" s="7" t="n">
        <f aca="false">G18-G50</f>
        <v>-0.001</v>
      </c>
      <c r="H82" s="7" t="n">
        <f aca="false">H18-H50</f>
        <v>0.0002</v>
      </c>
    </row>
    <row r="83" customFormat="false" ht="15" hidden="false" customHeight="false" outlineLevel="0" collapsed="false">
      <c r="A83" s="4" t="n">
        <v>2029</v>
      </c>
      <c r="B83" s="7" t="n">
        <f aca="false">B19-B51</f>
        <v>0.9558</v>
      </c>
      <c r="C83" s="7" t="n">
        <f aca="false">C19-C51</f>
        <v>0.172</v>
      </c>
      <c r="D83" s="7" t="n">
        <f aca="false">D19-D51</f>
        <v>0.0897</v>
      </c>
      <c r="E83" s="7" t="n">
        <f aca="false">E19-E51</f>
        <v>-0.0276</v>
      </c>
      <c r="F83" s="7" t="n">
        <f aca="false">F19-F51</f>
        <v>0.0563</v>
      </c>
      <c r="G83" s="7" t="n">
        <f aca="false">G19-G51</f>
        <v>-0.0009</v>
      </c>
      <c r="H83" s="7" t="n">
        <f aca="false">H19-H51</f>
        <v>9.99999999999999E-005</v>
      </c>
    </row>
    <row r="84" customFormat="false" ht="15" hidden="false" customHeight="false" outlineLevel="0" collapsed="false">
      <c r="A84" s="4" t="n">
        <v>2030</v>
      </c>
      <c r="B84" s="7" t="n">
        <f aca="false">B20-B52</f>
        <v>1.479</v>
      </c>
      <c r="C84" s="7" t="n">
        <f aca="false">C20-C52</f>
        <v>0.2662</v>
      </c>
      <c r="D84" s="7" t="n">
        <f aca="false">D20-D52</f>
        <v>0.154</v>
      </c>
      <c r="E84" s="7" t="n">
        <f aca="false">E20-E52</f>
        <v>-0.0366</v>
      </c>
      <c r="F84" s="7" t="n">
        <f aca="false">F20-F52</f>
        <v>0.0564</v>
      </c>
      <c r="G84" s="7" t="n">
        <f aca="false">G20-G52</f>
        <v>0.000199999999999999</v>
      </c>
      <c r="H84" s="7" t="n">
        <f aca="false">H20-H52</f>
        <v>9.99999999999999E-005</v>
      </c>
    </row>
    <row r="85" customFormat="false" ht="15" hidden="false" customHeight="false" outlineLevel="0" collapsed="false">
      <c r="A85" s="4" t="n">
        <v>2031</v>
      </c>
      <c r="B85" s="7" t="n">
        <f aca="false">B21-B53</f>
        <v>1.7824</v>
      </c>
      <c r="C85" s="7" t="n">
        <f aca="false">C21-C53</f>
        <v>0.3207</v>
      </c>
      <c r="D85" s="7" t="n">
        <f aca="false">D21-D53</f>
        <v>0.2194</v>
      </c>
      <c r="E85" s="7" t="n">
        <f aca="false">E21-E53</f>
        <v>-0.0466</v>
      </c>
      <c r="F85" s="7" t="n">
        <f aca="false">F21-F53</f>
        <v>0.0545</v>
      </c>
      <c r="G85" s="7" t="n">
        <f aca="false">G21-G53</f>
        <v>0.0006</v>
      </c>
      <c r="H85" s="7" t="n">
        <f aca="false">H21-H53</f>
        <v>9.99999999999999E-005</v>
      </c>
    </row>
    <row r="86" customFormat="false" ht="15" hidden="false" customHeight="false" outlineLevel="0" collapsed="false">
      <c r="A86" s="4" t="n">
        <v>2032</v>
      </c>
      <c r="B86" s="7" t="n">
        <f aca="false">B22-B54</f>
        <v>1.9522</v>
      </c>
      <c r="C86" s="7" t="n">
        <f aca="false">C22-C54</f>
        <v>0.3513</v>
      </c>
      <c r="D86" s="7" t="n">
        <f aca="false">D22-D54</f>
        <v>0.2404</v>
      </c>
      <c r="E86" s="7" t="n">
        <f aca="false">E22-E54</f>
        <v>-0.0577</v>
      </c>
      <c r="F86" s="7" t="n">
        <f aca="false">F22-F54</f>
        <v>0.0523</v>
      </c>
      <c r="G86" s="7" t="n">
        <f aca="false">G22-G54</f>
        <v>0.0013</v>
      </c>
      <c r="H86" s="7" t="n">
        <f aca="false">H22-H54</f>
        <v>9.99999999999999E-005</v>
      </c>
    </row>
    <row r="87" customFormat="false" ht="15" hidden="false" customHeight="false" outlineLevel="0" collapsed="false">
      <c r="A87" s="4" t="n">
        <v>2033</v>
      </c>
      <c r="B87" s="7" t="n">
        <f aca="false">B23-B55</f>
        <v>2.0684</v>
      </c>
      <c r="C87" s="7" t="n">
        <f aca="false">C23-C55</f>
        <v>0.3722</v>
      </c>
      <c r="D87" s="7" t="n">
        <f aca="false">D23-D55</f>
        <v>0.2548</v>
      </c>
      <c r="E87" s="7" t="n">
        <f aca="false">E23-E55</f>
        <v>-0.0699</v>
      </c>
      <c r="F87" s="7" t="n">
        <f aca="false">F23-F55</f>
        <v>0.0503</v>
      </c>
      <c r="G87" s="7" t="n">
        <f aca="false">G23-G55</f>
        <v>0.0013</v>
      </c>
      <c r="H87" s="7" t="n">
        <f aca="false">H23-H55</f>
        <v>9.99999999999999E-005</v>
      </c>
    </row>
    <row r="88" customFormat="false" ht="15" hidden="false" customHeight="false" outlineLevel="0" collapsed="false">
      <c r="A88" s="4" t="n">
        <v>2034</v>
      </c>
      <c r="B88" s="7" t="n">
        <f aca="false">B24-B56</f>
        <v>2.1767</v>
      </c>
      <c r="C88" s="7" t="n">
        <f aca="false">C24-C56</f>
        <v>0.3917</v>
      </c>
      <c r="D88" s="7" t="n">
        <f aca="false">D24-D56</f>
        <v>0.2682</v>
      </c>
      <c r="E88" s="7" t="n">
        <f aca="false">E24-E56</f>
        <v>-0.0835</v>
      </c>
      <c r="F88" s="7" t="n">
        <f aca="false">F24-F56</f>
        <v>0.0484</v>
      </c>
      <c r="G88" s="7" t="n">
        <f aca="false">G24-G56</f>
        <v>-0.000699999999999999</v>
      </c>
      <c r="H88" s="7" t="n">
        <f aca="false">H24-H56</f>
        <v>0.0002</v>
      </c>
    </row>
    <row r="89" customFormat="false" ht="15" hidden="false" customHeight="false" outlineLevel="0" collapsed="false">
      <c r="A89" s="4" t="n">
        <v>2035</v>
      </c>
      <c r="B89" s="7" t="n">
        <f aca="false">B25-B57</f>
        <v>2.2889</v>
      </c>
      <c r="C89" s="7" t="n">
        <f aca="false">C25-C57</f>
        <v>0.4119</v>
      </c>
      <c r="D89" s="7" t="n">
        <f aca="false">D25-D57</f>
        <v>0.2821</v>
      </c>
      <c r="E89" s="7" t="n">
        <f aca="false">E25-E57</f>
        <v>-0.0985</v>
      </c>
      <c r="F89" s="7" t="n">
        <f aca="false">F25-F57</f>
        <v>0.0464</v>
      </c>
      <c r="G89" s="7" t="n">
        <f aca="false">G25-G57</f>
        <v>-0.0139</v>
      </c>
      <c r="H89" s="7" t="n">
        <f aca="false">H25-H57</f>
        <v>0.0002</v>
      </c>
    </row>
    <row r="90" customFormat="false" ht="15" hidden="false" customHeight="false" outlineLevel="0" collapsed="false">
      <c r="A90" s="4" t="n">
        <v>2036</v>
      </c>
      <c r="B90" s="7" t="n">
        <f aca="false">B26-B58</f>
        <v>2.3331</v>
      </c>
      <c r="C90" s="7" t="n">
        <f aca="false">C26-C58</f>
        <v>0.4198</v>
      </c>
      <c r="D90" s="7" t="n">
        <f aca="false">D26-D58</f>
        <v>0.2877</v>
      </c>
      <c r="E90" s="7" t="n">
        <f aca="false">E26-E58</f>
        <v>-0.1011</v>
      </c>
      <c r="F90" s="7" t="n">
        <f aca="false">F26-F58</f>
        <v>0.0445</v>
      </c>
      <c r="G90" s="7" t="n">
        <f aca="false">G26-G58</f>
        <v>-0.0143</v>
      </c>
      <c r="H90" s="7" t="n">
        <f aca="false">H26-H58</f>
        <v>0.0002</v>
      </c>
    </row>
    <row r="91" customFormat="false" ht="15" hidden="false" customHeight="false" outlineLevel="0" collapsed="false">
      <c r="A91" s="4" t="n">
        <v>2037</v>
      </c>
      <c r="B91" s="7" t="n">
        <f aca="false">B27-B59</f>
        <v>2.3777</v>
      </c>
      <c r="C91" s="7" t="n">
        <f aca="false">C27-C59</f>
        <v>0.4279</v>
      </c>
      <c r="D91" s="7" t="n">
        <f aca="false">D27-D59</f>
        <v>0.2933</v>
      </c>
      <c r="E91" s="7" t="n">
        <f aca="false">E27-E59</f>
        <v>-0.1037</v>
      </c>
      <c r="F91" s="7" t="n">
        <f aca="false">F27-F59</f>
        <v>0.0425</v>
      </c>
      <c r="G91" s="7" t="n">
        <f aca="false">G27-G59</f>
        <v>-0.0153</v>
      </c>
      <c r="H91" s="7" t="n">
        <f aca="false">H27-H59</f>
        <v>0.0002</v>
      </c>
    </row>
    <row r="92" customFormat="false" ht="15" hidden="false" customHeight="false" outlineLevel="0" collapsed="false">
      <c r="A92" s="4" t="n">
        <v>2038</v>
      </c>
      <c r="B92" s="7" t="n">
        <f aca="false">B28-B60</f>
        <v>2.4227</v>
      </c>
      <c r="C92" s="7" t="n">
        <f aca="false">C28-C60</f>
        <v>0.4359</v>
      </c>
      <c r="D92" s="7" t="n">
        <f aca="false">D28-D60</f>
        <v>0.299</v>
      </c>
      <c r="E92" s="7" t="n">
        <f aca="false">E28-E60</f>
        <v>-0.1063</v>
      </c>
      <c r="F92" s="7" t="n">
        <f aca="false">F28-F60</f>
        <v>0.041</v>
      </c>
      <c r="G92" s="7" t="n">
        <f aca="false">G28-G60</f>
        <v>-0.0164</v>
      </c>
      <c r="H92" s="7" t="n">
        <f aca="false">H28-H60</f>
        <v>0.0001</v>
      </c>
    </row>
    <row r="93" customFormat="false" ht="15" hidden="false" customHeight="false" outlineLevel="0" collapsed="false">
      <c r="A93" s="4" t="n">
        <v>2039</v>
      </c>
      <c r="B93" s="7" t="n">
        <f aca="false">B29-B61</f>
        <v>2.468</v>
      </c>
      <c r="C93" s="7" t="n">
        <f aca="false">C29-C61</f>
        <v>0.4441</v>
      </c>
      <c r="D93" s="7" t="n">
        <f aca="false">D29-D61</f>
        <v>0.3047</v>
      </c>
      <c r="E93" s="7" t="n">
        <f aca="false">E29-E61</f>
        <v>-0.109</v>
      </c>
      <c r="F93" s="7" t="n">
        <f aca="false">F29-F61</f>
        <v>0.0376</v>
      </c>
      <c r="G93" s="7" t="n">
        <f aca="false">G29-G61</f>
        <v>-0.0172</v>
      </c>
      <c r="H93" s="7" t="n">
        <f aca="false">H29-H61</f>
        <v>0.0002</v>
      </c>
    </row>
    <row r="94" customFormat="false" ht="15" hidden="false" customHeight="false" outlineLevel="0" collapsed="false">
      <c r="A94" s="4" t="n">
        <v>2040</v>
      </c>
      <c r="B94" s="7" t="n">
        <f aca="false">B30-B62</f>
        <v>2.5137</v>
      </c>
      <c r="C94" s="7" t="n">
        <f aca="false">C30-C62</f>
        <v>0.4523</v>
      </c>
      <c r="D94" s="7" t="n">
        <f aca="false">D30-D62</f>
        <v>0.3105</v>
      </c>
      <c r="E94" s="7" t="n">
        <f aca="false">E30-E62</f>
        <v>-0.1117</v>
      </c>
      <c r="F94" s="7" t="n">
        <f aca="false">F30-F62</f>
        <v>0.0041</v>
      </c>
      <c r="G94" s="7" t="n">
        <f aca="false">G30-G62</f>
        <v>-0.0098</v>
      </c>
      <c r="H94" s="7" t="n">
        <f aca="false">H30-H62</f>
        <v>0.0002</v>
      </c>
    </row>
    <row r="95" customFormat="false" ht="15" hidden="false" customHeight="false" outlineLevel="0" collapsed="false">
      <c r="A95" s="4" t="n">
        <v>2041</v>
      </c>
      <c r="B95" s="7" t="n">
        <f aca="false">B31-B63</f>
        <v>2.5604</v>
      </c>
      <c r="C95" s="7" t="n">
        <f aca="false">C31-C63</f>
        <v>0.4607</v>
      </c>
      <c r="D95" s="7" t="n">
        <f aca="false">D31-D63</f>
        <v>0.3164</v>
      </c>
      <c r="E95" s="7" t="n">
        <f aca="false">E31-E63</f>
        <v>-0.1144</v>
      </c>
      <c r="F95" s="7" t="n">
        <f aca="false">F31-F63</f>
        <v>0.0044</v>
      </c>
      <c r="G95" s="7" t="n">
        <f aca="false">G31-G63</f>
        <v>-0.0109</v>
      </c>
      <c r="H95" s="7" t="n">
        <f aca="false">H31-H63</f>
        <v>0.0002</v>
      </c>
    </row>
    <row r="96" customFormat="false" ht="15" hidden="false" customHeight="false" outlineLevel="0" collapsed="false">
      <c r="A96" s="4" t="n">
        <v>2042</v>
      </c>
      <c r="B96" s="7" t="n">
        <f aca="false">B32-B64</f>
        <v>2.6079</v>
      </c>
      <c r="C96" s="7" t="n">
        <f aca="false">C32-C64</f>
        <v>0.4693</v>
      </c>
      <c r="D96" s="7" t="n">
        <f aca="false">D32-D64</f>
        <v>0.3224</v>
      </c>
      <c r="E96" s="7" t="n">
        <f aca="false">E32-E64</f>
        <v>-0.1172</v>
      </c>
      <c r="F96" s="7" t="n">
        <f aca="false">F32-F64</f>
        <v>0.0046</v>
      </c>
      <c r="G96" s="7" t="n">
        <f aca="false">G32-G64</f>
        <v>-0.0115</v>
      </c>
      <c r="H96" s="7" t="n">
        <f aca="false">H32-H64</f>
        <v>0.0002</v>
      </c>
    </row>
    <row r="97" customFormat="false" ht="15" hidden="false" customHeight="false" outlineLevel="0" collapsed="false">
      <c r="A97" s="4" t="n">
        <v>2043</v>
      </c>
      <c r="B97" s="7" t="n">
        <f aca="false">B33-B65</f>
        <v>2.6565</v>
      </c>
      <c r="C97" s="7" t="n">
        <f aca="false">C33-C65</f>
        <v>0.478</v>
      </c>
      <c r="D97" s="7" t="n">
        <f aca="false">D33-D65</f>
        <v>0.3286</v>
      </c>
      <c r="E97" s="7" t="n">
        <f aca="false">E33-E65</f>
        <v>-0.1201</v>
      </c>
      <c r="F97" s="7" t="n">
        <f aca="false">F33-F65</f>
        <v>0.0049</v>
      </c>
      <c r="G97" s="7" t="n">
        <f aca="false">G33-G65</f>
        <v>-0.0116</v>
      </c>
      <c r="H97" s="7" t="n">
        <f aca="false">H33-H65</f>
        <v>0.0002</v>
      </c>
    </row>
    <row r="98" customFormat="false" ht="15" hidden="false" customHeight="false" outlineLevel="0" collapsed="false">
      <c r="A98" s="4" t="n">
        <v>2044</v>
      </c>
      <c r="B98" s="7" t="n">
        <f aca="false">B34-B66</f>
        <v>2.706</v>
      </c>
      <c r="C98" s="7" t="n">
        <f aca="false">C34-C66</f>
        <v>0.4869</v>
      </c>
      <c r="D98" s="7" t="n">
        <f aca="false">D34-D66</f>
        <v>0.3349</v>
      </c>
      <c r="E98" s="7" t="n">
        <f aca="false">E34-E66</f>
        <v>-0.123</v>
      </c>
      <c r="F98" s="7" t="n">
        <f aca="false">F34-F66</f>
        <v>0.0033</v>
      </c>
      <c r="G98" s="7" t="n">
        <f aca="false">G34-G66</f>
        <v>-0.0113</v>
      </c>
      <c r="H98" s="7" t="n">
        <f aca="false">H34-H66</f>
        <v>0.0002</v>
      </c>
    </row>
    <row r="99" customFormat="false" ht="15" hidden="false" customHeight="false" outlineLevel="0" collapsed="false">
      <c r="A99" s="4" t="n">
        <v>2045</v>
      </c>
      <c r="B99" s="7" t="n">
        <f aca="false">B35-B67</f>
        <v>2.7565</v>
      </c>
      <c r="C99" s="7" t="n">
        <f aca="false">C35-C67</f>
        <v>0.496</v>
      </c>
      <c r="D99" s="7" t="n">
        <f aca="false">D35-D67</f>
        <v>0.3413</v>
      </c>
      <c r="E99" s="7" t="n">
        <f aca="false">E35-E67</f>
        <v>-0.126</v>
      </c>
      <c r="F99" s="7" t="n">
        <f aca="false">F35-F67</f>
        <v>0.0016</v>
      </c>
      <c r="G99" s="7" t="n">
        <f aca="false">G35-G67</f>
        <v>-0.0101</v>
      </c>
      <c r="H99" s="7" t="n">
        <f aca="false">H35-H67</f>
        <v>0.0002</v>
      </c>
    </row>
    <row r="100" customFormat="false" ht="15" hidden="false" customHeight="false" outlineLevel="0" collapsed="false">
      <c r="A100" s="4" t="n">
        <v>2046</v>
      </c>
      <c r="B100" s="7" t="n">
        <f aca="false">B36-B68</f>
        <v>2.8081</v>
      </c>
      <c r="C100" s="7" t="n">
        <f aca="false">C36-C68</f>
        <v>0.5053</v>
      </c>
      <c r="D100" s="7" t="n">
        <f aca="false">D36-D68</f>
        <v>0.3479</v>
      </c>
      <c r="E100" s="7" t="n">
        <f aca="false">E36-E68</f>
        <v>-0.129</v>
      </c>
      <c r="F100" s="7" t="n">
        <f aca="false">F36-F68</f>
        <v>0.0016</v>
      </c>
      <c r="G100" s="7" t="n">
        <f aca="false">G36-G68</f>
        <v>-0.0105</v>
      </c>
      <c r="H100" s="7" t="n">
        <f aca="false">H36-H68</f>
        <v>0.0002</v>
      </c>
    </row>
    <row r="101" customFormat="false" ht="15" hidden="false" customHeight="false" outlineLevel="0" collapsed="false">
      <c r="A101" s="4" t="n">
        <v>2047</v>
      </c>
      <c r="B101" s="7" t="n">
        <f aca="false">B37-B69</f>
        <v>2.8608</v>
      </c>
      <c r="C101" s="7" t="n">
        <f aca="false">C37-C69</f>
        <v>0.5148</v>
      </c>
      <c r="D101" s="7" t="n">
        <f aca="false">D37-D69</f>
        <v>0.3546</v>
      </c>
      <c r="E101" s="7" t="n">
        <f aca="false">E37-E69</f>
        <v>-0.1321</v>
      </c>
      <c r="F101" s="7" t="n">
        <f aca="false">F37-F69</f>
        <v>0.0016</v>
      </c>
      <c r="G101" s="7" t="n">
        <f aca="false">G37-G69</f>
        <v>-0.0111</v>
      </c>
      <c r="H101" s="7" t="n">
        <f aca="false">H37-H69</f>
        <v>0.0003</v>
      </c>
    </row>
    <row r="102" customFormat="false" ht="15" hidden="false" customHeight="false" outlineLevel="0" collapsed="false">
      <c r="A102" s="4" t="n">
        <v>2048</v>
      </c>
      <c r="B102" s="7" t="n">
        <f aca="false">B38-B70</f>
        <v>2.9145</v>
      </c>
      <c r="C102" s="7" t="n">
        <f aca="false">C38-C70</f>
        <v>0.5244</v>
      </c>
      <c r="D102" s="7" t="n">
        <f aca="false">D38-D70</f>
        <v>0.3614</v>
      </c>
      <c r="E102" s="7" t="n">
        <f aca="false">E38-E70</f>
        <v>-0.1352</v>
      </c>
      <c r="F102" s="7" t="n">
        <f aca="false">F38-F70</f>
        <v>0.0016</v>
      </c>
      <c r="G102" s="7" t="n">
        <f aca="false">G38-G70</f>
        <v>-0.0115</v>
      </c>
      <c r="H102" s="7" t="n">
        <f aca="false">H38-H70</f>
        <v>0.0002</v>
      </c>
    </row>
    <row r="103" customFormat="false" ht="15" hidden="false" customHeight="false" outlineLevel="0" collapsed="false">
      <c r="A103" s="4" t="n">
        <v>2049</v>
      </c>
      <c r="B103" s="7" t="n">
        <f aca="false">B39-B71</f>
        <v>2.9693</v>
      </c>
      <c r="C103" s="7" t="n">
        <f aca="false">C39-C71</f>
        <v>0.5343</v>
      </c>
      <c r="D103" s="7" t="n">
        <f aca="false">D39-D71</f>
        <v>0.3684</v>
      </c>
      <c r="E103" s="7" t="n">
        <f aca="false">E39-E71</f>
        <v>-0.1385</v>
      </c>
      <c r="F103" s="7" t="n">
        <f aca="false">F39-F71</f>
        <v>0.0016</v>
      </c>
      <c r="G103" s="7" t="n">
        <f aca="false">G39-G71</f>
        <v>-0.0119</v>
      </c>
      <c r="H103" s="7" t="n">
        <f aca="false">H39-H71</f>
        <v>0.0002</v>
      </c>
    </row>
    <row r="104" customFormat="false" ht="15" hidden="false" customHeight="false" outlineLevel="0" collapsed="false">
      <c r="A104" s="4" t="n">
        <v>2050</v>
      </c>
      <c r="B104" s="7" t="n">
        <f aca="false">B40-B72</f>
        <v>3.0253</v>
      </c>
      <c r="C104" s="7" t="n">
        <f aca="false">C40-C72</f>
        <v>0.5444</v>
      </c>
      <c r="D104" s="7" t="n">
        <f aca="false">D40-D72</f>
        <v>0.3755</v>
      </c>
      <c r="E104" s="7" t="n">
        <f aca="false">E40-E72</f>
        <v>-0.1419</v>
      </c>
      <c r="F104" s="7" t="n">
        <f aca="false">F40-F72</f>
        <v>0.0016</v>
      </c>
      <c r="G104" s="7" t="n">
        <f aca="false">G40-G72</f>
        <v>-0.0123</v>
      </c>
      <c r="H104" s="7" t="n">
        <f aca="false">H40-H72</f>
        <v>0.0002</v>
      </c>
    </row>
    <row r="105" customFormat="false" ht="15" hidden="false" customHeight="false" outlineLevel="0" collapsed="false">
      <c r="A105" s="13" t="s">
        <v>124</v>
      </c>
      <c r="B105" s="11" t="n">
        <f aca="false">SUM(B77:B104)</f>
        <v>52.946</v>
      </c>
      <c r="C105" s="11" t="n">
        <f aca="false">SUM(C77:C104)</f>
        <v>9.5308</v>
      </c>
      <c r="D105" s="11" t="n">
        <f aca="false">SUM(D77:D104)</f>
        <v>6.4705</v>
      </c>
      <c r="E105" s="11" t="n">
        <f aca="false">SUM(E77:E104)</f>
        <v>-2.2698</v>
      </c>
      <c r="F105" s="11" t="n">
        <f aca="false">SUM(F77:F104)</f>
        <v>0.5913</v>
      </c>
      <c r="G105" s="11" t="n">
        <f aca="false">SUM(G77:G104)</f>
        <v>-0.2052</v>
      </c>
      <c r="H105" s="11" t="n">
        <f aca="false">SUM(H77:H104)</f>
        <v>0.0046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7"/>
  </cols>
  <sheetData>
    <row r="1" customFormat="false" ht="15" hidden="false" customHeight="false" outlineLevel="0" collapsed="false">
      <c r="A1" s="13" t="s">
        <v>125</v>
      </c>
    </row>
    <row r="2" customFormat="false" ht="64.15" hidden="false" customHeight="false" outlineLevel="0" collapsed="false">
      <c r="A2" s="19" t="s">
        <v>126</v>
      </c>
    </row>
    <row r="3" customFormat="false" ht="105.95" hidden="false" customHeight="false" outlineLevel="0" collapsed="false">
      <c r="A3" s="19" t="s">
        <v>127</v>
      </c>
    </row>
    <row r="4" customFormat="false" ht="74.6" hidden="false" customHeight="false" outlineLevel="0" collapsed="false">
      <c r="A4" s="19" t="s">
        <v>128</v>
      </c>
    </row>
    <row r="5" customFormat="false" ht="74.6" hidden="false" customHeight="false" outlineLevel="0" collapsed="false">
      <c r="A5" s="19" t="s">
        <v>129</v>
      </c>
    </row>
    <row r="6" customFormat="false" ht="95.5" hidden="false" customHeight="false" outlineLevel="0" collapsed="false">
      <c r="A6" s="19" t="s">
        <v>130</v>
      </c>
    </row>
    <row r="7" customFormat="false" ht="95.5" hidden="false" customHeight="false" outlineLevel="0" collapsed="false">
      <c r="A7" s="19" t="s">
        <v>131</v>
      </c>
    </row>
    <row r="8" customFormat="false" ht="95.5" hidden="false" customHeight="false" outlineLevel="0" collapsed="false">
      <c r="A8" s="19" t="s">
        <v>132</v>
      </c>
    </row>
    <row r="10" customFormat="false" ht="15" hidden="false" customHeight="false" outlineLevel="0" collapsed="false">
      <c r="A10" s="10" t="s">
        <v>133</v>
      </c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26.85" hidden="false" customHeight="false" outlineLevel="0" collapsed="false">
      <c r="A11" s="3" t="s">
        <v>113</v>
      </c>
      <c r="B11" s="3" t="s">
        <v>134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139</v>
      </c>
      <c r="H11" s="3" t="s">
        <v>140</v>
      </c>
      <c r="I11" s="3" t="s">
        <v>141</v>
      </c>
      <c r="J11" s="3" t="s">
        <v>142</v>
      </c>
    </row>
    <row r="12" customFormat="false" ht="15" hidden="false" customHeight="false" outlineLevel="0" collapsed="false">
      <c r="A12" s="4" t="n">
        <v>2023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</row>
    <row r="13" customFormat="false" ht="15" hidden="false" customHeight="false" outlineLevel="0" collapsed="false">
      <c r="A13" s="4" t="n">
        <v>2024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</row>
    <row r="14" customFormat="false" ht="15" hidden="false" customHeight="false" outlineLevel="0" collapsed="false">
      <c r="A14" s="4" t="n">
        <v>2025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</row>
    <row r="15" customFormat="false" ht="15" hidden="false" customHeight="false" outlineLevel="0" collapsed="false">
      <c r="A15" s="4" t="n">
        <v>2026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0.059</v>
      </c>
      <c r="I15" s="5" t="n">
        <v>0</v>
      </c>
      <c r="J15" s="5" t="n">
        <v>0</v>
      </c>
    </row>
    <row r="16" customFormat="false" ht="15" hidden="false" customHeight="false" outlineLevel="0" collapsed="false">
      <c r="A16" s="4" t="n">
        <v>2027</v>
      </c>
      <c r="B16" s="5" t="n">
        <v>0.3669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0.0652</v>
      </c>
      <c r="I16" s="5" t="n">
        <v>0</v>
      </c>
      <c r="J16" s="5" t="n">
        <v>0.0001</v>
      </c>
    </row>
    <row r="17" customFormat="false" ht="15" hidden="false" customHeight="false" outlineLevel="0" collapsed="false">
      <c r="A17" s="4" t="n">
        <v>2028</v>
      </c>
      <c r="B17" s="5" t="n">
        <v>0.1415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0.0665</v>
      </c>
      <c r="I17" s="5" t="n">
        <v>0</v>
      </c>
      <c r="J17" s="5" t="n">
        <v>0.0001</v>
      </c>
    </row>
    <row r="18" customFormat="false" ht="15" hidden="false" customHeight="false" outlineLevel="0" collapsed="false">
      <c r="A18" s="4" t="n">
        <v>2029</v>
      </c>
      <c r="B18" s="5" t="n">
        <v>0.6409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0.0686</v>
      </c>
      <c r="I18" s="5" t="n">
        <v>0</v>
      </c>
      <c r="J18" s="5" t="n">
        <v>0.0001</v>
      </c>
    </row>
    <row r="19" customFormat="false" ht="15" hidden="false" customHeight="false" outlineLevel="0" collapsed="false">
      <c r="A19" s="4" t="n">
        <v>2030</v>
      </c>
      <c r="B19" s="5" t="n">
        <v>0.141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0.0694</v>
      </c>
      <c r="I19" s="5" t="n">
        <v>0</v>
      </c>
      <c r="J19" s="5" t="n">
        <v>0.0002</v>
      </c>
    </row>
    <row r="20" customFormat="false" ht="15" hidden="false" customHeight="false" outlineLevel="0" collapsed="false">
      <c r="A20" s="4" t="n">
        <v>2031</v>
      </c>
      <c r="B20" s="5" t="n">
        <v>0.1393</v>
      </c>
      <c r="C20" s="5" t="n">
        <v>0.0304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0.0629</v>
      </c>
      <c r="I20" s="5" t="n">
        <v>0</v>
      </c>
      <c r="J20" s="5" t="n">
        <v>0.0072</v>
      </c>
    </row>
    <row r="21" customFormat="false" ht="15" hidden="false" customHeight="false" outlineLevel="0" collapsed="false">
      <c r="A21" s="4" t="n">
        <v>2032</v>
      </c>
      <c r="B21" s="5" t="n">
        <v>0.1376</v>
      </c>
      <c r="C21" s="5" t="n">
        <v>0.04</v>
      </c>
      <c r="D21" s="5" t="n">
        <v>0</v>
      </c>
      <c r="E21" s="5" t="n">
        <v>0.0004</v>
      </c>
      <c r="F21" s="5" t="n">
        <v>0</v>
      </c>
      <c r="G21" s="5" t="n">
        <v>0</v>
      </c>
      <c r="H21" s="5" t="n">
        <v>0.0702</v>
      </c>
      <c r="I21" s="5" t="n">
        <v>0</v>
      </c>
      <c r="J21" s="5" t="n">
        <v>0.0003</v>
      </c>
    </row>
    <row r="22" customFormat="false" ht="15" hidden="false" customHeight="false" outlineLevel="0" collapsed="false">
      <c r="A22" s="4" t="n">
        <v>2033</v>
      </c>
      <c r="B22" s="5" t="n">
        <v>0.6354</v>
      </c>
      <c r="C22" s="5" t="n">
        <v>0.0395</v>
      </c>
      <c r="D22" s="5" t="n">
        <v>0.2295</v>
      </c>
      <c r="E22" s="5" t="n">
        <v>0</v>
      </c>
      <c r="F22" s="5" t="n">
        <v>0</v>
      </c>
      <c r="G22" s="5" t="n">
        <v>0</v>
      </c>
      <c r="H22" s="5" t="n">
        <v>0.0715</v>
      </c>
      <c r="I22" s="5" t="n">
        <v>0</v>
      </c>
      <c r="J22" s="5" t="n">
        <v>0.0003</v>
      </c>
    </row>
    <row r="23" customFormat="false" ht="15" hidden="false" customHeight="false" outlineLevel="0" collapsed="false">
      <c r="A23" s="4" t="n">
        <v>2034</v>
      </c>
      <c r="B23" s="5" t="n">
        <v>1.0887</v>
      </c>
      <c r="C23" s="5" t="n">
        <v>0.039</v>
      </c>
      <c r="D23" s="5" t="n">
        <v>0.2659</v>
      </c>
      <c r="E23" s="5" t="n">
        <v>0</v>
      </c>
      <c r="F23" s="5" t="n">
        <v>0</v>
      </c>
      <c r="G23" s="5" t="n">
        <v>0.2052</v>
      </c>
      <c r="H23" s="5" t="n">
        <v>0.0722</v>
      </c>
      <c r="I23" s="5" t="n">
        <v>0</v>
      </c>
      <c r="J23" s="5" t="n">
        <v>0.0003</v>
      </c>
    </row>
    <row r="24" customFormat="false" ht="15" hidden="false" customHeight="false" outlineLevel="0" collapsed="false">
      <c r="A24" s="4" t="n">
        <v>2035</v>
      </c>
      <c r="B24" s="5" t="n">
        <v>2.324</v>
      </c>
      <c r="C24" s="5" t="n">
        <v>0.0384</v>
      </c>
      <c r="D24" s="5" t="n">
        <v>0.2685</v>
      </c>
      <c r="E24" s="5" t="n">
        <v>0</v>
      </c>
      <c r="F24" s="5" t="n">
        <v>0.9421</v>
      </c>
      <c r="G24" s="5" t="n">
        <v>0.0098</v>
      </c>
      <c r="H24" s="5" t="n">
        <v>0.0729</v>
      </c>
      <c r="I24" s="5" t="n">
        <v>0</v>
      </c>
      <c r="J24" s="5" t="n">
        <v>0.0003</v>
      </c>
    </row>
    <row r="25" customFormat="false" ht="15" hidden="false" customHeight="false" outlineLevel="0" collapsed="false">
      <c r="A25" s="4" t="n">
        <v>2036</v>
      </c>
      <c r="B25" s="5" t="n">
        <v>1.1072</v>
      </c>
      <c r="C25" s="5" t="n">
        <v>0.0369</v>
      </c>
      <c r="D25" s="5" t="n">
        <v>1.6762</v>
      </c>
      <c r="E25" s="5" t="n">
        <v>0</v>
      </c>
      <c r="F25" s="5" t="n">
        <v>0.0182</v>
      </c>
      <c r="G25" s="5" t="n">
        <v>0.0099</v>
      </c>
      <c r="H25" s="5" t="n">
        <v>0.0725</v>
      </c>
      <c r="I25" s="5" t="n">
        <v>0</v>
      </c>
      <c r="J25" s="5" t="n">
        <v>0.0003</v>
      </c>
    </row>
    <row r="26" customFormat="false" ht="15" hidden="false" customHeight="false" outlineLevel="0" collapsed="false">
      <c r="A26" s="4" t="n">
        <v>2037</v>
      </c>
      <c r="B26" s="5" t="n">
        <v>0.6161</v>
      </c>
      <c r="C26" s="5" t="n">
        <v>0</v>
      </c>
      <c r="D26" s="5" t="n">
        <v>0.2735</v>
      </c>
      <c r="E26" s="5" t="n">
        <v>0</v>
      </c>
      <c r="F26" s="5" t="n">
        <v>0.0183</v>
      </c>
      <c r="G26" s="5" t="n">
        <v>0.01</v>
      </c>
      <c r="H26" s="5" t="n">
        <v>0.0357</v>
      </c>
      <c r="I26" s="5" t="n">
        <v>0</v>
      </c>
      <c r="J26" s="5" t="n">
        <v>0.0003</v>
      </c>
    </row>
    <row r="27" customFormat="false" ht="15" hidden="false" customHeight="false" outlineLevel="0" collapsed="false">
      <c r="A27" s="4" t="n">
        <v>2038</v>
      </c>
      <c r="B27" s="5" t="n">
        <v>0.1734</v>
      </c>
      <c r="C27" s="5" t="n">
        <v>0</v>
      </c>
      <c r="D27" s="5" t="n">
        <v>0.2759</v>
      </c>
      <c r="E27" s="5" t="n">
        <v>0</v>
      </c>
      <c r="F27" s="5" t="n">
        <v>0.0185</v>
      </c>
      <c r="G27" s="5" t="n">
        <v>0.0101</v>
      </c>
      <c r="H27" s="5" t="n">
        <v>0.0336</v>
      </c>
      <c r="I27" s="5" t="n">
        <v>0</v>
      </c>
      <c r="J27" s="5" t="n">
        <v>0.0003</v>
      </c>
    </row>
    <row r="28" customFormat="false" ht="15" hidden="false" customHeight="false" outlineLevel="0" collapsed="false">
      <c r="A28" s="4" t="n">
        <v>2039</v>
      </c>
      <c r="B28" s="5" t="n">
        <v>0.2577</v>
      </c>
      <c r="C28" s="5" t="n">
        <v>0</v>
      </c>
      <c r="D28" s="5" t="n">
        <v>0.2782</v>
      </c>
      <c r="E28" s="5" t="n">
        <v>0</v>
      </c>
      <c r="F28" s="5" t="n">
        <v>0.0187</v>
      </c>
      <c r="G28" s="5" t="n">
        <v>0.0101</v>
      </c>
      <c r="H28" s="5" t="n">
        <v>0.0364</v>
      </c>
      <c r="I28" s="5" t="n">
        <v>0</v>
      </c>
      <c r="J28" s="5" t="n">
        <v>0.0003</v>
      </c>
    </row>
    <row r="29" customFormat="false" ht="15" hidden="false" customHeight="false" outlineLevel="0" collapsed="false">
      <c r="A29" s="4" t="n">
        <v>2040</v>
      </c>
      <c r="B29" s="5" t="n">
        <v>0.1648</v>
      </c>
      <c r="C29" s="5" t="n">
        <v>0</v>
      </c>
      <c r="D29" s="5" t="n">
        <v>0.2805</v>
      </c>
      <c r="E29" s="5" t="n">
        <v>0.0073</v>
      </c>
      <c r="F29" s="5" t="n">
        <v>0.0188</v>
      </c>
      <c r="G29" s="5" t="n">
        <v>0.0102</v>
      </c>
      <c r="H29" s="5" t="n">
        <v>1.194</v>
      </c>
      <c r="I29" s="5" t="n">
        <v>0</v>
      </c>
      <c r="J29" s="5" t="n">
        <v>0.0003</v>
      </c>
    </row>
    <row r="30" customFormat="false" ht="15" hidden="false" customHeight="false" outlineLevel="0" collapsed="false">
      <c r="A30" s="4" t="n">
        <v>2041</v>
      </c>
      <c r="B30" s="5" t="n">
        <v>0.1643</v>
      </c>
      <c r="C30" s="5" t="n">
        <v>0</v>
      </c>
      <c r="D30" s="5" t="n">
        <v>0.2861</v>
      </c>
      <c r="E30" s="5" t="n">
        <v>0.0001</v>
      </c>
      <c r="F30" s="5" t="n">
        <v>0.0192</v>
      </c>
      <c r="G30" s="5" t="n">
        <v>0.0104</v>
      </c>
      <c r="H30" s="5" t="n">
        <v>0.0372</v>
      </c>
      <c r="I30" s="5" t="n">
        <v>0</v>
      </c>
      <c r="J30" s="5" t="n">
        <v>0.0004</v>
      </c>
    </row>
    <row r="31" customFormat="false" ht="15" hidden="false" customHeight="false" outlineLevel="0" collapsed="false">
      <c r="A31" s="4" t="n">
        <v>2042</v>
      </c>
      <c r="B31" s="5" t="n">
        <v>0.1637</v>
      </c>
      <c r="C31" s="5" t="n">
        <v>0</v>
      </c>
      <c r="D31" s="5" t="n">
        <v>0.2918</v>
      </c>
      <c r="E31" s="5" t="n">
        <v>0.0001</v>
      </c>
      <c r="F31" s="5" t="n">
        <v>0.0196</v>
      </c>
      <c r="G31" s="5" t="n">
        <v>0.0602</v>
      </c>
      <c r="H31" s="5" t="n">
        <v>0.038</v>
      </c>
      <c r="I31" s="5" t="n">
        <v>0</v>
      </c>
      <c r="J31" s="5" t="n">
        <v>0.0004</v>
      </c>
    </row>
    <row r="32" customFormat="false" ht="15" hidden="false" customHeight="false" outlineLevel="0" collapsed="false">
      <c r="A32" s="4" t="n">
        <v>2043</v>
      </c>
      <c r="B32" s="5" t="n">
        <v>0.1633</v>
      </c>
      <c r="C32" s="5" t="n">
        <v>0</v>
      </c>
      <c r="D32" s="5" t="n">
        <v>0.2978</v>
      </c>
      <c r="E32" s="5" t="n">
        <v>0.0001</v>
      </c>
      <c r="F32" s="5" t="n">
        <v>0.02</v>
      </c>
      <c r="G32" s="5" t="n">
        <v>0.0109</v>
      </c>
      <c r="H32" s="5" t="n">
        <v>0.0388</v>
      </c>
      <c r="I32" s="5" t="n">
        <v>0</v>
      </c>
      <c r="J32" s="5" t="n">
        <v>0.0011</v>
      </c>
    </row>
    <row r="33" customFormat="false" ht="15" hidden="false" customHeight="false" outlineLevel="0" collapsed="false">
      <c r="A33" s="4" t="n">
        <v>2044</v>
      </c>
      <c r="B33" s="5" t="n">
        <v>0.1628</v>
      </c>
      <c r="C33" s="5" t="n">
        <v>0</v>
      </c>
      <c r="D33" s="5" t="n">
        <v>9.7655</v>
      </c>
      <c r="E33" s="5" t="n">
        <v>0.0001</v>
      </c>
      <c r="F33" s="5" t="n">
        <v>0.0204</v>
      </c>
      <c r="G33" s="5" t="n">
        <v>0.0111</v>
      </c>
      <c r="H33" s="5" t="n">
        <v>0.2808</v>
      </c>
      <c r="I33" s="5" t="n">
        <v>0</v>
      </c>
      <c r="J33" s="5" t="n">
        <v>0.0004</v>
      </c>
    </row>
    <row r="34" customFormat="false" ht="15" hidden="false" customHeight="false" outlineLevel="0" collapsed="false">
      <c r="A34" s="4" t="n">
        <v>2045</v>
      </c>
      <c r="B34" s="5" t="n">
        <v>0.4956</v>
      </c>
      <c r="C34" s="5" t="n">
        <v>0.1874</v>
      </c>
      <c r="D34" s="5" t="n">
        <v>0.3101</v>
      </c>
      <c r="E34" s="5" t="n">
        <v>0.0001</v>
      </c>
      <c r="F34" s="5" t="n">
        <v>0.0208</v>
      </c>
      <c r="G34" s="5" t="n">
        <v>0.0113</v>
      </c>
      <c r="H34" s="5" t="n">
        <v>1.0515</v>
      </c>
      <c r="I34" s="5" t="n">
        <v>0</v>
      </c>
      <c r="J34" s="5" t="n">
        <v>0</v>
      </c>
    </row>
    <row r="35" customFormat="false" ht="15" hidden="false" customHeight="false" outlineLevel="0" collapsed="false">
      <c r="A35" s="4" t="n">
        <v>2046</v>
      </c>
      <c r="B35" s="5" t="n">
        <v>0.1465</v>
      </c>
      <c r="C35" s="5" t="n">
        <v>0.1855</v>
      </c>
      <c r="D35" s="5" t="n">
        <v>0.3165</v>
      </c>
      <c r="E35" s="5" t="n">
        <v>0.0001</v>
      </c>
      <c r="F35" s="5" t="n">
        <v>0.0212</v>
      </c>
      <c r="G35" s="5" t="n">
        <v>0.0115</v>
      </c>
      <c r="H35" s="5" t="n">
        <v>0.059</v>
      </c>
      <c r="I35" s="5" t="n">
        <v>0</v>
      </c>
      <c r="J35" s="5" t="n">
        <v>0.0021</v>
      </c>
    </row>
    <row r="36" customFormat="false" ht="15" hidden="false" customHeight="false" outlineLevel="0" collapsed="false">
      <c r="A36" s="4" t="n">
        <v>2047</v>
      </c>
      <c r="B36" s="5" t="n">
        <v>0.3849</v>
      </c>
      <c r="C36" s="5" t="n">
        <v>0.1517</v>
      </c>
      <c r="D36" s="5" t="n">
        <v>0.323</v>
      </c>
      <c r="E36" s="5" t="n">
        <v>0.0002</v>
      </c>
      <c r="F36" s="5" t="n">
        <v>0.0217</v>
      </c>
      <c r="G36" s="5" t="n">
        <v>0.0118</v>
      </c>
      <c r="H36" s="5" t="n">
        <v>0.0536</v>
      </c>
      <c r="I36" s="5" t="n">
        <v>0</v>
      </c>
      <c r="J36" s="5" t="n">
        <v>0.0004</v>
      </c>
    </row>
    <row r="37" customFormat="false" ht="15" hidden="false" customHeight="false" outlineLevel="0" collapsed="false">
      <c r="A37" s="4" t="n">
        <v>2048</v>
      </c>
      <c r="B37" s="5" t="n">
        <v>0.2285</v>
      </c>
      <c r="C37" s="5" t="n">
        <v>0.1928</v>
      </c>
      <c r="D37" s="5" t="n">
        <v>0.3296</v>
      </c>
      <c r="E37" s="5" t="n">
        <v>0.0002</v>
      </c>
      <c r="F37" s="5" t="n">
        <v>0.0221</v>
      </c>
      <c r="G37" s="5" t="n">
        <v>0.012</v>
      </c>
      <c r="H37" s="5" t="n">
        <v>0.0666</v>
      </c>
      <c r="I37" s="5" t="n">
        <v>0.0354</v>
      </c>
      <c r="J37" s="5" t="n">
        <v>0.0004</v>
      </c>
    </row>
    <row r="38" customFormat="false" ht="15" hidden="false" customHeight="false" outlineLevel="0" collapsed="false">
      <c r="A38" s="4" t="n">
        <v>2049</v>
      </c>
      <c r="B38" s="5" t="n">
        <v>0.5368</v>
      </c>
      <c r="C38" s="5" t="n">
        <v>0.0157</v>
      </c>
      <c r="D38" s="5" t="n">
        <v>0.3364</v>
      </c>
      <c r="E38" s="5" t="n">
        <v>0.0002</v>
      </c>
      <c r="F38" s="5" t="n">
        <v>0.0226</v>
      </c>
      <c r="G38" s="5" t="n">
        <v>0.2599</v>
      </c>
      <c r="H38" s="5" t="n">
        <v>0.073</v>
      </c>
      <c r="I38" s="5" t="n">
        <v>0.0919</v>
      </c>
      <c r="J38" s="5" t="n">
        <v>0.0004</v>
      </c>
    </row>
    <row r="39" customFormat="false" ht="15" hidden="false" customHeight="false" outlineLevel="0" collapsed="false">
      <c r="A39" s="4" t="n">
        <v>2050</v>
      </c>
      <c r="B39" s="5" t="n">
        <v>0.2215</v>
      </c>
      <c r="C39" s="5" t="n">
        <v>0.0157</v>
      </c>
      <c r="D39" s="5" t="n">
        <v>0.3433</v>
      </c>
      <c r="E39" s="5" t="n">
        <v>0.0002</v>
      </c>
      <c r="F39" s="5" t="n">
        <v>0.023</v>
      </c>
      <c r="G39" s="5" t="n">
        <v>0.0125</v>
      </c>
      <c r="H39" s="5" t="n">
        <v>0.0745</v>
      </c>
      <c r="I39" s="5" t="n">
        <v>0.1412</v>
      </c>
      <c r="J39" s="5" t="n">
        <v>0.0004</v>
      </c>
    </row>
    <row r="40" customFormat="false" ht="15" hidden="false" customHeight="false" outlineLevel="0" collapsed="false">
      <c r="A40" s="20" t="s">
        <v>143</v>
      </c>
    </row>
    <row r="42" customFormat="false" ht="15" hidden="false" customHeight="false" outlineLevel="0" collapsed="false">
      <c r="A42" s="10" t="s">
        <v>144</v>
      </c>
      <c r="B42" s="12"/>
      <c r="C42" s="12"/>
      <c r="D42" s="12"/>
      <c r="E42" s="12"/>
      <c r="F42" s="12"/>
      <c r="G42" s="12"/>
      <c r="H42" s="12"/>
      <c r="I42" s="12"/>
      <c r="J42" s="12"/>
    </row>
    <row r="43" customFormat="false" ht="26.85" hidden="false" customHeight="false" outlineLevel="0" collapsed="false">
      <c r="A43" s="3" t="s">
        <v>113</v>
      </c>
      <c r="B43" s="3" t="s">
        <v>134</v>
      </c>
      <c r="C43" s="3" t="s">
        <v>135</v>
      </c>
      <c r="D43" s="3" t="s">
        <v>136</v>
      </c>
      <c r="E43" s="3" t="s">
        <v>137</v>
      </c>
      <c r="F43" s="3" t="s">
        <v>138</v>
      </c>
      <c r="G43" s="3" t="s">
        <v>139</v>
      </c>
      <c r="H43" s="3" t="s">
        <v>140</v>
      </c>
      <c r="I43" s="3" t="s">
        <v>141</v>
      </c>
      <c r="J43" s="3" t="s">
        <v>142</v>
      </c>
    </row>
    <row r="44" customFormat="false" ht="15" hidden="false" customHeight="false" outlineLevel="0" collapsed="false">
      <c r="A44" s="4" t="n">
        <v>2023</v>
      </c>
      <c r="B44" s="5" t="n">
        <v>0</v>
      </c>
      <c r="C44" s="5" t="n">
        <v>0</v>
      </c>
      <c r="D44" s="5" t="n">
        <v>0</v>
      </c>
      <c r="E44" s="5" t="n">
        <v>0.0277</v>
      </c>
      <c r="F44" s="5" t="n">
        <v>0</v>
      </c>
      <c r="G44" s="5" t="n">
        <v>0</v>
      </c>
      <c r="H44" s="5" t="n">
        <v>0.0786</v>
      </c>
      <c r="I44" s="5" t="n">
        <v>0</v>
      </c>
      <c r="J44" s="5" t="n">
        <v>0</v>
      </c>
    </row>
    <row r="45" customFormat="false" ht="15" hidden="false" customHeight="false" outlineLevel="0" collapsed="false">
      <c r="A45" s="4" t="n">
        <v>2024</v>
      </c>
      <c r="B45" s="5" t="n">
        <v>1.2973</v>
      </c>
      <c r="C45" s="5" t="n">
        <v>0</v>
      </c>
      <c r="D45" s="5" t="n">
        <v>0</v>
      </c>
      <c r="E45" s="5" t="n">
        <v>0.0056</v>
      </c>
      <c r="F45" s="5" t="n">
        <v>0</v>
      </c>
      <c r="G45" s="5" t="n">
        <v>0</v>
      </c>
      <c r="H45" s="5" t="n">
        <v>0.1902</v>
      </c>
      <c r="I45" s="5" t="n">
        <v>0</v>
      </c>
      <c r="J45" s="5" t="n">
        <v>0</v>
      </c>
    </row>
    <row r="46" customFormat="false" ht="15" hidden="false" customHeight="false" outlineLevel="0" collapsed="false">
      <c r="A46" s="4" t="n">
        <v>2025</v>
      </c>
      <c r="B46" s="5" t="n">
        <v>1.5358</v>
      </c>
      <c r="C46" s="5" t="n">
        <v>0.1048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</row>
    <row r="47" customFormat="false" ht="15" hidden="false" customHeight="false" outlineLevel="0" collapsed="false">
      <c r="A47" s="4" t="n">
        <v>2026</v>
      </c>
      <c r="B47" s="5" t="n">
        <v>0</v>
      </c>
      <c r="C47" s="5" t="n">
        <v>0.4052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</row>
    <row r="48" customFormat="false" ht="15" hidden="false" customHeight="false" outlineLevel="0" collapsed="false">
      <c r="A48" s="4" t="n">
        <v>2027</v>
      </c>
      <c r="B48" s="5" t="n">
        <v>1.6586</v>
      </c>
      <c r="C48" s="5" t="n">
        <v>0.6587</v>
      </c>
      <c r="D48" s="5" t="n">
        <v>0</v>
      </c>
      <c r="E48" s="5" t="n">
        <v>0.0324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</row>
    <row r="49" customFormat="false" ht="15" hidden="false" customHeight="false" outlineLevel="0" collapsed="false">
      <c r="A49" s="4" t="n">
        <v>2028</v>
      </c>
      <c r="B49" s="5" t="n">
        <v>1.4082</v>
      </c>
      <c r="C49" s="5" t="n">
        <v>1.399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</row>
    <row r="50" customFormat="false" ht="15" hidden="false" customHeight="false" outlineLevel="0" collapsed="false">
      <c r="A50" s="4" t="n">
        <v>2029</v>
      </c>
      <c r="B50" s="5" t="n">
        <v>4.789</v>
      </c>
      <c r="C50" s="5" t="n">
        <v>3.3422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</row>
    <row r="51" customFormat="false" ht="15" hidden="false" customHeight="false" outlineLevel="0" collapsed="false">
      <c r="A51" s="4" t="n">
        <v>2030</v>
      </c>
      <c r="B51" s="5" t="n">
        <v>9.9951</v>
      </c>
      <c r="C51" s="5" t="n">
        <v>2.5542</v>
      </c>
      <c r="D51" s="5" t="n">
        <v>0</v>
      </c>
      <c r="E51" s="5" t="n">
        <v>0.0225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</row>
    <row r="52" customFormat="false" ht="15" hidden="false" customHeight="false" outlineLevel="0" collapsed="false">
      <c r="A52" s="4" t="n">
        <v>2031</v>
      </c>
      <c r="B52" s="5" t="n">
        <v>5.9139</v>
      </c>
      <c r="C52" s="5" t="n">
        <v>4.7882</v>
      </c>
      <c r="D52" s="5" t="n">
        <v>0</v>
      </c>
      <c r="E52" s="5" t="n">
        <v>0.0697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</row>
    <row r="53" customFormat="false" ht="15" hidden="false" customHeight="false" outlineLevel="0" collapsed="false">
      <c r="A53" s="4" t="n">
        <v>2032</v>
      </c>
      <c r="B53" s="5" t="n">
        <v>2.7135</v>
      </c>
      <c r="C53" s="5" t="n">
        <v>0</v>
      </c>
      <c r="D53" s="5" t="n">
        <v>0</v>
      </c>
      <c r="E53" s="5" t="n">
        <v>0.0577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0.0001</v>
      </c>
    </row>
    <row r="54" customFormat="false" ht="15" hidden="false" customHeight="false" outlineLevel="0" collapsed="false">
      <c r="A54" s="4" t="n">
        <v>2033</v>
      </c>
      <c r="B54" s="5" t="n">
        <v>0</v>
      </c>
      <c r="C54" s="5" t="n">
        <v>0</v>
      </c>
      <c r="D54" s="5" t="n">
        <v>0</v>
      </c>
      <c r="E54" s="5" t="n">
        <v>0.0076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</row>
    <row r="55" customFormat="false" ht="15" hidden="false" customHeight="false" outlineLevel="0" collapsed="false">
      <c r="A55" s="4" t="n">
        <v>2034</v>
      </c>
      <c r="B55" s="5" t="n">
        <v>0</v>
      </c>
      <c r="C55" s="5" t="n">
        <v>0</v>
      </c>
      <c r="D55" s="5" t="n">
        <v>0</v>
      </c>
      <c r="E55" s="5" t="n">
        <v>0.0256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</row>
    <row r="56" customFormat="false" ht="15" hidden="false" customHeight="false" outlineLevel="0" collapsed="false">
      <c r="A56" s="4" t="n">
        <v>2035</v>
      </c>
      <c r="B56" s="5" t="n">
        <v>0.876</v>
      </c>
      <c r="C56" s="5" t="n">
        <v>1.0333</v>
      </c>
      <c r="D56" s="5" t="n">
        <v>0</v>
      </c>
      <c r="E56" s="5" t="n">
        <v>0.1249</v>
      </c>
      <c r="F56" s="5" t="n">
        <v>0</v>
      </c>
      <c r="G56" s="5" t="n">
        <v>0</v>
      </c>
      <c r="H56" s="5" t="n">
        <v>0.5557</v>
      </c>
      <c r="I56" s="5" t="n">
        <v>0</v>
      </c>
      <c r="J56" s="5" t="n">
        <v>0</v>
      </c>
    </row>
    <row r="57" customFormat="false" ht="15" hidden="false" customHeight="false" outlineLevel="0" collapsed="false">
      <c r="A57" s="4" t="n">
        <v>2036</v>
      </c>
      <c r="B57" s="5" t="n">
        <v>2.3171</v>
      </c>
      <c r="C57" s="5" t="n">
        <v>0.6842</v>
      </c>
      <c r="D57" s="5" t="n">
        <v>0</v>
      </c>
      <c r="E57" s="5" t="n">
        <v>0.0353</v>
      </c>
      <c r="F57" s="5" t="n">
        <v>0</v>
      </c>
      <c r="G57" s="5" t="n">
        <v>0</v>
      </c>
      <c r="H57" s="5" t="n">
        <v>0.055</v>
      </c>
      <c r="I57" s="5" t="n">
        <v>0</v>
      </c>
      <c r="J57" s="5" t="n">
        <v>0</v>
      </c>
    </row>
    <row r="58" customFormat="false" ht="15" hidden="false" customHeight="false" outlineLevel="0" collapsed="false">
      <c r="A58" s="4" t="n">
        <v>2037</v>
      </c>
      <c r="B58" s="5" t="n">
        <v>1.8671</v>
      </c>
      <c r="C58" s="5" t="n">
        <v>0.7928</v>
      </c>
      <c r="D58" s="5" t="n">
        <v>0</v>
      </c>
      <c r="E58" s="5" t="n">
        <v>0.0353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</row>
    <row r="59" customFormat="false" ht="15" hidden="false" customHeight="false" outlineLevel="0" collapsed="false">
      <c r="A59" s="4" t="n">
        <v>2038</v>
      </c>
      <c r="B59" s="5" t="n">
        <v>1.3362</v>
      </c>
      <c r="C59" s="5" t="n">
        <v>0.7897</v>
      </c>
      <c r="D59" s="5" t="n">
        <v>0</v>
      </c>
      <c r="E59" s="5" t="n">
        <v>0.0113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</row>
    <row r="60" customFormat="false" ht="15" hidden="false" customHeight="false" outlineLevel="0" collapsed="false">
      <c r="A60" s="4" t="n">
        <v>2039</v>
      </c>
      <c r="B60" s="5" t="n">
        <v>1.2759</v>
      </c>
      <c r="C60" s="5" t="n">
        <v>0.3217</v>
      </c>
      <c r="D60" s="5" t="n">
        <v>0</v>
      </c>
      <c r="E60" s="5" t="n">
        <v>0.0117</v>
      </c>
      <c r="F60" s="5" t="n">
        <v>0</v>
      </c>
      <c r="G60" s="5" t="n">
        <v>0</v>
      </c>
      <c r="H60" s="5" t="n">
        <v>0.3761</v>
      </c>
      <c r="I60" s="5" t="n">
        <v>0</v>
      </c>
      <c r="J60" s="5" t="n">
        <v>0</v>
      </c>
    </row>
    <row r="61" customFormat="false" ht="15" hidden="false" customHeight="false" outlineLevel="0" collapsed="false">
      <c r="A61" s="4" t="n">
        <v>2040</v>
      </c>
      <c r="B61" s="5" t="n">
        <v>0.94</v>
      </c>
      <c r="C61" s="5" t="n">
        <v>0.4276</v>
      </c>
      <c r="D61" s="5" t="n">
        <v>0</v>
      </c>
      <c r="E61" s="5" t="n">
        <v>0.1639</v>
      </c>
      <c r="F61" s="5" t="n">
        <v>0</v>
      </c>
      <c r="G61" s="5" t="n">
        <v>0</v>
      </c>
      <c r="H61" s="5" t="n">
        <v>0.5107</v>
      </c>
      <c r="I61" s="5" t="n">
        <v>0</v>
      </c>
      <c r="J61" s="5" t="n">
        <v>0</v>
      </c>
    </row>
    <row r="62" customFormat="false" ht="15" hidden="false" customHeight="false" outlineLevel="0" collapsed="false">
      <c r="A62" s="4" t="n">
        <v>2041</v>
      </c>
      <c r="B62" s="5" t="n">
        <v>1.1637</v>
      </c>
      <c r="C62" s="5" t="n">
        <v>0.2519</v>
      </c>
      <c r="D62" s="5" t="n">
        <v>0</v>
      </c>
      <c r="E62" s="5" t="n">
        <v>0.2757</v>
      </c>
      <c r="F62" s="5" t="n">
        <v>0</v>
      </c>
      <c r="G62" s="5" t="n">
        <v>0</v>
      </c>
      <c r="H62" s="5" t="n">
        <v>0.0811</v>
      </c>
      <c r="I62" s="5" t="n">
        <v>0</v>
      </c>
      <c r="J62" s="5" t="n">
        <v>0.0001</v>
      </c>
    </row>
    <row r="63" customFormat="false" ht="15" hidden="false" customHeight="false" outlineLevel="0" collapsed="false">
      <c r="A63" s="4" t="n">
        <v>2042</v>
      </c>
      <c r="B63" s="5" t="n">
        <v>0.842</v>
      </c>
      <c r="C63" s="5" t="n">
        <v>0.4051</v>
      </c>
      <c r="D63" s="5" t="n">
        <v>0</v>
      </c>
      <c r="E63" s="5" t="n">
        <v>0.4408</v>
      </c>
      <c r="F63" s="5" t="n">
        <v>0</v>
      </c>
      <c r="G63" s="5" t="n">
        <v>0</v>
      </c>
      <c r="H63" s="5" t="n">
        <v>0.0607</v>
      </c>
      <c r="I63" s="5" t="n">
        <v>0</v>
      </c>
      <c r="J63" s="5" t="n">
        <v>0.0011</v>
      </c>
    </row>
    <row r="64" customFormat="false" ht="15" hidden="false" customHeight="false" outlineLevel="0" collapsed="false">
      <c r="A64" s="4" t="n">
        <v>2043</v>
      </c>
      <c r="B64" s="5" t="n">
        <v>1.1054</v>
      </c>
      <c r="C64" s="5" t="n">
        <v>0.2347</v>
      </c>
      <c r="D64" s="5" t="n">
        <v>0</v>
      </c>
      <c r="E64" s="5" t="n">
        <v>0.2884</v>
      </c>
      <c r="F64" s="5" t="n">
        <v>0</v>
      </c>
      <c r="G64" s="5" t="n">
        <v>0</v>
      </c>
      <c r="H64" s="5" t="n">
        <v>0.0312</v>
      </c>
      <c r="I64" s="5" t="n">
        <v>0</v>
      </c>
      <c r="J64" s="5" t="n">
        <v>0.001</v>
      </c>
    </row>
    <row r="65" customFormat="false" ht="15" hidden="false" customHeight="false" outlineLevel="0" collapsed="false">
      <c r="A65" s="4" t="n">
        <v>2044</v>
      </c>
      <c r="B65" s="5" t="n">
        <v>1.6293</v>
      </c>
      <c r="C65" s="5" t="n">
        <v>0.3815</v>
      </c>
      <c r="D65" s="5" t="n">
        <v>0</v>
      </c>
      <c r="E65" s="5" t="n">
        <v>0.5692</v>
      </c>
      <c r="F65" s="5" t="n">
        <v>0</v>
      </c>
      <c r="G65" s="5" t="n">
        <v>0</v>
      </c>
      <c r="H65" s="5" t="n">
        <v>0.0757</v>
      </c>
      <c r="I65" s="5" t="n">
        <v>0</v>
      </c>
      <c r="J65" s="5" t="n">
        <v>0</v>
      </c>
    </row>
    <row r="66" customFormat="false" ht="15" hidden="false" customHeight="false" outlineLevel="0" collapsed="false">
      <c r="A66" s="4" t="n">
        <v>2045</v>
      </c>
      <c r="B66" s="5" t="n">
        <v>1.7383</v>
      </c>
      <c r="C66" s="5" t="n">
        <v>0.8065</v>
      </c>
      <c r="D66" s="5" t="n">
        <v>0</v>
      </c>
      <c r="E66" s="5" t="n">
        <v>0.8549</v>
      </c>
      <c r="F66" s="5" t="n">
        <v>0</v>
      </c>
      <c r="G66" s="5" t="n">
        <v>0</v>
      </c>
      <c r="H66" s="5" t="n">
        <v>0.6662</v>
      </c>
      <c r="I66" s="5" t="n">
        <v>0</v>
      </c>
      <c r="J66" s="5" t="n">
        <v>0</v>
      </c>
    </row>
    <row r="67" customFormat="false" ht="15" hidden="false" customHeight="false" outlineLevel="0" collapsed="false">
      <c r="A67" s="4" t="n">
        <v>2046</v>
      </c>
      <c r="B67" s="5" t="n">
        <v>0.8245</v>
      </c>
      <c r="C67" s="5" t="n">
        <v>0.5386</v>
      </c>
      <c r="D67" s="5" t="n">
        <v>0</v>
      </c>
      <c r="E67" s="5" t="n">
        <v>0.3904</v>
      </c>
      <c r="F67" s="5" t="n">
        <v>0</v>
      </c>
      <c r="G67" s="5" t="n">
        <v>0</v>
      </c>
      <c r="H67" s="5" t="n">
        <v>0.0941</v>
      </c>
      <c r="I67" s="5" t="n">
        <v>0</v>
      </c>
      <c r="J67" s="5" t="n">
        <v>0.0059</v>
      </c>
    </row>
    <row r="68" customFormat="false" ht="15" hidden="false" customHeight="false" outlineLevel="0" collapsed="false">
      <c r="A68" s="4" t="n">
        <v>2047</v>
      </c>
      <c r="B68" s="5" t="n">
        <v>1.9013</v>
      </c>
      <c r="C68" s="5" t="n">
        <v>0.488</v>
      </c>
      <c r="D68" s="5" t="n">
        <v>0</v>
      </c>
      <c r="E68" s="5" t="n">
        <v>0.3866</v>
      </c>
      <c r="F68" s="5" t="n">
        <v>0</v>
      </c>
      <c r="G68" s="5" t="n">
        <v>0</v>
      </c>
      <c r="H68" s="5" t="n">
        <v>0.1203</v>
      </c>
      <c r="I68" s="5" t="n">
        <v>0</v>
      </c>
      <c r="J68" s="5" t="n">
        <v>0</v>
      </c>
    </row>
    <row r="69" customFormat="false" ht="15" hidden="false" customHeight="false" outlineLevel="0" collapsed="false">
      <c r="A69" s="4" t="n">
        <v>2048</v>
      </c>
      <c r="B69" s="5" t="n">
        <v>1.8057</v>
      </c>
      <c r="C69" s="5" t="n">
        <v>0.5155</v>
      </c>
      <c r="D69" s="5" t="n">
        <v>0</v>
      </c>
      <c r="E69" s="5" t="n">
        <v>0.3062</v>
      </c>
      <c r="F69" s="5" t="n">
        <v>0</v>
      </c>
      <c r="G69" s="5" t="n">
        <v>0</v>
      </c>
      <c r="H69" s="5" t="n">
        <v>0.0482</v>
      </c>
      <c r="I69" s="5" t="n">
        <v>0</v>
      </c>
      <c r="J69" s="5" t="n">
        <v>0.0006</v>
      </c>
    </row>
    <row r="70" customFormat="false" ht="15" hidden="false" customHeight="false" outlineLevel="0" collapsed="false">
      <c r="A70" s="4" t="n">
        <v>2049</v>
      </c>
      <c r="B70" s="5" t="n">
        <v>3.9469</v>
      </c>
      <c r="C70" s="5" t="n">
        <v>0.322</v>
      </c>
      <c r="D70" s="5" t="n">
        <v>0</v>
      </c>
      <c r="E70" s="5" t="n">
        <v>0.1241</v>
      </c>
      <c r="F70" s="5" t="n">
        <v>0</v>
      </c>
      <c r="G70" s="5" t="n">
        <v>0</v>
      </c>
      <c r="H70" s="5" t="n">
        <v>0.2976</v>
      </c>
      <c r="I70" s="5" t="n">
        <v>0</v>
      </c>
      <c r="J70" s="5" t="n">
        <v>0</v>
      </c>
    </row>
    <row r="71" customFormat="false" ht="15" hidden="false" customHeight="false" outlineLevel="0" collapsed="false">
      <c r="A71" s="4" t="n">
        <v>2050</v>
      </c>
      <c r="B71" s="5" t="n">
        <v>7.257</v>
      </c>
      <c r="C71" s="5" t="n">
        <v>0.3121</v>
      </c>
      <c r="D71" s="5" t="n">
        <v>0</v>
      </c>
      <c r="E71" s="5" t="n">
        <v>0.1741</v>
      </c>
      <c r="F71" s="5" t="n">
        <v>0</v>
      </c>
      <c r="G71" s="5" t="n">
        <v>0</v>
      </c>
      <c r="H71" s="5" t="n">
        <v>0.2105</v>
      </c>
      <c r="I71" s="5" t="n">
        <v>0</v>
      </c>
      <c r="J71" s="5" t="n">
        <v>0</v>
      </c>
    </row>
    <row r="74" customFormat="false" ht="15" hidden="false" customHeight="false" outlineLevel="0" collapsed="false">
      <c r="A74" s="10" t="s">
        <v>145</v>
      </c>
      <c r="B74" s="12"/>
      <c r="C74" s="12"/>
      <c r="D74" s="12"/>
      <c r="E74" s="12"/>
      <c r="F74" s="12"/>
      <c r="G74" s="12"/>
      <c r="H74" s="12"/>
      <c r="I74" s="12"/>
      <c r="J74" s="12"/>
    </row>
    <row r="75" customFormat="false" ht="26.85" hidden="false" customHeight="false" outlineLevel="0" collapsed="false">
      <c r="A75" s="3" t="s">
        <v>113</v>
      </c>
      <c r="B75" s="3" t="s">
        <v>134</v>
      </c>
      <c r="C75" s="3" t="s">
        <v>135</v>
      </c>
      <c r="D75" s="3" t="s">
        <v>136</v>
      </c>
      <c r="E75" s="3" t="s">
        <v>137</v>
      </c>
      <c r="F75" s="3" t="s">
        <v>138</v>
      </c>
      <c r="G75" s="3" t="s">
        <v>139</v>
      </c>
      <c r="H75" s="3" t="s">
        <v>140</v>
      </c>
      <c r="I75" s="3" t="s">
        <v>141</v>
      </c>
      <c r="J75" s="3" t="s">
        <v>142</v>
      </c>
    </row>
    <row r="76" customFormat="false" ht="15" hidden="false" customHeight="false" outlineLevel="0" collapsed="false">
      <c r="A76" s="4" t="n">
        <v>2023</v>
      </c>
      <c r="B76" s="7" t="n">
        <f aca="false">B44-B12</f>
        <v>0</v>
      </c>
      <c r="C76" s="7" t="n">
        <f aca="false">C44-C12</f>
        <v>0</v>
      </c>
      <c r="D76" s="7" t="n">
        <f aca="false">D44-D12</f>
        <v>0</v>
      </c>
      <c r="E76" s="7" t="n">
        <f aca="false">E44-E12</f>
        <v>0.0277</v>
      </c>
      <c r="F76" s="7" t="n">
        <f aca="false">F44-F12</f>
        <v>0</v>
      </c>
      <c r="G76" s="7" t="n">
        <f aca="false">G44-G12</f>
        <v>0</v>
      </c>
      <c r="H76" s="7" t="n">
        <f aca="false">H44-H12</f>
        <v>0.0786</v>
      </c>
      <c r="I76" s="7" t="n">
        <f aca="false">I44-I12</f>
        <v>0</v>
      </c>
      <c r="J76" s="7" t="n">
        <f aca="false">J44-J12</f>
        <v>0</v>
      </c>
    </row>
    <row r="77" customFormat="false" ht="15" hidden="false" customHeight="false" outlineLevel="0" collapsed="false">
      <c r="A77" s="4" t="n">
        <v>2024</v>
      </c>
      <c r="B77" s="7" t="n">
        <f aca="false">B45-B13</f>
        <v>1.2973</v>
      </c>
      <c r="C77" s="7" t="n">
        <f aca="false">C45-C13</f>
        <v>0</v>
      </c>
      <c r="D77" s="7" t="n">
        <f aca="false">D45-D13</f>
        <v>0</v>
      </c>
      <c r="E77" s="7" t="n">
        <f aca="false">E45-E13</f>
        <v>0.0056</v>
      </c>
      <c r="F77" s="7" t="n">
        <f aca="false">F45-F13</f>
        <v>0</v>
      </c>
      <c r="G77" s="7" t="n">
        <f aca="false">G45-G13</f>
        <v>0</v>
      </c>
      <c r="H77" s="7" t="n">
        <f aca="false">H45-H13</f>
        <v>0.1902</v>
      </c>
      <c r="I77" s="7" t="n">
        <f aca="false">I45-I13</f>
        <v>0</v>
      </c>
      <c r="J77" s="7" t="n">
        <f aca="false">J45-J13</f>
        <v>0</v>
      </c>
    </row>
    <row r="78" customFormat="false" ht="15" hidden="false" customHeight="false" outlineLevel="0" collapsed="false">
      <c r="A78" s="4" t="n">
        <v>2025</v>
      </c>
      <c r="B78" s="7" t="n">
        <f aca="false">B46-B14</f>
        <v>1.5358</v>
      </c>
      <c r="C78" s="7" t="n">
        <f aca="false">C46-C14</f>
        <v>0.1048</v>
      </c>
      <c r="D78" s="7" t="n">
        <f aca="false">D46-D14</f>
        <v>0</v>
      </c>
      <c r="E78" s="7" t="n">
        <f aca="false">E46-E14</f>
        <v>0</v>
      </c>
      <c r="F78" s="7" t="n">
        <f aca="false">F46-F14</f>
        <v>0</v>
      </c>
      <c r="G78" s="7" t="n">
        <f aca="false">G46-G14</f>
        <v>0</v>
      </c>
      <c r="H78" s="7" t="n">
        <f aca="false">H46-H14</f>
        <v>0</v>
      </c>
      <c r="I78" s="7" t="n">
        <f aca="false">I46-I14</f>
        <v>0</v>
      </c>
      <c r="J78" s="7" t="n">
        <f aca="false">J46-J14</f>
        <v>0</v>
      </c>
    </row>
    <row r="79" customFormat="false" ht="15" hidden="false" customHeight="false" outlineLevel="0" collapsed="false">
      <c r="A79" s="4" t="n">
        <v>2026</v>
      </c>
      <c r="B79" s="7" t="n">
        <f aca="false">B47-B15</f>
        <v>0</v>
      </c>
      <c r="C79" s="7" t="n">
        <f aca="false">C47-C15</f>
        <v>0.4052</v>
      </c>
      <c r="D79" s="7" t="n">
        <f aca="false">D47-D15</f>
        <v>0</v>
      </c>
      <c r="E79" s="7" t="n">
        <f aca="false">E47-E15</f>
        <v>0</v>
      </c>
      <c r="F79" s="7" t="n">
        <f aca="false">F47-F15</f>
        <v>0</v>
      </c>
      <c r="G79" s="7" t="n">
        <f aca="false">G47-G15</f>
        <v>0</v>
      </c>
      <c r="H79" s="7" t="n">
        <f aca="false">H47-H15</f>
        <v>-0.059</v>
      </c>
      <c r="I79" s="7" t="n">
        <f aca="false">I47-I15</f>
        <v>0</v>
      </c>
      <c r="J79" s="7" t="n">
        <f aca="false">J47-J15</f>
        <v>0</v>
      </c>
    </row>
    <row r="80" customFormat="false" ht="15" hidden="false" customHeight="false" outlineLevel="0" collapsed="false">
      <c r="A80" s="4" t="n">
        <v>2027</v>
      </c>
      <c r="B80" s="7" t="n">
        <f aca="false">B48-B16</f>
        <v>1.2917</v>
      </c>
      <c r="C80" s="7" t="n">
        <f aca="false">C48-C16</f>
        <v>0.6587</v>
      </c>
      <c r="D80" s="7" t="n">
        <f aca="false">D48-D16</f>
        <v>0</v>
      </c>
      <c r="E80" s="7" t="n">
        <f aca="false">E48-E16</f>
        <v>0.0324</v>
      </c>
      <c r="F80" s="7" t="n">
        <f aca="false">F48-F16</f>
        <v>0</v>
      </c>
      <c r="G80" s="7" t="n">
        <f aca="false">G48-G16</f>
        <v>0</v>
      </c>
      <c r="H80" s="7" t="n">
        <f aca="false">H48-H16</f>
        <v>-0.0652</v>
      </c>
      <c r="I80" s="7" t="n">
        <f aca="false">I48-I16</f>
        <v>0</v>
      </c>
      <c r="J80" s="7" t="n">
        <f aca="false">J48-J16</f>
        <v>-0.0001</v>
      </c>
    </row>
    <row r="81" customFormat="false" ht="15" hidden="false" customHeight="false" outlineLevel="0" collapsed="false">
      <c r="A81" s="4" t="n">
        <v>2028</v>
      </c>
      <c r="B81" s="7" t="n">
        <f aca="false">B49-B17</f>
        <v>1.2667</v>
      </c>
      <c r="C81" s="7" t="n">
        <f aca="false">C49-C17</f>
        <v>1.399</v>
      </c>
      <c r="D81" s="7" t="n">
        <f aca="false">D49-D17</f>
        <v>0</v>
      </c>
      <c r="E81" s="7" t="n">
        <f aca="false">E49-E17</f>
        <v>0</v>
      </c>
      <c r="F81" s="7" t="n">
        <f aca="false">F49-F17</f>
        <v>0</v>
      </c>
      <c r="G81" s="7" t="n">
        <f aca="false">G49-G17</f>
        <v>0</v>
      </c>
      <c r="H81" s="7" t="n">
        <f aca="false">H49-H17</f>
        <v>-0.0665</v>
      </c>
      <c r="I81" s="7" t="n">
        <f aca="false">I49-I17</f>
        <v>0</v>
      </c>
      <c r="J81" s="7" t="n">
        <f aca="false">J49-J17</f>
        <v>-0.0001</v>
      </c>
    </row>
    <row r="82" customFormat="false" ht="15" hidden="false" customHeight="false" outlineLevel="0" collapsed="false">
      <c r="A82" s="4" t="n">
        <v>2029</v>
      </c>
      <c r="B82" s="7" t="n">
        <f aca="false">B50-B18</f>
        <v>4.1481</v>
      </c>
      <c r="C82" s="7" t="n">
        <f aca="false">C50-C18</f>
        <v>3.3422</v>
      </c>
      <c r="D82" s="7" t="n">
        <f aca="false">D50-D18</f>
        <v>0</v>
      </c>
      <c r="E82" s="7" t="n">
        <f aca="false">E50-E18</f>
        <v>0</v>
      </c>
      <c r="F82" s="7" t="n">
        <f aca="false">F50-F18</f>
        <v>0</v>
      </c>
      <c r="G82" s="7" t="n">
        <f aca="false">G50-G18</f>
        <v>0</v>
      </c>
      <c r="H82" s="7" t="n">
        <f aca="false">H50-H18</f>
        <v>-0.0686</v>
      </c>
      <c r="I82" s="7" t="n">
        <f aca="false">I50-I18</f>
        <v>0</v>
      </c>
      <c r="J82" s="7" t="n">
        <f aca="false">J50-J18</f>
        <v>-0.0001</v>
      </c>
    </row>
    <row r="83" customFormat="false" ht="15" hidden="false" customHeight="false" outlineLevel="0" collapsed="false">
      <c r="A83" s="4" t="n">
        <v>2030</v>
      </c>
      <c r="B83" s="7" t="n">
        <f aca="false">B51-B19</f>
        <v>9.8541</v>
      </c>
      <c r="C83" s="7" t="n">
        <f aca="false">C51-C19</f>
        <v>2.5542</v>
      </c>
      <c r="D83" s="7" t="n">
        <f aca="false">D51-D19</f>
        <v>0</v>
      </c>
      <c r="E83" s="7" t="n">
        <f aca="false">E51-E19</f>
        <v>0.0225</v>
      </c>
      <c r="F83" s="7" t="n">
        <f aca="false">F51-F19</f>
        <v>0</v>
      </c>
      <c r="G83" s="7" t="n">
        <f aca="false">G51-G19</f>
        <v>0</v>
      </c>
      <c r="H83" s="7" t="n">
        <f aca="false">H51-H19</f>
        <v>-0.0694</v>
      </c>
      <c r="I83" s="7" t="n">
        <f aca="false">I51-I19</f>
        <v>0</v>
      </c>
      <c r="J83" s="7" t="n">
        <f aca="false">J51-J19</f>
        <v>-0.0002</v>
      </c>
    </row>
    <row r="84" customFormat="false" ht="15" hidden="false" customHeight="false" outlineLevel="0" collapsed="false">
      <c r="A84" s="4" t="n">
        <v>2031</v>
      </c>
      <c r="B84" s="7" t="n">
        <f aca="false">B52-B20</f>
        <v>5.7746</v>
      </c>
      <c r="C84" s="7" t="n">
        <f aca="false">C52-C20</f>
        <v>4.7578</v>
      </c>
      <c r="D84" s="7" t="n">
        <f aca="false">D52-D20</f>
        <v>0</v>
      </c>
      <c r="E84" s="7" t="n">
        <f aca="false">E52-E20</f>
        <v>0.0697</v>
      </c>
      <c r="F84" s="7" t="n">
        <f aca="false">F52-F20</f>
        <v>0</v>
      </c>
      <c r="G84" s="7" t="n">
        <f aca="false">G52-G20</f>
        <v>0</v>
      </c>
      <c r="H84" s="7" t="n">
        <f aca="false">H52-H20</f>
        <v>-0.0629</v>
      </c>
      <c r="I84" s="7" t="n">
        <f aca="false">I52-I20</f>
        <v>0</v>
      </c>
      <c r="J84" s="7" t="n">
        <f aca="false">J52-J20</f>
        <v>-0.0072</v>
      </c>
    </row>
    <row r="85" customFormat="false" ht="15" hidden="false" customHeight="false" outlineLevel="0" collapsed="false">
      <c r="A85" s="4" t="n">
        <v>2032</v>
      </c>
      <c r="B85" s="7" t="n">
        <f aca="false">B53-B21</f>
        <v>2.5759</v>
      </c>
      <c r="C85" s="7" t="n">
        <f aca="false">C53-C21</f>
        <v>-0.04</v>
      </c>
      <c r="D85" s="7" t="n">
        <f aca="false">D53-D21</f>
        <v>0</v>
      </c>
      <c r="E85" s="7" t="n">
        <f aca="false">E53-E21</f>
        <v>0.0573</v>
      </c>
      <c r="F85" s="7" t="n">
        <f aca="false">F53-F21</f>
        <v>0</v>
      </c>
      <c r="G85" s="7" t="n">
        <f aca="false">G53-G21</f>
        <v>0</v>
      </c>
      <c r="H85" s="7" t="n">
        <f aca="false">H53-H21</f>
        <v>-0.0702</v>
      </c>
      <c r="I85" s="7" t="n">
        <f aca="false">I53-I21</f>
        <v>0</v>
      </c>
      <c r="J85" s="7" t="n">
        <f aca="false">J53-J21</f>
        <v>-0.0002</v>
      </c>
    </row>
    <row r="86" customFormat="false" ht="15" hidden="false" customHeight="false" outlineLevel="0" collapsed="false">
      <c r="A86" s="4" t="n">
        <v>2033</v>
      </c>
      <c r="B86" s="7" t="n">
        <f aca="false">B54-B22</f>
        <v>-0.6354</v>
      </c>
      <c r="C86" s="7" t="n">
        <f aca="false">C54-C22</f>
        <v>-0.0395</v>
      </c>
      <c r="D86" s="7" t="n">
        <f aca="false">D54-D22</f>
        <v>-0.2295</v>
      </c>
      <c r="E86" s="7" t="n">
        <f aca="false">E54-E22</f>
        <v>0.0076</v>
      </c>
      <c r="F86" s="7" t="n">
        <f aca="false">F54-F22</f>
        <v>0</v>
      </c>
      <c r="G86" s="7" t="n">
        <f aca="false">G54-G22</f>
        <v>0</v>
      </c>
      <c r="H86" s="7" t="n">
        <f aca="false">H54-H22</f>
        <v>-0.0715</v>
      </c>
      <c r="I86" s="7" t="n">
        <f aca="false">I54-I22</f>
        <v>0</v>
      </c>
      <c r="J86" s="7" t="n">
        <f aca="false">J54-J22</f>
        <v>-0.0003</v>
      </c>
    </row>
    <row r="87" customFormat="false" ht="15" hidden="false" customHeight="false" outlineLevel="0" collapsed="false">
      <c r="A87" s="4" t="n">
        <v>2034</v>
      </c>
      <c r="B87" s="7" t="n">
        <f aca="false">B55-B23</f>
        <v>-1.0887</v>
      </c>
      <c r="C87" s="7" t="n">
        <f aca="false">C55-C23</f>
        <v>-0.039</v>
      </c>
      <c r="D87" s="7" t="n">
        <f aca="false">D55-D23</f>
        <v>-0.2659</v>
      </c>
      <c r="E87" s="7" t="n">
        <f aca="false">E55-E23</f>
        <v>0.0256</v>
      </c>
      <c r="F87" s="7" t="n">
        <f aca="false">F55-F23</f>
        <v>0</v>
      </c>
      <c r="G87" s="7" t="n">
        <f aca="false">G55-G23</f>
        <v>-0.2052</v>
      </c>
      <c r="H87" s="7" t="n">
        <f aca="false">H55-H23</f>
        <v>-0.0722</v>
      </c>
      <c r="I87" s="7" t="n">
        <f aca="false">I55-I23</f>
        <v>0</v>
      </c>
      <c r="J87" s="7" t="n">
        <f aca="false">J55-J23</f>
        <v>-0.0003</v>
      </c>
    </row>
    <row r="88" customFormat="false" ht="15" hidden="false" customHeight="false" outlineLevel="0" collapsed="false">
      <c r="A88" s="4" t="n">
        <v>2035</v>
      </c>
      <c r="B88" s="7" t="n">
        <f aca="false">B56-B24</f>
        <v>-1.448</v>
      </c>
      <c r="C88" s="7" t="n">
        <f aca="false">C56-C24</f>
        <v>0.9949</v>
      </c>
      <c r="D88" s="7" t="n">
        <f aca="false">D56-D24</f>
        <v>-0.2685</v>
      </c>
      <c r="E88" s="7" t="n">
        <f aca="false">E56-E24</f>
        <v>0.1249</v>
      </c>
      <c r="F88" s="7" t="n">
        <f aca="false">F56-F24</f>
        <v>-0.9421</v>
      </c>
      <c r="G88" s="7" t="n">
        <f aca="false">G56-G24</f>
        <v>-0.0098</v>
      </c>
      <c r="H88" s="7" t="n">
        <f aca="false">H56-H24</f>
        <v>0.4828</v>
      </c>
      <c r="I88" s="7" t="n">
        <f aca="false">I56-I24</f>
        <v>0</v>
      </c>
      <c r="J88" s="7" t="n">
        <f aca="false">J56-J24</f>
        <v>-0.0003</v>
      </c>
    </row>
    <row r="89" customFormat="false" ht="15" hidden="false" customHeight="false" outlineLevel="0" collapsed="false">
      <c r="A89" s="4" t="n">
        <v>2036</v>
      </c>
      <c r="B89" s="7" t="n">
        <f aca="false">B57-B25</f>
        <v>1.2099</v>
      </c>
      <c r="C89" s="7" t="n">
        <f aca="false">C57-C25</f>
        <v>0.6473</v>
      </c>
      <c r="D89" s="7" t="n">
        <f aca="false">D57-D25</f>
        <v>-1.6762</v>
      </c>
      <c r="E89" s="7" t="n">
        <f aca="false">E57-E25</f>
        <v>0.0353</v>
      </c>
      <c r="F89" s="7" t="n">
        <f aca="false">F57-F25</f>
        <v>-0.0182</v>
      </c>
      <c r="G89" s="7" t="n">
        <f aca="false">G57-G25</f>
        <v>-0.0099</v>
      </c>
      <c r="H89" s="7" t="n">
        <f aca="false">H57-H25</f>
        <v>-0.0175</v>
      </c>
      <c r="I89" s="7" t="n">
        <f aca="false">I57-I25</f>
        <v>0</v>
      </c>
      <c r="J89" s="7" t="n">
        <f aca="false">J57-J25</f>
        <v>-0.0003</v>
      </c>
    </row>
    <row r="90" customFormat="false" ht="15" hidden="false" customHeight="false" outlineLevel="0" collapsed="false">
      <c r="A90" s="4" t="n">
        <v>2037</v>
      </c>
      <c r="B90" s="7" t="n">
        <f aca="false">B58-B26</f>
        <v>1.251</v>
      </c>
      <c r="C90" s="7" t="n">
        <f aca="false">C58-C26</f>
        <v>0.7928</v>
      </c>
      <c r="D90" s="7" t="n">
        <f aca="false">D58-D26</f>
        <v>-0.2735</v>
      </c>
      <c r="E90" s="7" t="n">
        <f aca="false">E58-E26</f>
        <v>0.0353</v>
      </c>
      <c r="F90" s="7" t="n">
        <f aca="false">F58-F26</f>
        <v>-0.0183</v>
      </c>
      <c r="G90" s="7" t="n">
        <f aca="false">G58-G26</f>
        <v>-0.01</v>
      </c>
      <c r="H90" s="7" t="n">
        <f aca="false">H58-H26</f>
        <v>-0.0357</v>
      </c>
      <c r="I90" s="7" t="n">
        <f aca="false">I58-I26</f>
        <v>0</v>
      </c>
      <c r="J90" s="7" t="n">
        <f aca="false">J58-J26</f>
        <v>-0.0003</v>
      </c>
    </row>
    <row r="91" customFormat="false" ht="15" hidden="false" customHeight="false" outlineLevel="0" collapsed="false">
      <c r="A91" s="4" t="n">
        <v>2038</v>
      </c>
      <c r="B91" s="7" t="n">
        <f aca="false">B59-B27</f>
        <v>1.1628</v>
      </c>
      <c r="C91" s="7" t="n">
        <f aca="false">C59-C27</f>
        <v>0.7897</v>
      </c>
      <c r="D91" s="7" t="n">
        <f aca="false">D59-D27</f>
        <v>-0.2759</v>
      </c>
      <c r="E91" s="7" t="n">
        <f aca="false">E59-E27</f>
        <v>0.0113</v>
      </c>
      <c r="F91" s="7" t="n">
        <f aca="false">F59-F27</f>
        <v>-0.0185</v>
      </c>
      <c r="G91" s="7" t="n">
        <f aca="false">G59-G27</f>
        <v>-0.0101</v>
      </c>
      <c r="H91" s="7" t="n">
        <f aca="false">H59-H27</f>
        <v>-0.0336</v>
      </c>
      <c r="I91" s="7" t="n">
        <f aca="false">I59-I27</f>
        <v>0</v>
      </c>
      <c r="J91" s="7" t="n">
        <f aca="false">J59-J27</f>
        <v>-0.0003</v>
      </c>
    </row>
    <row r="92" customFormat="false" ht="15" hidden="false" customHeight="false" outlineLevel="0" collapsed="false">
      <c r="A92" s="4" t="n">
        <v>2039</v>
      </c>
      <c r="B92" s="7" t="n">
        <f aca="false">B60-B28</f>
        <v>1.0182</v>
      </c>
      <c r="C92" s="7" t="n">
        <f aca="false">C60-C28</f>
        <v>0.3217</v>
      </c>
      <c r="D92" s="7" t="n">
        <f aca="false">D60-D28</f>
        <v>-0.2782</v>
      </c>
      <c r="E92" s="7" t="n">
        <f aca="false">E60-E28</f>
        <v>0.0117</v>
      </c>
      <c r="F92" s="7" t="n">
        <f aca="false">F60-F28</f>
        <v>-0.0187</v>
      </c>
      <c r="G92" s="7" t="n">
        <f aca="false">G60-G28</f>
        <v>-0.0101</v>
      </c>
      <c r="H92" s="7" t="n">
        <f aca="false">H60-H28</f>
        <v>0.3397</v>
      </c>
      <c r="I92" s="7" t="n">
        <f aca="false">I60-I28</f>
        <v>0</v>
      </c>
      <c r="J92" s="7" t="n">
        <f aca="false">J60-J28</f>
        <v>-0.0003</v>
      </c>
    </row>
    <row r="93" customFormat="false" ht="15" hidden="false" customHeight="false" outlineLevel="0" collapsed="false">
      <c r="A93" s="4" t="n">
        <v>2040</v>
      </c>
      <c r="B93" s="7" t="n">
        <f aca="false">B61-B29</f>
        <v>0.7752</v>
      </c>
      <c r="C93" s="7" t="n">
        <f aca="false">C61-C29</f>
        <v>0.4276</v>
      </c>
      <c r="D93" s="7" t="n">
        <f aca="false">D61-D29</f>
        <v>-0.2805</v>
      </c>
      <c r="E93" s="7" t="n">
        <f aca="false">E61-E29</f>
        <v>0.1566</v>
      </c>
      <c r="F93" s="7" t="n">
        <f aca="false">F61-F29</f>
        <v>-0.0188</v>
      </c>
      <c r="G93" s="7" t="n">
        <f aca="false">G61-G29</f>
        <v>-0.0102</v>
      </c>
      <c r="H93" s="7" t="n">
        <f aca="false">H61-H29</f>
        <v>-0.6833</v>
      </c>
      <c r="I93" s="7" t="n">
        <f aca="false">I61-I29</f>
        <v>0</v>
      </c>
      <c r="J93" s="7" t="n">
        <f aca="false">J61-J29</f>
        <v>-0.0003</v>
      </c>
    </row>
    <row r="94" customFormat="false" ht="15" hidden="false" customHeight="false" outlineLevel="0" collapsed="false">
      <c r="A94" s="4" t="n">
        <v>2041</v>
      </c>
      <c r="B94" s="7" t="n">
        <f aca="false">B62-B30</f>
        <v>0.9994</v>
      </c>
      <c r="C94" s="7" t="n">
        <f aca="false">C62-C30</f>
        <v>0.2519</v>
      </c>
      <c r="D94" s="7" t="n">
        <f aca="false">D62-D30</f>
        <v>-0.2861</v>
      </c>
      <c r="E94" s="7" t="n">
        <f aca="false">E62-E30</f>
        <v>0.2756</v>
      </c>
      <c r="F94" s="7" t="n">
        <f aca="false">F62-F30</f>
        <v>-0.0192</v>
      </c>
      <c r="G94" s="7" t="n">
        <f aca="false">G62-G30</f>
        <v>-0.0104</v>
      </c>
      <c r="H94" s="7" t="n">
        <f aca="false">H62-H30</f>
        <v>0.0439</v>
      </c>
      <c r="I94" s="7" t="n">
        <f aca="false">I62-I30</f>
        <v>0</v>
      </c>
      <c r="J94" s="7" t="n">
        <f aca="false">J62-J30</f>
        <v>-0.0003</v>
      </c>
    </row>
    <row r="95" customFormat="false" ht="15" hidden="false" customHeight="false" outlineLevel="0" collapsed="false">
      <c r="A95" s="4" t="n">
        <v>2042</v>
      </c>
      <c r="B95" s="7" t="n">
        <f aca="false">B63-B31</f>
        <v>0.6783</v>
      </c>
      <c r="C95" s="7" t="n">
        <f aca="false">C63-C31</f>
        <v>0.4051</v>
      </c>
      <c r="D95" s="7" t="n">
        <f aca="false">D63-D31</f>
        <v>-0.2918</v>
      </c>
      <c r="E95" s="7" t="n">
        <f aca="false">E63-E31</f>
        <v>0.4407</v>
      </c>
      <c r="F95" s="7" t="n">
        <f aca="false">F63-F31</f>
        <v>-0.0196</v>
      </c>
      <c r="G95" s="7" t="n">
        <f aca="false">G63-G31</f>
        <v>-0.0602</v>
      </c>
      <c r="H95" s="7" t="n">
        <f aca="false">H63-H31</f>
        <v>0.0227</v>
      </c>
      <c r="I95" s="7" t="n">
        <f aca="false">I63-I31</f>
        <v>0</v>
      </c>
      <c r="J95" s="7" t="n">
        <f aca="false">J63-J31</f>
        <v>0.0007</v>
      </c>
    </row>
    <row r="96" customFormat="false" ht="15" hidden="false" customHeight="false" outlineLevel="0" collapsed="false">
      <c r="A96" s="4" t="n">
        <v>2043</v>
      </c>
      <c r="B96" s="7" t="n">
        <f aca="false">B64-B32</f>
        <v>0.9421</v>
      </c>
      <c r="C96" s="7" t="n">
        <f aca="false">C64-C32</f>
        <v>0.2347</v>
      </c>
      <c r="D96" s="7" t="n">
        <f aca="false">D64-D32</f>
        <v>-0.2978</v>
      </c>
      <c r="E96" s="7" t="n">
        <f aca="false">E64-E32</f>
        <v>0.2883</v>
      </c>
      <c r="F96" s="7" t="n">
        <f aca="false">F64-F32</f>
        <v>-0.02</v>
      </c>
      <c r="G96" s="7" t="n">
        <f aca="false">G64-G32</f>
        <v>-0.0109</v>
      </c>
      <c r="H96" s="7" t="n">
        <f aca="false">H64-H32</f>
        <v>-0.0076</v>
      </c>
      <c r="I96" s="7" t="n">
        <f aca="false">I64-I32</f>
        <v>0</v>
      </c>
      <c r="J96" s="7" t="n">
        <f aca="false">J64-J32</f>
        <v>-0.0001</v>
      </c>
    </row>
    <row r="97" customFormat="false" ht="15" hidden="false" customHeight="false" outlineLevel="0" collapsed="false">
      <c r="A97" s="4" t="n">
        <v>2044</v>
      </c>
      <c r="B97" s="7" t="n">
        <f aca="false">B65-B33</f>
        <v>1.4665</v>
      </c>
      <c r="C97" s="7" t="n">
        <f aca="false">C65-C33</f>
        <v>0.3815</v>
      </c>
      <c r="D97" s="7" t="n">
        <f aca="false">D65-D33</f>
        <v>-9.7655</v>
      </c>
      <c r="E97" s="7" t="n">
        <f aca="false">E65-E33</f>
        <v>0.5691</v>
      </c>
      <c r="F97" s="7" t="n">
        <f aca="false">F65-F33</f>
        <v>-0.0204</v>
      </c>
      <c r="G97" s="7" t="n">
        <f aca="false">G65-G33</f>
        <v>-0.0111</v>
      </c>
      <c r="H97" s="7" t="n">
        <f aca="false">H65-H33</f>
        <v>-0.2051</v>
      </c>
      <c r="I97" s="7" t="n">
        <f aca="false">I65-I33</f>
        <v>0</v>
      </c>
      <c r="J97" s="7" t="n">
        <f aca="false">J65-J33</f>
        <v>-0.0004</v>
      </c>
    </row>
    <row r="98" customFormat="false" ht="15" hidden="false" customHeight="false" outlineLevel="0" collapsed="false">
      <c r="A98" s="4" t="n">
        <v>2045</v>
      </c>
      <c r="B98" s="7" t="n">
        <f aca="false">B66-B34</f>
        <v>1.2427</v>
      </c>
      <c r="C98" s="7" t="n">
        <f aca="false">C66-C34</f>
        <v>0.6191</v>
      </c>
      <c r="D98" s="7" t="n">
        <f aca="false">D66-D34</f>
        <v>-0.3101</v>
      </c>
      <c r="E98" s="7" t="n">
        <f aca="false">E66-E34</f>
        <v>0.8548</v>
      </c>
      <c r="F98" s="7" t="n">
        <f aca="false">F66-F34</f>
        <v>-0.0208</v>
      </c>
      <c r="G98" s="7" t="n">
        <f aca="false">G66-G34</f>
        <v>-0.0113</v>
      </c>
      <c r="H98" s="7" t="n">
        <f aca="false">H66-H34</f>
        <v>-0.3853</v>
      </c>
      <c r="I98" s="7" t="n">
        <f aca="false">I66-I34</f>
        <v>0</v>
      </c>
      <c r="J98" s="7" t="n">
        <f aca="false">J66-J34</f>
        <v>0</v>
      </c>
    </row>
    <row r="99" customFormat="false" ht="15" hidden="false" customHeight="false" outlineLevel="0" collapsed="false">
      <c r="A99" s="4" t="n">
        <v>2046</v>
      </c>
      <c r="B99" s="7" t="n">
        <f aca="false">B67-B35</f>
        <v>0.678</v>
      </c>
      <c r="C99" s="7" t="n">
        <f aca="false">C67-C35</f>
        <v>0.3531</v>
      </c>
      <c r="D99" s="7" t="n">
        <f aca="false">D67-D35</f>
        <v>-0.3165</v>
      </c>
      <c r="E99" s="7" t="n">
        <f aca="false">E67-E35</f>
        <v>0.3903</v>
      </c>
      <c r="F99" s="7" t="n">
        <f aca="false">F67-F35</f>
        <v>-0.0212</v>
      </c>
      <c r="G99" s="7" t="n">
        <f aca="false">G67-G35</f>
        <v>-0.0115</v>
      </c>
      <c r="H99" s="7" t="n">
        <f aca="false">H67-H35</f>
        <v>0.0351</v>
      </c>
      <c r="I99" s="7" t="n">
        <f aca="false">I67-I35</f>
        <v>0</v>
      </c>
      <c r="J99" s="7" t="n">
        <f aca="false">J67-J35</f>
        <v>0.0038</v>
      </c>
    </row>
    <row r="100" customFormat="false" ht="15" hidden="false" customHeight="false" outlineLevel="0" collapsed="false">
      <c r="A100" s="4" t="n">
        <v>2047</v>
      </c>
      <c r="B100" s="7" t="n">
        <f aca="false">B68-B36</f>
        <v>1.5164</v>
      </c>
      <c r="C100" s="7" t="n">
        <f aca="false">C68-C36</f>
        <v>0.3363</v>
      </c>
      <c r="D100" s="7" t="n">
        <f aca="false">D68-D36</f>
        <v>-0.323</v>
      </c>
      <c r="E100" s="7" t="n">
        <f aca="false">E68-E36</f>
        <v>0.3864</v>
      </c>
      <c r="F100" s="7" t="n">
        <f aca="false">F68-F36</f>
        <v>-0.0217</v>
      </c>
      <c r="G100" s="7" t="n">
        <f aca="false">G68-G36</f>
        <v>-0.0118</v>
      </c>
      <c r="H100" s="7" t="n">
        <f aca="false">H68-H36</f>
        <v>0.0667</v>
      </c>
      <c r="I100" s="7" t="n">
        <f aca="false">I68-I36</f>
        <v>0</v>
      </c>
      <c r="J100" s="7" t="n">
        <f aca="false">J68-J36</f>
        <v>-0.0004</v>
      </c>
    </row>
    <row r="101" customFormat="false" ht="15" hidden="false" customHeight="false" outlineLevel="0" collapsed="false">
      <c r="A101" s="4" t="n">
        <v>2048</v>
      </c>
      <c r="B101" s="7" t="n">
        <f aca="false">B69-B37</f>
        <v>1.5772</v>
      </c>
      <c r="C101" s="7" t="n">
        <f aca="false">C69-C37</f>
        <v>0.3227</v>
      </c>
      <c r="D101" s="7" t="n">
        <f aca="false">D69-D37</f>
        <v>-0.3296</v>
      </c>
      <c r="E101" s="7" t="n">
        <f aca="false">E69-E37</f>
        <v>0.306</v>
      </c>
      <c r="F101" s="7" t="n">
        <f aca="false">F69-F37</f>
        <v>-0.0221</v>
      </c>
      <c r="G101" s="7" t="n">
        <f aca="false">G69-G37</f>
        <v>-0.012</v>
      </c>
      <c r="H101" s="7" t="n">
        <f aca="false">H69-H37</f>
        <v>-0.0184</v>
      </c>
      <c r="I101" s="7" t="n">
        <f aca="false">I69-I37</f>
        <v>-0.0354</v>
      </c>
      <c r="J101" s="7" t="n">
        <f aca="false">J69-J37</f>
        <v>0.0002</v>
      </c>
    </row>
    <row r="102" customFormat="false" ht="15" hidden="false" customHeight="false" outlineLevel="0" collapsed="false">
      <c r="A102" s="4" t="n">
        <v>2049</v>
      </c>
      <c r="B102" s="7" t="n">
        <f aca="false">B70-B38</f>
        <v>3.4101</v>
      </c>
      <c r="C102" s="7" t="n">
        <f aca="false">C70-C38</f>
        <v>0.3063</v>
      </c>
      <c r="D102" s="7" t="n">
        <f aca="false">D70-D38</f>
        <v>-0.3364</v>
      </c>
      <c r="E102" s="7" t="n">
        <f aca="false">E70-E38</f>
        <v>0.1239</v>
      </c>
      <c r="F102" s="7" t="n">
        <f aca="false">F70-F38</f>
        <v>-0.0226</v>
      </c>
      <c r="G102" s="7" t="n">
        <f aca="false">G70-G38</f>
        <v>-0.2599</v>
      </c>
      <c r="H102" s="7" t="n">
        <f aca="false">H70-H38</f>
        <v>0.2246</v>
      </c>
      <c r="I102" s="7" t="n">
        <f aca="false">I70-I38</f>
        <v>-0.0919</v>
      </c>
      <c r="J102" s="7" t="n">
        <f aca="false">J70-J38</f>
        <v>-0.0004</v>
      </c>
    </row>
    <row r="103" customFormat="false" ht="15" hidden="false" customHeight="false" outlineLevel="0" collapsed="false">
      <c r="A103" s="4" t="n">
        <v>2050</v>
      </c>
      <c r="B103" s="7" t="n">
        <f aca="false">B71-B39</f>
        <v>7.0355</v>
      </c>
      <c r="C103" s="7" t="n">
        <f aca="false">C71-C39</f>
        <v>0.2964</v>
      </c>
      <c r="D103" s="7" t="n">
        <f aca="false">D71-D39</f>
        <v>-0.3433</v>
      </c>
      <c r="E103" s="7" t="n">
        <f aca="false">E71-E39</f>
        <v>0.1739</v>
      </c>
      <c r="F103" s="7" t="n">
        <f aca="false">F71-F39</f>
        <v>-0.023</v>
      </c>
      <c r="G103" s="7" t="n">
        <f aca="false">G71-G39</f>
        <v>-0.0125</v>
      </c>
      <c r="H103" s="7" t="n">
        <f aca="false">H71-H39</f>
        <v>0.136</v>
      </c>
      <c r="I103" s="7" t="n">
        <f aca="false">I71-I39</f>
        <v>-0.1412</v>
      </c>
      <c r="J103" s="7" t="n">
        <f aca="false">J71-J39</f>
        <v>-0.0004</v>
      </c>
    </row>
    <row r="104" customFormat="false" ht="15" hidden="false" customHeight="false" outlineLevel="0" collapsed="false">
      <c r="A104" s="13" t="s">
        <v>124</v>
      </c>
      <c r="B104" s="11" t="n">
        <f aca="false">SUM(B76:B103)</f>
        <v>49.5354</v>
      </c>
      <c r="C104" s="11" t="n">
        <f aca="false">SUM(C76:C103)</f>
        <v>20.5845</v>
      </c>
      <c r="D104" s="11" t="n">
        <f aca="false">SUM(D76:D103)</f>
        <v>-16.1483</v>
      </c>
      <c r="E104" s="11" t="n">
        <f aca="false">SUM(E76:E103)</f>
        <v>4.4325</v>
      </c>
      <c r="F104" s="11" t="n">
        <f aca="false">SUM(F76:F103)</f>
        <v>-1.2452</v>
      </c>
      <c r="G104" s="11" t="n">
        <f aca="false">SUM(G76:G103)</f>
        <v>-0.6769</v>
      </c>
      <c r="H104" s="11" t="n">
        <f aca="false">SUM(H76:H103)</f>
        <v>-0.3717</v>
      </c>
      <c r="I104" s="11" t="n">
        <f aca="false">SUM(I76:I103)</f>
        <v>-0.2685</v>
      </c>
      <c r="J104" s="11" t="n">
        <f aca="false">SUM(J76:J103)</f>
        <v>-0.0076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147</v>
      </c>
    </row>
    <row r="4" customFormat="false" ht="15" hidden="false" customHeight="false" outlineLevel="0" collapsed="false">
      <c r="A4" s="2" t="s">
        <v>148</v>
      </c>
    </row>
    <row r="5" customFormat="false" ht="15" hidden="false" customHeight="false" outlineLevel="0" collapsed="false">
      <c r="A5" s="2" t="s">
        <v>149</v>
      </c>
    </row>
    <row r="6" customFormat="false" ht="15" hidden="false" customHeight="false" outlineLevel="0" collapsed="false">
      <c r="A6" s="2" t="s">
        <v>150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151</v>
      </c>
    </row>
    <row r="9" customFormat="false" ht="15" hidden="false" customHeight="false" outlineLevel="0" collapsed="false">
      <c r="A9" s="2" t="s">
        <v>152</v>
      </c>
    </row>
    <row r="10" customFormat="false" ht="15" hidden="false" customHeight="false" outlineLevel="0" collapsed="false">
      <c r="A10" s="2" t="s">
        <v>153</v>
      </c>
    </row>
    <row r="11" customFormat="false" ht="15" hidden="false" customHeight="false" outlineLevel="0" collapsed="false">
      <c r="A11" s="2" t="s">
        <v>154</v>
      </c>
    </row>
    <row r="12" customFormat="false" ht="15" hidden="false" customHeight="false" outlineLevel="0" collapsed="false">
      <c r="A12" s="2" t="s">
        <v>155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156</v>
      </c>
    </row>
    <row r="15" customFormat="false" ht="15" hidden="false" customHeight="false" outlineLevel="0" collapsed="false">
      <c r="A15" s="2" t="s">
        <v>157</v>
      </c>
    </row>
    <row r="16" customFormat="false" ht="15" hidden="false" customHeight="false" outlineLevel="0" collapsed="false">
      <c r="A16" s="2" t="s">
        <v>158</v>
      </c>
    </row>
    <row r="17" customFormat="false" ht="15" hidden="false" customHeight="false" outlineLevel="0" collapsed="false">
      <c r="A17" s="2" t="s">
        <v>159</v>
      </c>
    </row>
    <row r="18" customFormat="false" ht="15" hidden="false" customHeight="false" outlineLevel="0" collapsed="false">
      <c r="A18" s="2" t="s">
        <v>160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1" t="s">
        <v>161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A23" s="2" t="s">
        <v>164</v>
      </c>
    </row>
    <row r="24" customFormat="false" ht="15" hidden="false" customHeight="false" outlineLevel="0" collapsed="false">
      <c r="A24" s="2" t="s">
        <v>165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1" t="s">
        <v>166</v>
      </c>
    </row>
    <row r="27" customFormat="false" ht="15" hidden="false" customHeight="false" outlineLevel="0" collapsed="false">
      <c r="A27" s="2" t="s">
        <v>167</v>
      </c>
    </row>
    <row r="28" customFormat="false" ht="15" hidden="false" customHeight="false" outlineLevel="0" collapsed="false">
      <c r="A28" s="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5" min="3" style="0" width="8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0" min="10" style="0" width="60"/>
    <col collapsed="false" customWidth="true" hidden="false" outlineLevel="0" max="11" min="11" style="0" width="70"/>
  </cols>
  <sheetData>
    <row r="1" customFormat="false" ht="26.85" hidden="false" customHeight="false" outlineLevel="0" collapsed="false">
      <c r="A1" s="3" t="s">
        <v>169</v>
      </c>
      <c r="B1" s="3" t="s">
        <v>170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171</v>
      </c>
      <c r="K1" s="3" t="s">
        <v>172</v>
      </c>
    </row>
    <row r="2" customFormat="false" ht="22.35" hidden="false" customHeight="false" outlineLevel="0" collapsed="false">
      <c r="A2" s="4" t="s">
        <v>173</v>
      </c>
      <c r="B2" s="5" t="n">
        <v>3.1932</v>
      </c>
      <c r="C2" s="6" t="n">
        <v>0</v>
      </c>
      <c r="D2" s="6" t="n">
        <v>1</v>
      </c>
      <c r="E2" s="6" t="n">
        <v>0</v>
      </c>
      <c r="F2" s="7" t="n">
        <f aca="false">$B2*C2</f>
        <v>0</v>
      </c>
      <c r="G2" s="7" t="n">
        <f aca="false">$B2*D2</f>
        <v>3.1932</v>
      </c>
      <c r="H2" s="7" t="n">
        <f aca="false">$B2*E2</f>
        <v>0</v>
      </c>
      <c r="I2" s="8" t="n">
        <f aca="false">C2+D2+E2</f>
        <v>1</v>
      </c>
      <c r="J2" s="9" t="s">
        <v>174</v>
      </c>
      <c r="K2" s="9" t="s">
        <v>175</v>
      </c>
    </row>
    <row r="3" customFormat="false" ht="22.35" hidden="false" customHeight="false" outlineLevel="0" collapsed="false">
      <c r="A3" s="4" t="s">
        <v>176</v>
      </c>
      <c r="B3" s="5" t="n">
        <v>25.6939</v>
      </c>
      <c r="C3" s="6" t="n">
        <v>0</v>
      </c>
      <c r="D3" s="6" t="n">
        <v>0.7</v>
      </c>
      <c r="E3" s="6" t="n">
        <v>0.3</v>
      </c>
      <c r="F3" s="7" t="n">
        <f aca="false">$B3*C3</f>
        <v>0</v>
      </c>
      <c r="G3" s="7" t="n">
        <f aca="false">$B3*D3</f>
        <v>17.98573</v>
      </c>
      <c r="H3" s="7" t="n">
        <f aca="false">$B3*E3</f>
        <v>7.70817</v>
      </c>
      <c r="I3" s="8" t="n">
        <f aca="false">C3+D3+E3</f>
        <v>1</v>
      </c>
      <c r="J3" s="9" t="s">
        <v>177</v>
      </c>
      <c r="K3" s="9" t="s">
        <v>178</v>
      </c>
    </row>
    <row r="4" customFormat="false" ht="32.8" hidden="false" customHeight="false" outlineLevel="0" collapsed="false">
      <c r="A4" s="4" t="s">
        <v>179</v>
      </c>
      <c r="B4" s="5" t="n">
        <v>64.7589</v>
      </c>
      <c r="C4" s="6" t="n">
        <v>0</v>
      </c>
      <c r="D4" s="6" t="n">
        <v>0</v>
      </c>
      <c r="E4" s="6" t="n">
        <v>1</v>
      </c>
      <c r="F4" s="7" t="n">
        <f aca="false">$B4*C4</f>
        <v>0</v>
      </c>
      <c r="G4" s="7" t="n">
        <f aca="false">$B4*D4</f>
        <v>0</v>
      </c>
      <c r="H4" s="7" t="n">
        <f aca="false">$B4*E4</f>
        <v>64.7589</v>
      </c>
      <c r="I4" s="8" t="n">
        <f aca="false">C4+D4+E4</f>
        <v>1</v>
      </c>
      <c r="J4" s="9" t="s">
        <v>180</v>
      </c>
      <c r="K4" s="9" t="s">
        <v>181</v>
      </c>
    </row>
    <row r="5" customFormat="false" ht="32.8" hidden="false" customHeight="false" outlineLevel="0" collapsed="false">
      <c r="A5" s="4" t="s">
        <v>182</v>
      </c>
      <c r="B5" s="5" t="n">
        <v>409.4326</v>
      </c>
      <c r="C5" s="6" t="n">
        <v>0.1</v>
      </c>
      <c r="D5" s="6" t="n">
        <v>0.55</v>
      </c>
      <c r="E5" s="6" t="n">
        <v>0.35</v>
      </c>
      <c r="F5" s="7" t="n">
        <f aca="false">$B5*C5</f>
        <v>40.94326</v>
      </c>
      <c r="G5" s="7" t="n">
        <f aca="false">$B5*D5</f>
        <v>225.18793</v>
      </c>
      <c r="H5" s="7" t="n">
        <f aca="false">$B5*E5</f>
        <v>143.30141</v>
      </c>
      <c r="I5" s="8" t="n">
        <f aca="false">C5+D5+E5</f>
        <v>1</v>
      </c>
      <c r="J5" s="9" t="s">
        <v>183</v>
      </c>
      <c r="K5" s="9" t="s">
        <v>184</v>
      </c>
    </row>
    <row r="6" customFormat="false" ht="32.8" hidden="false" customHeight="false" outlineLevel="0" collapsed="false">
      <c r="A6" s="4" t="s">
        <v>185</v>
      </c>
      <c r="B6" s="5" t="n">
        <v>9.7622</v>
      </c>
      <c r="C6" s="6" t="n">
        <v>0.15</v>
      </c>
      <c r="D6" s="6" t="n">
        <v>0.55</v>
      </c>
      <c r="E6" s="6" t="n">
        <v>0.3</v>
      </c>
      <c r="F6" s="7" t="n">
        <f aca="false">$B6*C6</f>
        <v>1.46433</v>
      </c>
      <c r="G6" s="7" t="n">
        <f aca="false">$B6*D6</f>
        <v>5.36921</v>
      </c>
      <c r="H6" s="7" t="n">
        <f aca="false">$B6*E6</f>
        <v>2.92866</v>
      </c>
      <c r="I6" s="8" t="n">
        <f aca="false">C6+D6+E6</f>
        <v>1</v>
      </c>
      <c r="J6" s="9" t="s">
        <v>186</v>
      </c>
      <c r="K6" s="9" t="s">
        <v>187</v>
      </c>
    </row>
    <row r="7" customFormat="false" ht="32.8" hidden="false" customHeight="false" outlineLevel="0" collapsed="false">
      <c r="A7" s="4" t="s">
        <v>188</v>
      </c>
      <c r="B7" s="5" t="n">
        <v>46.2885</v>
      </c>
      <c r="C7" s="6" t="n">
        <v>0.3</v>
      </c>
      <c r="D7" s="6" t="n">
        <v>0</v>
      </c>
      <c r="E7" s="6" t="n">
        <v>0.7</v>
      </c>
      <c r="F7" s="7" t="n">
        <f aca="false">$B7*C7</f>
        <v>13.88655</v>
      </c>
      <c r="G7" s="7" t="n">
        <f aca="false">$B7*D7</f>
        <v>0</v>
      </c>
      <c r="H7" s="7" t="n">
        <f aca="false">$B7*E7</f>
        <v>32.40195</v>
      </c>
      <c r="I7" s="8" t="n">
        <f aca="false">C7+D7+E7</f>
        <v>1</v>
      </c>
      <c r="J7" s="9" t="s">
        <v>189</v>
      </c>
      <c r="K7" s="9" t="s">
        <v>190</v>
      </c>
    </row>
    <row r="8" customFormat="false" ht="22.35" hidden="false" customHeight="false" outlineLevel="0" collapsed="false">
      <c r="A8" s="4" t="s">
        <v>191</v>
      </c>
      <c r="B8" s="5" t="n">
        <v>32.5896</v>
      </c>
      <c r="C8" s="6" t="n">
        <v>0.3</v>
      </c>
      <c r="D8" s="6" t="n">
        <v>0</v>
      </c>
      <c r="E8" s="6" t="n">
        <v>0.7</v>
      </c>
      <c r="F8" s="7" t="n">
        <f aca="false">$B8*C8</f>
        <v>9.77688</v>
      </c>
      <c r="G8" s="7" t="n">
        <f aca="false">$B8*D8</f>
        <v>0</v>
      </c>
      <c r="H8" s="7" t="n">
        <f aca="false">$B8*E8</f>
        <v>22.81272</v>
      </c>
      <c r="I8" s="8" t="n">
        <f aca="false">C8+D8+E8</f>
        <v>1</v>
      </c>
      <c r="J8" s="9" t="s">
        <v>192</v>
      </c>
      <c r="K8" s="9" t="s">
        <v>193</v>
      </c>
    </row>
    <row r="9" customFormat="false" ht="22.35" hidden="false" customHeight="false" outlineLevel="0" collapsed="false">
      <c r="A9" s="4" t="s">
        <v>194</v>
      </c>
      <c r="B9" s="5" t="n">
        <v>-3.4013</v>
      </c>
      <c r="C9" s="6" t="n">
        <v>0</v>
      </c>
      <c r="D9" s="6" t="n">
        <v>0.7</v>
      </c>
      <c r="E9" s="6" t="n">
        <v>0.3</v>
      </c>
      <c r="F9" s="7" t="n">
        <f aca="false">$B9*C9</f>
        <v>-0</v>
      </c>
      <c r="G9" s="7" t="n">
        <f aca="false">$B9*D9</f>
        <v>-2.38091</v>
      </c>
      <c r="H9" s="7" t="n">
        <f aca="false">$B9*E9</f>
        <v>-1.02039</v>
      </c>
      <c r="I9" s="8" t="n">
        <f aca="false">C9+D9+E9</f>
        <v>1</v>
      </c>
      <c r="J9" s="9" t="s">
        <v>195</v>
      </c>
      <c r="K9" s="9" t="s">
        <v>196</v>
      </c>
    </row>
    <row r="10" customFormat="false" ht="22.35" hidden="false" customHeight="false" outlineLevel="0" collapsed="false">
      <c r="A10" s="4" t="s">
        <v>197</v>
      </c>
      <c r="B10" s="5" t="n">
        <v>12.106</v>
      </c>
      <c r="C10" s="6" t="n">
        <v>0.1</v>
      </c>
      <c r="D10" s="6" t="n">
        <v>0.6</v>
      </c>
      <c r="E10" s="6" t="n">
        <v>0.3</v>
      </c>
      <c r="F10" s="7" t="n">
        <f aca="false">$B10*C10</f>
        <v>1.2106</v>
      </c>
      <c r="G10" s="7" t="n">
        <f aca="false">$B10*D10</f>
        <v>7.2636</v>
      </c>
      <c r="H10" s="7" t="n">
        <f aca="false">$B10*E10</f>
        <v>3.6318</v>
      </c>
      <c r="I10" s="8" t="n">
        <f aca="false">C10+D10+E10</f>
        <v>1</v>
      </c>
      <c r="J10" s="9" t="s">
        <v>198</v>
      </c>
      <c r="K10" s="9" t="s">
        <v>199</v>
      </c>
    </row>
    <row r="11" customFormat="false" ht="22.35" hidden="false" customHeight="false" outlineLevel="0" collapsed="false">
      <c r="A11" s="4" t="s">
        <v>200</v>
      </c>
      <c r="B11" s="5" t="n">
        <v>167.066</v>
      </c>
      <c r="C11" s="6" t="n">
        <v>0.5</v>
      </c>
      <c r="D11" s="6" t="n">
        <v>0.4</v>
      </c>
      <c r="E11" s="6" t="n">
        <v>0.1</v>
      </c>
      <c r="F11" s="7" t="n">
        <f aca="false">$B11*C11</f>
        <v>83.533</v>
      </c>
      <c r="G11" s="7" t="n">
        <f aca="false">$B11*D11</f>
        <v>66.8264</v>
      </c>
      <c r="H11" s="7" t="n">
        <f aca="false">$B11*E11</f>
        <v>16.7066</v>
      </c>
      <c r="I11" s="8" t="n">
        <f aca="false">C11+D11+E11</f>
        <v>1</v>
      </c>
      <c r="J11" s="9" t="s">
        <v>201</v>
      </c>
      <c r="K11" s="9" t="s">
        <v>202</v>
      </c>
    </row>
    <row r="12" customFormat="false" ht="22.35" hidden="false" customHeight="false" outlineLevel="0" collapsed="false">
      <c r="A12" s="4" t="s">
        <v>203</v>
      </c>
      <c r="B12" s="5" t="n">
        <v>25.8554</v>
      </c>
      <c r="C12" s="6" t="n">
        <v>0</v>
      </c>
      <c r="D12" s="6" t="n">
        <v>0.3</v>
      </c>
      <c r="E12" s="6" t="n">
        <v>0.7</v>
      </c>
      <c r="F12" s="7" t="n">
        <f aca="false">$B12*C12</f>
        <v>0</v>
      </c>
      <c r="G12" s="7" t="n">
        <f aca="false">$B12*D12</f>
        <v>7.75662</v>
      </c>
      <c r="H12" s="7" t="n">
        <f aca="false">$B12*E12</f>
        <v>18.09878</v>
      </c>
      <c r="I12" s="8" t="n">
        <f aca="false">C12+D12+E12</f>
        <v>1</v>
      </c>
      <c r="J12" s="9" t="s">
        <v>204</v>
      </c>
      <c r="K12" s="9" t="s">
        <v>205</v>
      </c>
    </row>
    <row r="13" customFormat="false" ht="22.35" hidden="false" customHeight="false" outlineLevel="0" collapsed="false">
      <c r="A13" s="4" t="s">
        <v>206</v>
      </c>
      <c r="B13" s="5" t="n">
        <v>32.7576</v>
      </c>
      <c r="C13" s="6" t="n">
        <v>0.1</v>
      </c>
      <c r="D13" s="6" t="n">
        <v>0.2</v>
      </c>
      <c r="E13" s="6" t="n">
        <v>0.7</v>
      </c>
      <c r="F13" s="7" t="n">
        <f aca="false">$B13*C13</f>
        <v>3.27576</v>
      </c>
      <c r="G13" s="7" t="n">
        <f aca="false">$B13*D13</f>
        <v>6.55152</v>
      </c>
      <c r="H13" s="7" t="n">
        <f aca="false">$B13*E13</f>
        <v>22.93032</v>
      </c>
      <c r="I13" s="8" t="n">
        <f aca="false">C13+D13+E13</f>
        <v>1</v>
      </c>
      <c r="J13" s="9" t="s">
        <v>207</v>
      </c>
      <c r="K13" s="9" t="s">
        <v>208</v>
      </c>
    </row>
    <row r="14" customFormat="false" ht="15" hidden="false" customHeight="false" outlineLevel="0" collapsed="false">
      <c r="A14" s="10" t="s">
        <v>209</v>
      </c>
      <c r="B14" s="11" t="n">
        <f aca="false">SUM(B2:B13)</f>
        <v>826.1026</v>
      </c>
      <c r="C14" s="12"/>
      <c r="D14" s="12"/>
      <c r="E14" s="12"/>
      <c r="F14" s="11" t="n">
        <f aca="false">SUM(F2:F13)</f>
        <v>154.09038</v>
      </c>
      <c r="G14" s="11" t="n">
        <f aca="false">SUM(G2:G13)</f>
        <v>337.7533</v>
      </c>
      <c r="H14" s="11" t="n">
        <f aca="false">SUM(H2:H13)</f>
        <v>334.25892</v>
      </c>
      <c r="I14" s="12"/>
      <c r="J14" s="12"/>
      <c r="K14" s="12"/>
    </row>
    <row r="16" customFormat="false" ht="15" hidden="false" customHeight="false" outlineLevel="0" collapsed="false">
      <c r="A16" s="13" t="s">
        <v>210</v>
      </c>
    </row>
    <row r="17" customFormat="false" ht="15" hidden="false" customHeight="false" outlineLevel="0" collapsed="false">
      <c r="A17" s="21" t="s">
        <v>211</v>
      </c>
    </row>
    <row r="18" customFormat="false" ht="15" hidden="false" customHeight="false" outlineLevel="0" collapsed="false">
      <c r="A18" s="21" t="s">
        <v>212</v>
      </c>
    </row>
    <row r="19" customFormat="false" ht="15" hidden="false" customHeight="false" outlineLevel="0" collapsed="false">
      <c r="A19" s="21" t="s">
        <v>213</v>
      </c>
    </row>
    <row r="20" customFormat="false" ht="15" hidden="false" customHeight="false" outlineLevel="0" collapsed="false">
      <c r="A20" s="21" t="s">
        <v>214</v>
      </c>
    </row>
    <row r="21" customFormat="false" ht="15" hidden="false" customHeight="false" outlineLevel="0" collapsed="false">
      <c r="A21" s="21" t="s">
        <v>215</v>
      </c>
    </row>
    <row r="22" customFormat="false" ht="15" hidden="false" customHeight="false" outlineLevel="0" collapsed="false">
      <c r="A22" s="22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13" min="2" style="0" width="14"/>
  </cols>
  <sheetData>
    <row r="1" customFormat="false" ht="64.9" hidden="false" customHeight="false" outlineLevel="0" collapsed="false">
      <c r="A1" s="3" t="s">
        <v>59</v>
      </c>
      <c r="B1" s="3" t="s">
        <v>173</v>
      </c>
      <c r="C1" s="3" t="s">
        <v>176</v>
      </c>
      <c r="D1" s="3" t="s">
        <v>179</v>
      </c>
      <c r="E1" s="3" t="s">
        <v>182</v>
      </c>
      <c r="F1" s="3" t="s">
        <v>185</v>
      </c>
      <c r="G1" s="3" t="s">
        <v>188</v>
      </c>
      <c r="H1" s="3" t="s">
        <v>191</v>
      </c>
      <c r="I1" s="3" t="s">
        <v>194</v>
      </c>
      <c r="J1" s="3" t="s">
        <v>197</v>
      </c>
      <c r="K1" s="3" t="s">
        <v>200</v>
      </c>
      <c r="L1" s="3" t="s">
        <v>203</v>
      </c>
      <c r="M1" s="3" t="s">
        <v>206</v>
      </c>
    </row>
    <row r="2" customFormat="false" ht="15" hidden="false" customHeight="false" outlineLevel="0" collapsed="false">
      <c r="A2" s="13" t="s">
        <v>217</v>
      </c>
      <c r="B2" s="14" t="n">
        <v>3.1932</v>
      </c>
      <c r="C2" s="14" t="n">
        <v>25.6939</v>
      </c>
      <c r="D2" s="14" t="n">
        <v>64.7589</v>
      </c>
      <c r="E2" s="14" t="n">
        <v>409.4326</v>
      </c>
      <c r="F2" s="14" t="n">
        <v>9.7622</v>
      </c>
      <c r="G2" s="14" t="n">
        <v>46.2885</v>
      </c>
      <c r="H2" s="14" t="n">
        <v>32.5896</v>
      </c>
      <c r="I2" s="14" t="n">
        <v>-3.4013</v>
      </c>
      <c r="J2" s="14" t="n">
        <v>12.106</v>
      </c>
      <c r="K2" s="14" t="n">
        <v>167.066</v>
      </c>
      <c r="L2" s="14" t="n">
        <v>25.8554</v>
      </c>
      <c r="M2" s="14" t="n">
        <v>32.7576</v>
      </c>
    </row>
    <row r="3" customFormat="false" ht="15" hidden="false" customHeight="false" outlineLevel="0" collapsed="false">
      <c r="A3" s="4" t="s">
        <v>61</v>
      </c>
      <c r="B3" s="15" t="n">
        <v>0</v>
      </c>
      <c r="C3" s="6" t="n">
        <v>1</v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</row>
    <row r="4" customFormat="false" ht="15" hidden="false" customHeight="false" outlineLevel="0" collapsed="false">
      <c r="A4" s="4" t="s">
        <v>62</v>
      </c>
      <c r="B4" s="15" t="n">
        <v>0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</row>
    <row r="5" customFormat="false" ht="15" hidden="false" customHeight="false" outlineLevel="0" collapsed="false">
      <c r="A5" s="4" t="s">
        <v>63</v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6" t="n">
        <v>1</v>
      </c>
      <c r="J5" s="15" t="n">
        <v>0</v>
      </c>
      <c r="K5" s="15" t="n">
        <v>0</v>
      </c>
      <c r="L5" s="15" t="n">
        <v>0</v>
      </c>
      <c r="M5" s="15" t="n">
        <v>0</v>
      </c>
    </row>
    <row r="6" customFormat="false" ht="15" hidden="false" customHeight="false" outlineLevel="0" collapsed="false">
      <c r="A6" s="4" t="s">
        <v>64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</row>
    <row r="7" customFormat="false" ht="15" hidden="false" customHeight="false" outlineLevel="0" collapsed="false">
      <c r="A7" s="4" t="s">
        <v>65</v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</row>
    <row r="8" customFormat="false" ht="15" hidden="false" customHeight="false" outlineLevel="0" collapsed="false">
      <c r="A8" s="4" t="s">
        <v>66</v>
      </c>
      <c r="B8" s="15" t="n">
        <v>0</v>
      </c>
      <c r="C8" s="15" t="n">
        <v>0</v>
      </c>
      <c r="D8" s="6" t="n">
        <v>0.6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</row>
    <row r="9" customFormat="false" ht="15" hidden="false" customHeight="false" outlineLevel="0" collapsed="false">
      <c r="A9" s="4" t="s">
        <v>67</v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</row>
    <row r="10" customFormat="false" ht="15" hidden="false" customHeight="false" outlineLevel="0" collapsed="false">
      <c r="A10" s="4" t="s">
        <v>68</v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</row>
    <row r="11" customFormat="false" ht="15" hidden="false" customHeight="false" outlineLevel="0" collapsed="false">
      <c r="A11" s="4" t="s">
        <v>69</v>
      </c>
      <c r="B11" s="15" t="n">
        <v>0</v>
      </c>
      <c r="C11" s="15" t="n">
        <v>0</v>
      </c>
      <c r="D11" s="15" t="n">
        <v>0</v>
      </c>
      <c r="E11" s="6" t="n">
        <v>0.55</v>
      </c>
      <c r="F11" s="6" t="n">
        <v>0.5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</row>
    <row r="12" customFormat="false" ht="15" hidden="false" customHeight="false" outlineLevel="0" collapsed="false">
      <c r="A12" s="4" t="s">
        <v>70</v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6" t="n">
        <v>0.2</v>
      </c>
      <c r="K12" s="15" t="n">
        <v>0</v>
      </c>
      <c r="L12" s="15" t="n">
        <v>0</v>
      </c>
      <c r="M12" s="15" t="n">
        <v>0</v>
      </c>
    </row>
    <row r="13" customFormat="false" ht="15" hidden="false" customHeight="false" outlineLevel="0" collapsed="false">
      <c r="A13" s="4" t="s">
        <v>71</v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</row>
    <row r="14" customFormat="false" ht="15" hidden="false" customHeight="false" outlineLevel="0" collapsed="false">
      <c r="A14" s="4" t="s">
        <v>72</v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</row>
    <row r="15" customFormat="false" ht="15" hidden="false" customHeight="false" outlineLevel="0" collapsed="false">
      <c r="A15" s="4" t="s">
        <v>73</v>
      </c>
      <c r="B15" s="6" t="n">
        <v>0.5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</row>
    <row r="16" customFormat="false" ht="15" hidden="false" customHeight="false" outlineLevel="0" collapsed="false">
      <c r="A16" s="4" t="s">
        <v>74</v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</row>
    <row r="17" customFormat="false" ht="15" hidden="false" customHeight="false" outlineLevel="0" collapsed="false">
      <c r="A17" s="4" t="s">
        <v>75</v>
      </c>
      <c r="B17" s="15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</row>
    <row r="18" customFormat="false" ht="15" hidden="false" customHeight="false" outlineLevel="0" collapsed="false">
      <c r="A18" s="4" t="s">
        <v>76</v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6" t="n">
        <v>0.15</v>
      </c>
      <c r="K18" s="15" t="n">
        <v>0</v>
      </c>
      <c r="L18" s="15" t="n">
        <v>0</v>
      </c>
      <c r="M18" s="15" t="n">
        <v>0</v>
      </c>
    </row>
    <row r="19" customFormat="false" ht="15" hidden="false" customHeight="false" outlineLevel="0" collapsed="false">
      <c r="A19" s="4" t="s">
        <v>77</v>
      </c>
      <c r="B19" s="15" t="n">
        <v>0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</row>
    <row r="20" customFormat="false" ht="15" hidden="false" customHeight="false" outlineLevel="0" collapsed="false">
      <c r="A20" s="4" t="s">
        <v>78</v>
      </c>
      <c r="B20" s="6" t="n">
        <v>0.5</v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</row>
    <row r="21" customFormat="false" ht="15" hidden="false" customHeight="false" outlineLevel="0" collapsed="false">
      <c r="A21" s="4" t="s">
        <v>79</v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</row>
    <row r="22" customFormat="false" ht="15" hidden="false" customHeight="false" outlineLevel="0" collapsed="false">
      <c r="A22" s="4" t="s">
        <v>80</v>
      </c>
      <c r="B22" s="15" t="n">
        <v>0</v>
      </c>
      <c r="C22" s="15" t="n">
        <v>0</v>
      </c>
      <c r="D22" s="15" t="n">
        <v>0</v>
      </c>
      <c r="E22" s="15" t="n">
        <v>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0</v>
      </c>
    </row>
    <row r="23" customFormat="false" ht="15" hidden="false" customHeight="false" outlineLevel="0" collapsed="false">
      <c r="A23" s="4" t="s">
        <v>81</v>
      </c>
      <c r="B23" s="15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</row>
    <row r="24" customFormat="false" ht="15" hidden="false" customHeight="false" outlineLevel="0" collapsed="false">
      <c r="A24" s="4" t="s">
        <v>82</v>
      </c>
      <c r="B24" s="15" t="n">
        <v>0</v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</row>
    <row r="25" customFormat="false" ht="15" hidden="false" customHeight="false" outlineLevel="0" collapsed="false">
      <c r="A25" s="4" t="s">
        <v>83</v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 customFormat="false" ht="15" hidden="false" customHeight="false" outlineLevel="0" collapsed="false">
      <c r="A26" s="4" t="s">
        <v>84</v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</row>
    <row r="27" customFormat="false" ht="15" hidden="false" customHeight="false" outlineLevel="0" collapsed="false">
      <c r="A27" s="4" t="s">
        <v>85</v>
      </c>
      <c r="B27" s="15" t="n">
        <v>0</v>
      </c>
      <c r="C27" s="15" t="n">
        <v>0</v>
      </c>
      <c r="D27" s="15" t="n">
        <v>0</v>
      </c>
      <c r="E27" s="15" t="n">
        <v>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</row>
    <row r="28" customFormat="false" ht="15" hidden="false" customHeight="false" outlineLevel="0" collapsed="false">
      <c r="A28" s="4" t="s">
        <v>86</v>
      </c>
      <c r="B28" s="15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</row>
    <row r="29" customFormat="false" ht="15" hidden="false" customHeight="false" outlineLevel="0" collapsed="false">
      <c r="A29" s="4" t="s">
        <v>87</v>
      </c>
      <c r="B29" s="15" t="n">
        <v>0</v>
      </c>
      <c r="C29" s="15" t="n">
        <v>0</v>
      </c>
      <c r="D29" s="15" t="n">
        <v>0</v>
      </c>
      <c r="E29" s="6" t="n">
        <v>0.15</v>
      </c>
      <c r="F29" s="6" t="n">
        <v>0.25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</row>
    <row r="30" customFormat="false" ht="15" hidden="false" customHeight="false" outlineLevel="0" collapsed="false">
      <c r="A30" s="4" t="s">
        <v>88</v>
      </c>
      <c r="B30" s="15" t="n">
        <v>0</v>
      </c>
      <c r="C30" s="15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6" t="n">
        <v>0.3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</row>
    <row r="31" customFormat="false" ht="15" hidden="false" customHeight="false" outlineLevel="0" collapsed="false">
      <c r="A31" s="4" t="s">
        <v>89</v>
      </c>
      <c r="B31" s="15" t="n">
        <v>0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6" t="n">
        <v>0.3</v>
      </c>
      <c r="L31" s="15" t="n">
        <v>0</v>
      </c>
      <c r="M31" s="15" t="n">
        <v>0</v>
      </c>
    </row>
    <row r="32" customFormat="false" ht="15" hidden="false" customHeight="false" outlineLevel="0" collapsed="false">
      <c r="A32" s="4" t="s">
        <v>90</v>
      </c>
      <c r="B32" s="15" t="n">
        <v>0</v>
      </c>
      <c r="C32" s="15" t="n">
        <v>0</v>
      </c>
      <c r="D32" s="15" t="n">
        <v>0</v>
      </c>
      <c r="E32" s="15" t="n">
        <v>0</v>
      </c>
      <c r="F32" s="15" t="n">
        <v>0</v>
      </c>
      <c r="G32" s="15" t="n">
        <v>0</v>
      </c>
      <c r="H32" s="15" t="n">
        <v>0</v>
      </c>
      <c r="I32" s="15" t="n">
        <v>0</v>
      </c>
      <c r="J32" s="6" t="n">
        <v>0.4</v>
      </c>
      <c r="K32" s="6" t="n">
        <v>0.1</v>
      </c>
      <c r="L32" s="15" t="n">
        <v>0</v>
      </c>
      <c r="M32" s="15" t="n">
        <v>0</v>
      </c>
    </row>
    <row r="33" customFormat="false" ht="15" hidden="false" customHeight="false" outlineLevel="0" collapsed="false">
      <c r="A33" s="4" t="s">
        <v>91</v>
      </c>
      <c r="B33" s="15" t="n">
        <v>0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6" t="n">
        <v>0.6</v>
      </c>
      <c r="L33" s="6" t="n">
        <v>0.5</v>
      </c>
      <c r="M33" s="15" t="n">
        <v>0</v>
      </c>
    </row>
    <row r="34" customFormat="false" ht="15" hidden="false" customHeight="false" outlineLevel="0" collapsed="false">
      <c r="A34" s="4" t="s">
        <v>92</v>
      </c>
      <c r="B34" s="15" t="n">
        <v>0</v>
      </c>
      <c r="C34" s="15" t="n">
        <v>0</v>
      </c>
      <c r="D34" s="6" t="n">
        <v>0.4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0</v>
      </c>
    </row>
    <row r="35" customFormat="false" ht="15" hidden="false" customHeight="false" outlineLevel="0" collapsed="false">
      <c r="A35" s="4" t="s">
        <v>93</v>
      </c>
      <c r="B35" s="15" t="n">
        <v>0</v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</row>
    <row r="36" customFormat="false" ht="15" hidden="false" customHeight="false" outlineLevel="0" collapsed="false">
      <c r="A36" s="4" t="s">
        <v>94</v>
      </c>
      <c r="B36" s="15" t="n">
        <v>0</v>
      </c>
      <c r="C36" s="15" t="n">
        <v>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6" t="n">
        <v>0.3</v>
      </c>
    </row>
    <row r="37" customFormat="false" ht="15" hidden="false" customHeight="false" outlineLevel="0" collapsed="false">
      <c r="A37" s="4" t="s">
        <v>95</v>
      </c>
      <c r="B37" s="15" t="n">
        <v>0</v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</row>
    <row r="38" customFormat="false" ht="15" hidden="false" customHeight="false" outlineLevel="0" collapsed="false">
      <c r="A38" s="4" t="s">
        <v>96</v>
      </c>
      <c r="B38" s="15" t="n">
        <v>0</v>
      </c>
      <c r="C38" s="15" t="n">
        <v>0</v>
      </c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0</v>
      </c>
    </row>
    <row r="39" customFormat="false" ht="15" hidden="false" customHeight="false" outlineLevel="0" collapsed="false">
      <c r="A39" s="4" t="s">
        <v>97</v>
      </c>
      <c r="B39" s="15" t="n">
        <v>0</v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</row>
    <row r="40" customFormat="false" ht="15" hidden="false" customHeight="false" outlineLevel="0" collapsed="false">
      <c r="A40" s="4" t="s">
        <v>98</v>
      </c>
      <c r="B40" s="15" t="n">
        <v>0</v>
      </c>
      <c r="C40" s="15" t="n">
        <v>0</v>
      </c>
      <c r="D40" s="15" t="n">
        <v>0</v>
      </c>
      <c r="E40" s="15" t="n">
        <v>0</v>
      </c>
      <c r="F40" s="15" t="n">
        <v>0</v>
      </c>
      <c r="G40" s="6" t="n">
        <v>1</v>
      </c>
      <c r="H40" s="6" t="n">
        <v>0.7</v>
      </c>
      <c r="I40" s="15" t="n">
        <v>0</v>
      </c>
      <c r="J40" s="15" t="n">
        <v>0</v>
      </c>
      <c r="K40" s="15" t="n">
        <v>0</v>
      </c>
      <c r="L40" s="15" t="n">
        <v>0</v>
      </c>
      <c r="M40" s="6" t="n">
        <v>0.5</v>
      </c>
    </row>
    <row r="41" customFormat="false" ht="15" hidden="false" customHeight="false" outlineLevel="0" collapsed="false">
      <c r="A41" s="4" t="s">
        <v>99</v>
      </c>
      <c r="B41" s="15" t="n">
        <v>0</v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0</v>
      </c>
      <c r="I41" s="15" t="n">
        <v>0</v>
      </c>
      <c r="J41" s="6" t="n">
        <v>0.25</v>
      </c>
      <c r="K41" s="15" t="n">
        <v>0</v>
      </c>
      <c r="L41" s="6" t="n">
        <v>0.5</v>
      </c>
      <c r="M41" s="6" t="n">
        <v>0.2</v>
      </c>
    </row>
    <row r="42" customFormat="false" ht="15" hidden="false" customHeight="false" outlineLevel="0" collapsed="false">
      <c r="A42" s="16" t="s">
        <v>100</v>
      </c>
      <c r="B42" s="15" t="n">
        <v>0</v>
      </c>
      <c r="C42" s="15" t="n">
        <v>0</v>
      </c>
      <c r="D42" s="15" t="n">
        <v>0</v>
      </c>
      <c r="E42" s="6" t="n">
        <v>0.3</v>
      </c>
      <c r="F42" s="6" t="n">
        <v>0.25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</row>
    <row r="43" customFormat="false" ht="15" hidden="false" customHeight="false" outlineLevel="0" collapsed="false">
      <c r="A43" s="13" t="s">
        <v>101</v>
      </c>
      <c r="B43" s="17" t="n">
        <f aca="false">SUM(B3:B42)</f>
        <v>1</v>
      </c>
      <c r="C43" s="17" t="n">
        <f aca="false">SUM(C3:C42)</f>
        <v>1</v>
      </c>
      <c r="D43" s="17" t="n">
        <f aca="false">SUM(D3:D42)</f>
        <v>1</v>
      </c>
      <c r="E43" s="17" t="n">
        <f aca="false">SUM(E3:E42)</f>
        <v>1</v>
      </c>
      <c r="F43" s="17" t="n">
        <f aca="false">SUM(F3:F42)</f>
        <v>1</v>
      </c>
      <c r="G43" s="17" t="n">
        <f aca="false">SUM(G3:G42)</f>
        <v>1</v>
      </c>
      <c r="H43" s="17" t="n">
        <f aca="false">SUM(H3:H42)</f>
        <v>1</v>
      </c>
      <c r="I43" s="17" t="n">
        <f aca="false">SUM(I3:I42)</f>
        <v>1</v>
      </c>
      <c r="J43" s="17" t="n">
        <f aca="false">SUM(J3:J42)</f>
        <v>1</v>
      </c>
      <c r="K43" s="17" t="n">
        <f aca="false">SUM(K3:K42)</f>
        <v>1</v>
      </c>
      <c r="L43" s="17" t="n">
        <f aca="false">SUM(L3:L42)</f>
        <v>1</v>
      </c>
      <c r="M43" s="17" t="n">
        <f aca="false">SUM(M3:M42)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14" min="2" style="0" width="14"/>
  </cols>
  <sheetData>
    <row r="1" customFormat="false" ht="64.9" hidden="false" customHeight="false" outlineLevel="0" collapsed="false">
      <c r="A1" s="3" t="s">
        <v>102</v>
      </c>
      <c r="B1" s="3" t="s">
        <v>173</v>
      </c>
      <c r="C1" s="3" t="s">
        <v>176</v>
      </c>
      <c r="D1" s="3" t="s">
        <v>179</v>
      </c>
      <c r="E1" s="3" t="s">
        <v>182</v>
      </c>
      <c r="F1" s="3" t="s">
        <v>185</v>
      </c>
      <c r="G1" s="3" t="s">
        <v>188</v>
      </c>
      <c r="H1" s="3" t="s">
        <v>191</v>
      </c>
      <c r="I1" s="3" t="s">
        <v>194</v>
      </c>
      <c r="J1" s="3" t="s">
        <v>197</v>
      </c>
      <c r="K1" s="3" t="s">
        <v>200</v>
      </c>
      <c r="L1" s="3" t="s">
        <v>203</v>
      </c>
      <c r="M1" s="3" t="s">
        <v>206</v>
      </c>
      <c r="N1" s="3" t="s">
        <v>58</v>
      </c>
    </row>
    <row r="2" customFormat="false" ht="15" hidden="false" customHeight="false" outlineLevel="0" collapsed="false">
      <c r="A2" s="4" t="s">
        <v>61</v>
      </c>
      <c r="B2" s="7" t="n">
        <f aca="false">T3_cost_vectors!B3*T3_cost_vectors!B$2</f>
        <v>0</v>
      </c>
      <c r="C2" s="7" t="n">
        <f aca="false">T3_cost_vectors!C3*T3_cost_vectors!C$2</f>
        <v>25.6939</v>
      </c>
      <c r="D2" s="7" t="n">
        <f aca="false">T3_cost_vectors!D3*T3_cost_vectors!D$2</f>
        <v>0</v>
      </c>
      <c r="E2" s="7" t="n">
        <f aca="false">T3_cost_vectors!E3*T3_cost_vectors!E$2</f>
        <v>0</v>
      </c>
      <c r="F2" s="7" t="n">
        <f aca="false">T3_cost_vectors!F3*T3_cost_vectors!F$2</f>
        <v>0</v>
      </c>
      <c r="G2" s="7" t="n">
        <f aca="false">T3_cost_vectors!G3*T3_cost_vectors!G$2</f>
        <v>0</v>
      </c>
      <c r="H2" s="7" t="n">
        <f aca="false">T3_cost_vectors!H3*T3_cost_vectors!H$2</f>
        <v>0</v>
      </c>
      <c r="I2" s="7" t="n">
        <f aca="false">T3_cost_vectors!I3*T3_cost_vectors!I$2</f>
        <v>-0</v>
      </c>
      <c r="J2" s="7" t="n">
        <f aca="false">T3_cost_vectors!J3*T3_cost_vectors!J$2</f>
        <v>0</v>
      </c>
      <c r="K2" s="7" t="n">
        <f aca="false">T3_cost_vectors!K3*T3_cost_vectors!K$2</f>
        <v>0</v>
      </c>
      <c r="L2" s="7" t="n">
        <f aca="false">T3_cost_vectors!L3*T3_cost_vectors!L$2</f>
        <v>0</v>
      </c>
      <c r="M2" s="7" t="n">
        <f aca="false">T3_cost_vectors!M3*T3_cost_vectors!M$2</f>
        <v>0</v>
      </c>
      <c r="N2" s="18" t="n">
        <f aca="false">SUM(B2:M2)</f>
        <v>25.6939</v>
      </c>
    </row>
    <row r="3" customFormat="false" ht="15" hidden="false" customHeight="false" outlineLevel="0" collapsed="false">
      <c r="A3" s="4" t="s">
        <v>62</v>
      </c>
      <c r="B3" s="7" t="n">
        <f aca="false">T3_cost_vectors!B4*T3_cost_vectors!B$2</f>
        <v>0</v>
      </c>
      <c r="C3" s="7" t="n">
        <f aca="false">T3_cost_vectors!C4*T3_cost_vectors!C$2</f>
        <v>0</v>
      </c>
      <c r="D3" s="7" t="n">
        <f aca="false">T3_cost_vectors!D4*T3_cost_vectors!D$2</f>
        <v>0</v>
      </c>
      <c r="E3" s="7" t="n">
        <f aca="false">T3_cost_vectors!E4*T3_cost_vectors!E$2</f>
        <v>0</v>
      </c>
      <c r="F3" s="7" t="n">
        <f aca="false">T3_cost_vectors!F4*T3_cost_vectors!F$2</f>
        <v>0</v>
      </c>
      <c r="G3" s="7" t="n">
        <f aca="false">T3_cost_vectors!G4*T3_cost_vectors!G$2</f>
        <v>0</v>
      </c>
      <c r="H3" s="7" t="n">
        <f aca="false">T3_cost_vectors!H4*T3_cost_vectors!H$2</f>
        <v>0</v>
      </c>
      <c r="I3" s="7" t="n">
        <f aca="false">T3_cost_vectors!I4*T3_cost_vectors!I$2</f>
        <v>-0</v>
      </c>
      <c r="J3" s="7" t="n">
        <f aca="false">T3_cost_vectors!J4*T3_cost_vectors!J$2</f>
        <v>0</v>
      </c>
      <c r="K3" s="7" t="n">
        <f aca="false">T3_cost_vectors!K4*T3_cost_vectors!K$2</f>
        <v>0</v>
      </c>
      <c r="L3" s="7" t="n">
        <f aca="false">T3_cost_vectors!L4*T3_cost_vectors!L$2</f>
        <v>0</v>
      </c>
      <c r="M3" s="7" t="n">
        <f aca="false">T3_cost_vectors!M4*T3_cost_vectors!M$2</f>
        <v>0</v>
      </c>
      <c r="N3" s="18" t="n">
        <f aca="false">SUM(B3:M3)</f>
        <v>0</v>
      </c>
    </row>
    <row r="4" customFormat="false" ht="15" hidden="false" customHeight="false" outlineLevel="0" collapsed="false">
      <c r="A4" s="4" t="s">
        <v>63</v>
      </c>
      <c r="B4" s="7" t="n">
        <f aca="false">T3_cost_vectors!B5*T3_cost_vectors!B$2</f>
        <v>0</v>
      </c>
      <c r="C4" s="7" t="n">
        <f aca="false">T3_cost_vectors!C5*T3_cost_vectors!C$2</f>
        <v>0</v>
      </c>
      <c r="D4" s="7" t="n">
        <f aca="false">T3_cost_vectors!D5*T3_cost_vectors!D$2</f>
        <v>0</v>
      </c>
      <c r="E4" s="7" t="n">
        <f aca="false">T3_cost_vectors!E5*T3_cost_vectors!E$2</f>
        <v>0</v>
      </c>
      <c r="F4" s="7" t="n">
        <f aca="false">T3_cost_vectors!F5*T3_cost_vectors!F$2</f>
        <v>0</v>
      </c>
      <c r="G4" s="7" t="n">
        <f aca="false">T3_cost_vectors!G5*T3_cost_vectors!G$2</f>
        <v>0</v>
      </c>
      <c r="H4" s="7" t="n">
        <f aca="false">T3_cost_vectors!H5*T3_cost_vectors!H$2</f>
        <v>0</v>
      </c>
      <c r="I4" s="7" t="n">
        <f aca="false">T3_cost_vectors!I5*T3_cost_vectors!I$2</f>
        <v>-3.4013</v>
      </c>
      <c r="J4" s="7" t="n">
        <f aca="false">T3_cost_vectors!J5*T3_cost_vectors!J$2</f>
        <v>0</v>
      </c>
      <c r="K4" s="7" t="n">
        <f aca="false">T3_cost_vectors!K5*T3_cost_vectors!K$2</f>
        <v>0</v>
      </c>
      <c r="L4" s="7" t="n">
        <f aca="false">T3_cost_vectors!L5*T3_cost_vectors!L$2</f>
        <v>0</v>
      </c>
      <c r="M4" s="7" t="n">
        <f aca="false">T3_cost_vectors!M5*T3_cost_vectors!M$2</f>
        <v>0</v>
      </c>
      <c r="N4" s="18" t="n">
        <f aca="false">SUM(B4:M4)</f>
        <v>-3.4013</v>
      </c>
    </row>
    <row r="5" customFormat="false" ht="15" hidden="false" customHeight="false" outlineLevel="0" collapsed="false">
      <c r="A5" s="4" t="s">
        <v>64</v>
      </c>
      <c r="B5" s="7" t="n">
        <f aca="false">T3_cost_vectors!B6*T3_cost_vectors!B$2</f>
        <v>0</v>
      </c>
      <c r="C5" s="7" t="n">
        <f aca="false">T3_cost_vectors!C6*T3_cost_vectors!C$2</f>
        <v>0</v>
      </c>
      <c r="D5" s="7" t="n">
        <f aca="false">T3_cost_vectors!D6*T3_cost_vectors!D$2</f>
        <v>0</v>
      </c>
      <c r="E5" s="7" t="n">
        <f aca="false">T3_cost_vectors!E6*T3_cost_vectors!E$2</f>
        <v>0</v>
      </c>
      <c r="F5" s="7" t="n">
        <f aca="false">T3_cost_vectors!F6*T3_cost_vectors!F$2</f>
        <v>0</v>
      </c>
      <c r="G5" s="7" t="n">
        <f aca="false">T3_cost_vectors!G6*T3_cost_vectors!G$2</f>
        <v>0</v>
      </c>
      <c r="H5" s="7" t="n">
        <f aca="false">T3_cost_vectors!H6*T3_cost_vectors!H$2</f>
        <v>0</v>
      </c>
      <c r="I5" s="7" t="n">
        <f aca="false">T3_cost_vectors!I6*T3_cost_vectors!I$2</f>
        <v>-0</v>
      </c>
      <c r="J5" s="7" t="n">
        <f aca="false">T3_cost_vectors!J6*T3_cost_vectors!J$2</f>
        <v>0</v>
      </c>
      <c r="K5" s="7" t="n">
        <f aca="false">T3_cost_vectors!K6*T3_cost_vectors!K$2</f>
        <v>0</v>
      </c>
      <c r="L5" s="7" t="n">
        <f aca="false">T3_cost_vectors!L6*T3_cost_vectors!L$2</f>
        <v>0</v>
      </c>
      <c r="M5" s="7" t="n">
        <f aca="false">T3_cost_vectors!M6*T3_cost_vectors!M$2</f>
        <v>0</v>
      </c>
      <c r="N5" s="18" t="n">
        <f aca="false">SUM(B5:M5)</f>
        <v>0</v>
      </c>
    </row>
    <row r="6" customFormat="false" ht="15" hidden="false" customHeight="false" outlineLevel="0" collapsed="false">
      <c r="A6" s="4" t="s">
        <v>65</v>
      </c>
      <c r="B6" s="7" t="n">
        <f aca="false">T3_cost_vectors!B7*T3_cost_vectors!B$2</f>
        <v>0</v>
      </c>
      <c r="C6" s="7" t="n">
        <f aca="false">T3_cost_vectors!C7*T3_cost_vectors!C$2</f>
        <v>0</v>
      </c>
      <c r="D6" s="7" t="n">
        <f aca="false">T3_cost_vectors!D7*T3_cost_vectors!D$2</f>
        <v>0</v>
      </c>
      <c r="E6" s="7" t="n">
        <f aca="false">T3_cost_vectors!E7*T3_cost_vectors!E$2</f>
        <v>0</v>
      </c>
      <c r="F6" s="7" t="n">
        <f aca="false">T3_cost_vectors!F7*T3_cost_vectors!F$2</f>
        <v>0</v>
      </c>
      <c r="G6" s="7" t="n">
        <f aca="false">T3_cost_vectors!G7*T3_cost_vectors!G$2</f>
        <v>0</v>
      </c>
      <c r="H6" s="7" t="n">
        <f aca="false">T3_cost_vectors!H7*T3_cost_vectors!H$2</f>
        <v>0</v>
      </c>
      <c r="I6" s="7" t="n">
        <f aca="false">T3_cost_vectors!I7*T3_cost_vectors!I$2</f>
        <v>-0</v>
      </c>
      <c r="J6" s="7" t="n">
        <f aca="false">T3_cost_vectors!J7*T3_cost_vectors!J$2</f>
        <v>0</v>
      </c>
      <c r="K6" s="7" t="n">
        <f aca="false">T3_cost_vectors!K7*T3_cost_vectors!K$2</f>
        <v>0</v>
      </c>
      <c r="L6" s="7" t="n">
        <f aca="false">T3_cost_vectors!L7*T3_cost_vectors!L$2</f>
        <v>0</v>
      </c>
      <c r="M6" s="7" t="n">
        <f aca="false">T3_cost_vectors!M7*T3_cost_vectors!M$2</f>
        <v>0</v>
      </c>
      <c r="N6" s="18" t="n">
        <f aca="false">SUM(B6:M6)</f>
        <v>0</v>
      </c>
    </row>
    <row r="7" customFormat="false" ht="15" hidden="false" customHeight="false" outlineLevel="0" collapsed="false">
      <c r="A7" s="4" t="s">
        <v>66</v>
      </c>
      <c r="B7" s="7" t="n">
        <f aca="false">T3_cost_vectors!B8*T3_cost_vectors!B$2</f>
        <v>0</v>
      </c>
      <c r="C7" s="7" t="n">
        <f aca="false">T3_cost_vectors!C8*T3_cost_vectors!C$2</f>
        <v>0</v>
      </c>
      <c r="D7" s="7" t="n">
        <f aca="false">T3_cost_vectors!D8*T3_cost_vectors!D$2</f>
        <v>38.85534</v>
      </c>
      <c r="E7" s="7" t="n">
        <f aca="false">T3_cost_vectors!E8*T3_cost_vectors!E$2</f>
        <v>0</v>
      </c>
      <c r="F7" s="7" t="n">
        <f aca="false">T3_cost_vectors!F8*T3_cost_vectors!F$2</f>
        <v>0</v>
      </c>
      <c r="G7" s="7" t="n">
        <f aca="false">T3_cost_vectors!G8*T3_cost_vectors!G$2</f>
        <v>0</v>
      </c>
      <c r="H7" s="7" t="n">
        <f aca="false">T3_cost_vectors!H8*T3_cost_vectors!H$2</f>
        <v>0</v>
      </c>
      <c r="I7" s="7" t="n">
        <f aca="false">T3_cost_vectors!I8*T3_cost_vectors!I$2</f>
        <v>-0</v>
      </c>
      <c r="J7" s="7" t="n">
        <f aca="false">T3_cost_vectors!J8*T3_cost_vectors!J$2</f>
        <v>0</v>
      </c>
      <c r="K7" s="7" t="n">
        <f aca="false">T3_cost_vectors!K8*T3_cost_vectors!K$2</f>
        <v>0</v>
      </c>
      <c r="L7" s="7" t="n">
        <f aca="false">T3_cost_vectors!L8*T3_cost_vectors!L$2</f>
        <v>0</v>
      </c>
      <c r="M7" s="7" t="n">
        <f aca="false">T3_cost_vectors!M8*T3_cost_vectors!M$2</f>
        <v>0</v>
      </c>
      <c r="N7" s="18" t="n">
        <f aca="false">SUM(B7:M7)</f>
        <v>38.85534</v>
      </c>
    </row>
    <row r="8" customFormat="false" ht="15" hidden="false" customHeight="false" outlineLevel="0" collapsed="false">
      <c r="A8" s="4" t="s">
        <v>67</v>
      </c>
      <c r="B8" s="7" t="n">
        <f aca="false">T3_cost_vectors!B9*T3_cost_vectors!B$2</f>
        <v>0</v>
      </c>
      <c r="C8" s="7" t="n">
        <f aca="false">T3_cost_vectors!C9*T3_cost_vectors!C$2</f>
        <v>0</v>
      </c>
      <c r="D8" s="7" t="n">
        <f aca="false">T3_cost_vectors!D9*T3_cost_vectors!D$2</f>
        <v>0</v>
      </c>
      <c r="E8" s="7" t="n">
        <f aca="false">T3_cost_vectors!E9*T3_cost_vectors!E$2</f>
        <v>0</v>
      </c>
      <c r="F8" s="7" t="n">
        <f aca="false">T3_cost_vectors!F9*T3_cost_vectors!F$2</f>
        <v>0</v>
      </c>
      <c r="G8" s="7" t="n">
        <f aca="false">T3_cost_vectors!G9*T3_cost_vectors!G$2</f>
        <v>0</v>
      </c>
      <c r="H8" s="7" t="n">
        <f aca="false">T3_cost_vectors!H9*T3_cost_vectors!H$2</f>
        <v>0</v>
      </c>
      <c r="I8" s="7" t="n">
        <f aca="false">T3_cost_vectors!I9*T3_cost_vectors!I$2</f>
        <v>-0</v>
      </c>
      <c r="J8" s="7" t="n">
        <f aca="false">T3_cost_vectors!J9*T3_cost_vectors!J$2</f>
        <v>0</v>
      </c>
      <c r="K8" s="7" t="n">
        <f aca="false">T3_cost_vectors!K9*T3_cost_vectors!K$2</f>
        <v>0</v>
      </c>
      <c r="L8" s="7" t="n">
        <f aca="false">T3_cost_vectors!L9*T3_cost_vectors!L$2</f>
        <v>0</v>
      </c>
      <c r="M8" s="7" t="n">
        <f aca="false">T3_cost_vectors!M9*T3_cost_vectors!M$2</f>
        <v>0</v>
      </c>
      <c r="N8" s="18" t="n">
        <f aca="false">SUM(B8:M8)</f>
        <v>0</v>
      </c>
    </row>
    <row r="9" customFormat="false" ht="15" hidden="false" customHeight="false" outlineLevel="0" collapsed="false">
      <c r="A9" s="4" t="s">
        <v>68</v>
      </c>
      <c r="B9" s="7" t="n">
        <f aca="false">T3_cost_vectors!B10*T3_cost_vectors!B$2</f>
        <v>0</v>
      </c>
      <c r="C9" s="7" t="n">
        <f aca="false">T3_cost_vectors!C10*T3_cost_vectors!C$2</f>
        <v>0</v>
      </c>
      <c r="D9" s="7" t="n">
        <f aca="false">T3_cost_vectors!D10*T3_cost_vectors!D$2</f>
        <v>0</v>
      </c>
      <c r="E9" s="7" t="n">
        <f aca="false">T3_cost_vectors!E10*T3_cost_vectors!E$2</f>
        <v>0</v>
      </c>
      <c r="F9" s="7" t="n">
        <f aca="false">T3_cost_vectors!F10*T3_cost_vectors!F$2</f>
        <v>0</v>
      </c>
      <c r="G9" s="7" t="n">
        <f aca="false">T3_cost_vectors!G10*T3_cost_vectors!G$2</f>
        <v>0</v>
      </c>
      <c r="H9" s="7" t="n">
        <f aca="false">T3_cost_vectors!H10*T3_cost_vectors!H$2</f>
        <v>0</v>
      </c>
      <c r="I9" s="7" t="n">
        <f aca="false">T3_cost_vectors!I10*T3_cost_vectors!I$2</f>
        <v>-0</v>
      </c>
      <c r="J9" s="7" t="n">
        <f aca="false">T3_cost_vectors!J10*T3_cost_vectors!J$2</f>
        <v>0</v>
      </c>
      <c r="K9" s="7" t="n">
        <f aca="false">T3_cost_vectors!K10*T3_cost_vectors!K$2</f>
        <v>0</v>
      </c>
      <c r="L9" s="7" t="n">
        <f aca="false">T3_cost_vectors!L10*T3_cost_vectors!L$2</f>
        <v>0</v>
      </c>
      <c r="M9" s="7" t="n">
        <f aca="false">T3_cost_vectors!M10*T3_cost_vectors!M$2</f>
        <v>0</v>
      </c>
      <c r="N9" s="18" t="n">
        <f aca="false">SUM(B9:M9)</f>
        <v>0</v>
      </c>
    </row>
    <row r="10" customFormat="false" ht="15" hidden="false" customHeight="false" outlineLevel="0" collapsed="false">
      <c r="A10" s="4" t="s">
        <v>69</v>
      </c>
      <c r="B10" s="7" t="n">
        <f aca="false">T3_cost_vectors!B11*T3_cost_vectors!B$2</f>
        <v>0</v>
      </c>
      <c r="C10" s="7" t="n">
        <f aca="false">T3_cost_vectors!C11*T3_cost_vectors!C$2</f>
        <v>0</v>
      </c>
      <c r="D10" s="7" t="n">
        <f aca="false">T3_cost_vectors!D11*T3_cost_vectors!D$2</f>
        <v>0</v>
      </c>
      <c r="E10" s="7" t="n">
        <f aca="false">T3_cost_vectors!E11*T3_cost_vectors!E$2</f>
        <v>225.18793</v>
      </c>
      <c r="F10" s="7" t="n">
        <f aca="false">T3_cost_vectors!F11*T3_cost_vectors!F$2</f>
        <v>4.8811</v>
      </c>
      <c r="G10" s="7" t="n">
        <f aca="false">T3_cost_vectors!G11*T3_cost_vectors!G$2</f>
        <v>0</v>
      </c>
      <c r="H10" s="7" t="n">
        <f aca="false">T3_cost_vectors!H11*T3_cost_vectors!H$2</f>
        <v>0</v>
      </c>
      <c r="I10" s="7" t="n">
        <f aca="false">T3_cost_vectors!I11*T3_cost_vectors!I$2</f>
        <v>-0</v>
      </c>
      <c r="J10" s="7" t="n">
        <f aca="false">T3_cost_vectors!J11*T3_cost_vectors!J$2</f>
        <v>0</v>
      </c>
      <c r="K10" s="7" t="n">
        <f aca="false">T3_cost_vectors!K11*T3_cost_vectors!K$2</f>
        <v>0</v>
      </c>
      <c r="L10" s="7" t="n">
        <f aca="false">T3_cost_vectors!L11*T3_cost_vectors!L$2</f>
        <v>0</v>
      </c>
      <c r="M10" s="7" t="n">
        <f aca="false">T3_cost_vectors!M11*T3_cost_vectors!M$2</f>
        <v>0</v>
      </c>
      <c r="N10" s="18" t="n">
        <f aca="false">SUM(B10:M10)</f>
        <v>230.06903</v>
      </c>
    </row>
    <row r="11" customFormat="false" ht="15" hidden="false" customHeight="false" outlineLevel="0" collapsed="false">
      <c r="A11" s="4" t="s">
        <v>70</v>
      </c>
      <c r="B11" s="7" t="n">
        <f aca="false">T3_cost_vectors!B12*T3_cost_vectors!B$2</f>
        <v>0</v>
      </c>
      <c r="C11" s="7" t="n">
        <f aca="false">T3_cost_vectors!C12*T3_cost_vectors!C$2</f>
        <v>0</v>
      </c>
      <c r="D11" s="7" t="n">
        <f aca="false">T3_cost_vectors!D12*T3_cost_vectors!D$2</f>
        <v>0</v>
      </c>
      <c r="E11" s="7" t="n">
        <f aca="false">T3_cost_vectors!E12*T3_cost_vectors!E$2</f>
        <v>0</v>
      </c>
      <c r="F11" s="7" t="n">
        <f aca="false">T3_cost_vectors!F12*T3_cost_vectors!F$2</f>
        <v>0</v>
      </c>
      <c r="G11" s="7" t="n">
        <f aca="false">T3_cost_vectors!G12*T3_cost_vectors!G$2</f>
        <v>0</v>
      </c>
      <c r="H11" s="7" t="n">
        <f aca="false">T3_cost_vectors!H12*T3_cost_vectors!H$2</f>
        <v>0</v>
      </c>
      <c r="I11" s="7" t="n">
        <f aca="false">T3_cost_vectors!I12*T3_cost_vectors!I$2</f>
        <v>-0</v>
      </c>
      <c r="J11" s="7" t="n">
        <f aca="false">T3_cost_vectors!J12*T3_cost_vectors!J$2</f>
        <v>2.4212</v>
      </c>
      <c r="K11" s="7" t="n">
        <f aca="false">T3_cost_vectors!K12*T3_cost_vectors!K$2</f>
        <v>0</v>
      </c>
      <c r="L11" s="7" t="n">
        <f aca="false">T3_cost_vectors!L12*T3_cost_vectors!L$2</f>
        <v>0</v>
      </c>
      <c r="M11" s="7" t="n">
        <f aca="false">T3_cost_vectors!M12*T3_cost_vectors!M$2</f>
        <v>0</v>
      </c>
      <c r="N11" s="18" t="n">
        <f aca="false">SUM(B11:M11)</f>
        <v>2.4212</v>
      </c>
    </row>
    <row r="12" customFormat="false" ht="15" hidden="false" customHeight="false" outlineLevel="0" collapsed="false">
      <c r="A12" s="4" t="s">
        <v>71</v>
      </c>
      <c r="B12" s="7" t="n">
        <f aca="false">T3_cost_vectors!B13*T3_cost_vectors!B$2</f>
        <v>0</v>
      </c>
      <c r="C12" s="7" t="n">
        <f aca="false">T3_cost_vectors!C13*T3_cost_vectors!C$2</f>
        <v>0</v>
      </c>
      <c r="D12" s="7" t="n">
        <f aca="false">T3_cost_vectors!D13*T3_cost_vectors!D$2</f>
        <v>0</v>
      </c>
      <c r="E12" s="7" t="n">
        <f aca="false">T3_cost_vectors!E13*T3_cost_vectors!E$2</f>
        <v>0</v>
      </c>
      <c r="F12" s="7" t="n">
        <f aca="false">T3_cost_vectors!F13*T3_cost_vectors!F$2</f>
        <v>0</v>
      </c>
      <c r="G12" s="7" t="n">
        <f aca="false">T3_cost_vectors!G13*T3_cost_vectors!G$2</f>
        <v>0</v>
      </c>
      <c r="H12" s="7" t="n">
        <f aca="false">T3_cost_vectors!H13*T3_cost_vectors!H$2</f>
        <v>0</v>
      </c>
      <c r="I12" s="7" t="n">
        <f aca="false">T3_cost_vectors!I13*T3_cost_vectors!I$2</f>
        <v>-0</v>
      </c>
      <c r="J12" s="7" t="n">
        <f aca="false">T3_cost_vectors!J13*T3_cost_vectors!J$2</f>
        <v>0</v>
      </c>
      <c r="K12" s="7" t="n">
        <f aca="false">T3_cost_vectors!K13*T3_cost_vectors!K$2</f>
        <v>0</v>
      </c>
      <c r="L12" s="7" t="n">
        <f aca="false">T3_cost_vectors!L13*T3_cost_vectors!L$2</f>
        <v>0</v>
      </c>
      <c r="M12" s="7" t="n">
        <f aca="false">T3_cost_vectors!M13*T3_cost_vectors!M$2</f>
        <v>0</v>
      </c>
      <c r="N12" s="18" t="n">
        <f aca="false">SUM(B12:M12)</f>
        <v>0</v>
      </c>
    </row>
    <row r="13" customFormat="false" ht="15" hidden="false" customHeight="false" outlineLevel="0" collapsed="false">
      <c r="A13" s="4" t="s">
        <v>72</v>
      </c>
      <c r="B13" s="7" t="n">
        <f aca="false">T3_cost_vectors!B14*T3_cost_vectors!B$2</f>
        <v>0</v>
      </c>
      <c r="C13" s="7" t="n">
        <f aca="false">T3_cost_vectors!C14*T3_cost_vectors!C$2</f>
        <v>0</v>
      </c>
      <c r="D13" s="7" t="n">
        <f aca="false">T3_cost_vectors!D14*T3_cost_vectors!D$2</f>
        <v>0</v>
      </c>
      <c r="E13" s="7" t="n">
        <f aca="false">T3_cost_vectors!E14*T3_cost_vectors!E$2</f>
        <v>0</v>
      </c>
      <c r="F13" s="7" t="n">
        <f aca="false">T3_cost_vectors!F14*T3_cost_vectors!F$2</f>
        <v>0</v>
      </c>
      <c r="G13" s="7" t="n">
        <f aca="false">T3_cost_vectors!G14*T3_cost_vectors!G$2</f>
        <v>0</v>
      </c>
      <c r="H13" s="7" t="n">
        <f aca="false">T3_cost_vectors!H14*T3_cost_vectors!H$2</f>
        <v>0</v>
      </c>
      <c r="I13" s="7" t="n">
        <f aca="false">T3_cost_vectors!I14*T3_cost_vectors!I$2</f>
        <v>-0</v>
      </c>
      <c r="J13" s="7" t="n">
        <f aca="false">T3_cost_vectors!J14*T3_cost_vectors!J$2</f>
        <v>0</v>
      </c>
      <c r="K13" s="7" t="n">
        <f aca="false">T3_cost_vectors!K14*T3_cost_vectors!K$2</f>
        <v>0</v>
      </c>
      <c r="L13" s="7" t="n">
        <f aca="false">T3_cost_vectors!L14*T3_cost_vectors!L$2</f>
        <v>0</v>
      </c>
      <c r="M13" s="7" t="n">
        <f aca="false">T3_cost_vectors!M14*T3_cost_vectors!M$2</f>
        <v>0</v>
      </c>
      <c r="N13" s="18" t="n">
        <f aca="false">SUM(B13:M13)</f>
        <v>0</v>
      </c>
    </row>
    <row r="14" customFormat="false" ht="15" hidden="false" customHeight="false" outlineLevel="0" collapsed="false">
      <c r="A14" s="4" t="s">
        <v>73</v>
      </c>
      <c r="B14" s="7" t="n">
        <f aca="false">T3_cost_vectors!B15*T3_cost_vectors!B$2</f>
        <v>1.5966</v>
      </c>
      <c r="C14" s="7" t="n">
        <f aca="false">T3_cost_vectors!C15*T3_cost_vectors!C$2</f>
        <v>0</v>
      </c>
      <c r="D14" s="7" t="n">
        <f aca="false">T3_cost_vectors!D15*T3_cost_vectors!D$2</f>
        <v>0</v>
      </c>
      <c r="E14" s="7" t="n">
        <f aca="false">T3_cost_vectors!E15*T3_cost_vectors!E$2</f>
        <v>0</v>
      </c>
      <c r="F14" s="7" t="n">
        <f aca="false">T3_cost_vectors!F15*T3_cost_vectors!F$2</f>
        <v>0</v>
      </c>
      <c r="G14" s="7" t="n">
        <f aca="false">T3_cost_vectors!G15*T3_cost_vectors!G$2</f>
        <v>0</v>
      </c>
      <c r="H14" s="7" t="n">
        <f aca="false">T3_cost_vectors!H15*T3_cost_vectors!H$2</f>
        <v>0</v>
      </c>
      <c r="I14" s="7" t="n">
        <f aca="false">T3_cost_vectors!I15*T3_cost_vectors!I$2</f>
        <v>-0</v>
      </c>
      <c r="J14" s="7" t="n">
        <f aca="false">T3_cost_vectors!J15*T3_cost_vectors!J$2</f>
        <v>0</v>
      </c>
      <c r="K14" s="7" t="n">
        <f aca="false">T3_cost_vectors!K15*T3_cost_vectors!K$2</f>
        <v>0</v>
      </c>
      <c r="L14" s="7" t="n">
        <f aca="false">T3_cost_vectors!L15*T3_cost_vectors!L$2</f>
        <v>0</v>
      </c>
      <c r="M14" s="7" t="n">
        <f aca="false">T3_cost_vectors!M15*T3_cost_vectors!M$2</f>
        <v>0</v>
      </c>
      <c r="N14" s="18" t="n">
        <f aca="false">SUM(B14:M14)</f>
        <v>1.5966</v>
      </c>
    </row>
    <row r="15" customFormat="false" ht="15" hidden="false" customHeight="false" outlineLevel="0" collapsed="false">
      <c r="A15" s="4" t="s">
        <v>74</v>
      </c>
      <c r="B15" s="7" t="n">
        <f aca="false">T3_cost_vectors!B16*T3_cost_vectors!B$2</f>
        <v>0</v>
      </c>
      <c r="C15" s="7" t="n">
        <f aca="false">T3_cost_vectors!C16*T3_cost_vectors!C$2</f>
        <v>0</v>
      </c>
      <c r="D15" s="7" t="n">
        <f aca="false">T3_cost_vectors!D16*T3_cost_vectors!D$2</f>
        <v>0</v>
      </c>
      <c r="E15" s="7" t="n">
        <f aca="false">T3_cost_vectors!E16*T3_cost_vectors!E$2</f>
        <v>0</v>
      </c>
      <c r="F15" s="7" t="n">
        <f aca="false">T3_cost_vectors!F16*T3_cost_vectors!F$2</f>
        <v>0</v>
      </c>
      <c r="G15" s="7" t="n">
        <f aca="false">T3_cost_vectors!G16*T3_cost_vectors!G$2</f>
        <v>0</v>
      </c>
      <c r="H15" s="7" t="n">
        <f aca="false">T3_cost_vectors!H16*T3_cost_vectors!H$2</f>
        <v>0</v>
      </c>
      <c r="I15" s="7" t="n">
        <f aca="false">T3_cost_vectors!I16*T3_cost_vectors!I$2</f>
        <v>-0</v>
      </c>
      <c r="J15" s="7" t="n">
        <f aca="false">T3_cost_vectors!J16*T3_cost_vectors!J$2</f>
        <v>0</v>
      </c>
      <c r="K15" s="7" t="n">
        <f aca="false">T3_cost_vectors!K16*T3_cost_vectors!K$2</f>
        <v>0</v>
      </c>
      <c r="L15" s="7" t="n">
        <f aca="false">T3_cost_vectors!L16*T3_cost_vectors!L$2</f>
        <v>0</v>
      </c>
      <c r="M15" s="7" t="n">
        <f aca="false">T3_cost_vectors!M16*T3_cost_vectors!M$2</f>
        <v>0</v>
      </c>
      <c r="N15" s="18" t="n">
        <f aca="false">SUM(B15:M15)</f>
        <v>0</v>
      </c>
    </row>
    <row r="16" customFormat="false" ht="15" hidden="false" customHeight="false" outlineLevel="0" collapsed="false">
      <c r="A16" s="4" t="s">
        <v>75</v>
      </c>
      <c r="B16" s="7" t="n">
        <f aca="false">T3_cost_vectors!B17*T3_cost_vectors!B$2</f>
        <v>0</v>
      </c>
      <c r="C16" s="7" t="n">
        <f aca="false">T3_cost_vectors!C17*T3_cost_vectors!C$2</f>
        <v>0</v>
      </c>
      <c r="D16" s="7" t="n">
        <f aca="false">T3_cost_vectors!D17*T3_cost_vectors!D$2</f>
        <v>0</v>
      </c>
      <c r="E16" s="7" t="n">
        <f aca="false">T3_cost_vectors!E17*T3_cost_vectors!E$2</f>
        <v>0</v>
      </c>
      <c r="F16" s="7" t="n">
        <f aca="false">T3_cost_vectors!F17*T3_cost_vectors!F$2</f>
        <v>0</v>
      </c>
      <c r="G16" s="7" t="n">
        <f aca="false">T3_cost_vectors!G17*T3_cost_vectors!G$2</f>
        <v>0</v>
      </c>
      <c r="H16" s="7" t="n">
        <f aca="false">T3_cost_vectors!H17*T3_cost_vectors!H$2</f>
        <v>0</v>
      </c>
      <c r="I16" s="7" t="n">
        <f aca="false">T3_cost_vectors!I17*T3_cost_vectors!I$2</f>
        <v>-0</v>
      </c>
      <c r="J16" s="7" t="n">
        <f aca="false">T3_cost_vectors!J17*T3_cost_vectors!J$2</f>
        <v>0</v>
      </c>
      <c r="K16" s="7" t="n">
        <f aca="false">T3_cost_vectors!K17*T3_cost_vectors!K$2</f>
        <v>0</v>
      </c>
      <c r="L16" s="7" t="n">
        <f aca="false">T3_cost_vectors!L17*T3_cost_vectors!L$2</f>
        <v>0</v>
      </c>
      <c r="M16" s="7" t="n">
        <f aca="false">T3_cost_vectors!M17*T3_cost_vectors!M$2</f>
        <v>0</v>
      </c>
      <c r="N16" s="18" t="n">
        <f aca="false">SUM(B16:M16)</f>
        <v>0</v>
      </c>
    </row>
    <row r="17" customFormat="false" ht="15" hidden="false" customHeight="false" outlineLevel="0" collapsed="false">
      <c r="A17" s="4" t="s">
        <v>76</v>
      </c>
      <c r="B17" s="7" t="n">
        <f aca="false">T3_cost_vectors!B18*T3_cost_vectors!B$2</f>
        <v>0</v>
      </c>
      <c r="C17" s="7" t="n">
        <f aca="false">T3_cost_vectors!C18*T3_cost_vectors!C$2</f>
        <v>0</v>
      </c>
      <c r="D17" s="7" t="n">
        <f aca="false">T3_cost_vectors!D18*T3_cost_vectors!D$2</f>
        <v>0</v>
      </c>
      <c r="E17" s="7" t="n">
        <f aca="false">T3_cost_vectors!E18*T3_cost_vectors!E$2</f>
        <v>0</v>
      </c>
      <c r="F17" s="7" t="n">
        <f aca="false">T3_cost_vectors!F18*T3_cost_vectors!F$2</f>
        <v>0</v>
      </c>
      <c r="G17" s="7" t="n">
        <f aca="false">T3_cost_vectors!G18*T3_cost_vectors!G$2</f>
        <v>0</v>
      </c>
      <c r="H17" s="7" t="n">
        <f aca="false">T3_cost_vectors!H18*T3_cost_vectors!H$2</f>
        <v>0</v>
      </c>
      <c r="I17" s="7" t="n">
        <f aca="false">T3_cost_vectors!I18*T3_cost_vectors!I$2</f>
        <v>-0</v>
      </c>
      <c r="J17" s="7" t="n">
        <f aca="false">T3_cost_vectors!J18*T3_cost_vectors!J$2</f>
        <v>1.8159</v>
      </c>
      <c r="K17" s="7" t="n">
        <f aca="false">T3_cost_vectors!K18*T3_cost_vectors!K$2</f>
        <v>0</v>
      </c>
      <c r="L17" s="7" t="n">
        <f aca="false">T3_cost_vectors!L18*T3_cost_vectors!L$2</f>
        <v>0</v>
      </c>
      <c r="M17" s="7" t="n">
        <f aca="false">T3_cost_vectors!M18*T3_cost_vectors!M$2</f>
        <v>0</v>
      </c>
      <c r="N17" s="18" t="n">
        <f aca="false">SUM(B17:M17)</f>
        <v>1.8159</v>
      </c>
    </row>
    <row r="18" customFormat="false" ht="15" hidden="false" customHeight="false" outlineLevel="0" collapsed="false">
      <c r="A18" s="4" t="s">
        <v>77</v>
      </c>
      <c r="B18" s="7" t="n">
        <f aca="false">T3_cost_vectors!B19*T3_cost_vectors!B$2</f>
        <v>0</v>
      </c>
      <c r="C18" s="7" t="n">
        <f aca="false">T3_cost_vectors!C19*T3_cost_vectors!C$2</f>
        <v>0</v>
      </c>
      <c r="D18" s="7" t="n">
        <f aca="false">T3_cost_vectors!D19*T3_cost_vectors!D$2</f>
        <v>0</v>
      </c>
      <c r="E18" s="7" t="n">
        <f aca="false">T3_cost_vectors!E19*T3_cost_vectors!E$2</f>
        <v>0</v>
      </c>
      <c r="F18" s="7" t="n">
        <f aca="false">T3_cost_vectors!F19*T3_cost_vectors!F$2</f>
        <v>0</v>
      </c>
      <c r="G18" s="7" t="n">
        <f aca="false">T3_cost_vectors!G19*T3_cost_vectors!G$2</f>
        <v>0</v>
      </c>
      <c r="H18" s="7" t="n">
        <f aca="false">T3_cost_vectors!H19*T3_cost_vectors!H$2</f>
        <v>0</v>
      </c>
      <c r="I18" s="7" t="n">
        <f aca="false">T3_cost_vectors!I19*T3_cost_vectors!I$2</f>
        <v>-0</v>
      </c>
      <c r="J18" s="7" t="n">
        <f aca="false">T3_cost_vectors!J19*T3_cost_vectors!J$2</f>
        <v>0</v>
      </c>
      <c r="K18" s="7" t="n">
        <f aca="false">T3_cost_vectors!K19*T3_cost_vectors!K$2</f>
        <v>0</v>
      </c>
      <c r="L18" s="7" t="n">
        <f aca="false">T3_cost_vectors!L19*T3_cost_vectors!L$2</f>
        <v>0</v>
      </c>
      <c r="M18" s="7" t="n">
        <f aca="false">T3_cost_vectors!M19*T3_cost_vectors!M$2</f>
        <v>0</v>
      </c>
      <c r="N18" s="18" t="n">
        <f aca="false">SUM(B18:M18)</f>
        <v>0</v>
      </c>
    </row>
    <row r="19" customFormat="false" ht="15" hidden="false" customHeight="false" outlineLevel="0" collapsed="false">
      <c r="A19" s="4" t="s">
        <v>78</v>
      </c>
      <c r="B19" s="7" t="n">
        <f aca="false">T3_cost_vectors!B20*T3_cost_vectors!B$2</f>
        <v>1.5966</v>
      </c>
      <c r="C19" s="7" t="n">
        <f aca="false">T3_cost_vectors!C20*T3_cost_vectors!C$2</f>
        <v>0</v>
      </c>
      <c r="D19" s="7" t="n">
        <f aca="false">T3_cost_vectors!D20*T3_cost_vectors!D$2</f>
        <v>0</v>
      </c>
      <c r="E19" s="7" t="n">
        <f aca="false">T3_cost_vectors!E20*T3_cost_vectors!E$2</f>
        <v>0</v>
      </c>
      <c r="F19" s="7" t="n">
        <f aca="false">T3_cost_vectors!F20*T3_cost_vectors!F$2</f>
        <v>0</v>
      </c>
      <c r="G19" s="7" t="n">
        <f aca="false">T3_cost_vectors!G20*T3_cost_vectors!G$2</f>
        <v>0</v>
      </c>
      <c r="H19" s="7" t="n">
        <f aca="false">T3_cost_vectors!H20*T3_cost_vectors!H$2</f>
        <v>0</v>
      </c>
      <c r="I19" s="7" t="n">
        <f aca="false">T3_cost_vectors!I20*T3_cost_vectors!I$2</f>
        <v>-0</v>
      </c>
      <c r="J19" s="7" t="n">
        <f aca="false">T3_cost_vectors!J20*T3_cost_vectors!J$2</f>
        <v>0</v>
      </c>
      <c r="K19" s="7" t="n">
        <f aca="false">T3_cost_vectors!K20*T3_cost_vectors!K$2</f>
        <v>0</v>
      </c>
      <c r="L19" s="7" t="n">
        <f aca="false">T3_cost_vectors!L20*T3_cost_vectors!L$2</f>
        <v>0</v>
      </c>
      <c r="M19" s="7" t="n">
        <f aca="false">T3_cost_vectors!M20*T3_cost_vectors!M$2</f>
        <v>0</v>
      </c>
      <c r="N19" s="18" t="n">
        <f aca="false">SUM(B19:M19)</f>
        <v>1.5966</v>
      </c>
    </row>
    <row r="20" customFormat="false" ht="15" hidden="false" customHeight="false" outlineLevel="0" collapsed="false">
      <c r="A20" s="4" t="s">
        <v>79</v>
      </c>
      <c r="B20" s="7" t="n">
        <f aca="false">T3_cost_vectors!B21*T3_cost_vectors!B$2</f>
        <v>0</v>
      </c>
      <c r="C20" s="7" t="n">
        <f aca="false">T3_cost_vectors!C21*T3_cost_vectors!C$2</f>
        <v>0</v>
      </c>
      <c r="D20" s="7" t="n">
        <f aca="false">T3_cost_vectors!D21*T3_cost_vectors!D$2</f>
        <v>0</v>
      </c>
      <c r="E20" s="7" t="n">
        <f aca="false">T3_cost_vectors!E21*T3_cost_vectors!E$2</f>
        <v>0</v>
      </c>
      <c r="F20" s="7" t="n">
        <f aca="false">T3_cost_vectors!F21*T3_cost_vectors!F$2</f>
        <v>0</v>
      </c>
      <c r="G20" s="7" t="n">
        <f aca="false">T3_cost_vectors!G21*T3_cost_vectors!G$2</f>
        <v>0</v>
      </c>
      <c r="H20" s="7" t="n">
        <f aca="false">T3_cost_vectors!H21*T3_cost_vectors!H$2</f>
        <v>0</v>
      </c>
      <c r="I20" s="7" t="n">
        <f aca="false">T3_cost_vectors!I21*T3_cost_vectors!I$2</f>
        <v>-0</v>
      </c>
      <c r="J20" s="7" t="n">
        <f aca="false">T3_cost_vectors!J21*T3_cost_vectors!J$2</f>
        <v>0</v>
      </c>
      <c r="K20" s="7" t="n">
        <f aca="false">T3_cost_vectors!K21*T3_cost_vectors!K$2</f>
        <v>0</v>
      </c>
      <c r="L20" s="7" t="n">
        <f aca="false">T3_cost_vectors!L21*T3_cost_vectors!L$2</f>
        <v>0</v>
      </c>
      <c r="M20" s="7" t="n">
        <f aca="false">T3_cost_vectors!M21*T3_cost_vectors!M$2</f>
        <v>0</v>
      </c>
      <c r="N20" s="18" t="n">
        <f aca="false">SUM(B20:M20)</f>
        <v>0</v>
      </c>
    </row>
    <row r="21" customFormat="false" ht="15" hidden="false" customHeight="false" outlineLevel="0" collapsed="false">
      <c r="A21" s="4" t="s">
        <v>80</v>
      </c>
      <c r="B21" s="7" t="n">
        <f aca="false">T3_cost_vectors!B22*T3_cost_vectors!B$2</f>
        <v>0</v>
      </c>
      <c r="C21" s="7" t="n">
        <f aca="false">T3_cost_vectors!C22*T3_cost_vectors!C$2</f>
        <v>0</v>
      </c>
      <c r="D21" s="7" t="n">
        <f aca="false">T3_cost_vectors!D22*T3_cost_vectors!D$2</f>
        <v>0</v>
      </c>
      <c r="E21" s="7" t="n">
        <f aca="false">T3_cost_vectors!E22*T3_cost_vectors!E$2</f>
        <v>0</v>
      </c>
      <c r="F21" s="7" t="n">
        <f aca="false">T3_cost_vectors!F22*T3_cost_vectors!F$2</f>
        <v>0</v>
      </c>
      <c r="G21" s="7" t="n">
        <f aca="false">T3_cost_vectors!G22*T3_cost_vectors!G$2</f>
        <v>0</v>
      </c>
      <c r="H21" s="7" t="n">
        <f aca="false">T3_cost_vectors!H22*T3_cost_vectors!H$2</f>
        <v>0</v>
      </c>
      <c r="I21" s="7" t="n">
        <f aca="false">T3_cost_vectors!I22*T3_cost_vectors!I$2</f>
        <v>-0</v>
      </c>
      <c r="J21" s="7" t="n">
        <f aca="false">T3_cost_vectors!J22*T3_cost_vectors!J$2</f>
        <v>0</v>
      </c>
      <c r="K21" s="7" t="n">
        <f aca="false">T3_cost_vectors!K22*T3_cost_vectors!K$2</f>
        <v>0</v>
      </c>
      <c r="L21" s="7" t="n">
        <f aca="false">T3_cost_vectors!L22*T3_cost_vectors!L$2</f>
        <v>0</v>
      </c>
      <c r="M21" s="7" t="n">
        <f aca="false">T3_cost_vectors!M22*T3_cost_vectors!M$2</f>
        <v>0</v>
      </c>
      <c r="N21" s="18" t="n">
        <f aca="false">SUM(B21:M21)</f>
        <v>0</v>
      </c>
    </row>
    <row r="22" customFormat="false" ht="15" hidden="false" customHeight="false" outlineLevel="0" collapsed="false">
      <c r="A22" s="4" t="s">
        <v>81</v>
      </c>
      <c r="B22" s="7" t="n">
        <f aca="false">T3_cost_vectors!B23*T3_cost_vectors!B$2</f>
        <v>0</v>
      </c>
      <c r="C22" s="7" t="n">
        <f aca="false">T3_cost_vectors!C23*T3_cost_vectors!C$2</f>
        <v>0</v>
      </c>
      <c r="D22" s="7" t="n">
        <f aca="false">T3_cost_vectors!D23*T3_cost_vectors!D$2</f>
        <v>0</v>
      </c>
      <c r="E22" s="7" t="n">
        <f aca="false">T3_cost_vectors!E23*T3_cost_vectors!E$2</f>
        <v>0</v>
      </c>
      <c r="F22" s="7" t="n">
        <f aca="false">T3_cost_vectors!F23*T3_cost_vectors!F$2</f>
        <v>0</v>
      </c>
      <c r="G22" s="7" t="n">
        <f aca="false">T3_cost_vectors!G23*T3_cost_vectors!G$2</f>
        <v>0</v>
      </c>
      <c r="H22" s="7" t="n">
        <f aca="false">T3_cost_vectors!H23*T3_cost_vectors!H$2</f>
        <v>0</v>
      </c>
      <c r="I22" s="7" t="n">
        <f aca="false">T3_cost_vectors!I23*T3_cost_vectors!I$2</f>
        <v>-0</v>
      </c>
      <c r="J22" s="7" t="n">
        <f aca="false">T3_cost_vectors!J23*T3_cost_vectors!J$2</f>
        <v>0</v>
      </c>
      <c r="K22" s="7" t="n">
        <f aca="false">T3_cost_vectors!K23*T3_cost_vectors!K$2</f>
        <v>0</v>
      </c>
      <c r="L22" s="7" t="n">
        <f aca="false">T3_cost_vectors!L23*T3_cost_vectors!L$2</f>
        <v>0</v>
      </c>
      <c r="M22" s="7" t="n">
        <f aca="false">T3_cost_vectors!M23*T3_cost_vectors!M$2</f>
        <v>0</v>
      </c>
      <c r="N22" s="18" t="n">
        <f aca="false">SUM(B22:M22)</f>
        <v>0</v>
      </c>
    </row>
    <row r="23" customFormat="false" ht="15" hidden="false" customHeight="false" outlineLevel="0" collapsed="false">
      <c r="A23" s="4" t="s">
        <v>82</v>
      </c>
      <c r="B23" s="7" t="n">
        <f aca="false">T3_cost_vectors!B24*T3_cost_vectors!B$2</f>
        <v>0</v>
      </c>
      <c r="C23" s="7" t="n">
        <f aca="false">T3_cost_vectors!C24*T3_cost_vectors!C$2</f>
        <v>0</v>
      </c>
      <c r="D23" s="7" t="n">
        <f aca="false">T3_cost_vectors!D24*T3_cost_vectors!D$2</f>
        <v>0</v>
      </c>
      <c r="E23" s="7" t="n">
        <f aca="false">T3_cost_vectors!E24*T3_cost_vectors!E$2</f>
        <v>0</v>
      </c>
      <c r="F23" s="7" t="n">
        <f aca="false">T3_cost_vectors!F24*T3_cost_vectors!F$2</f>
        <v>0</v>
      </c>
      <c r="G23" s="7" t="n">
        <f aca="false">T3_cost_vectors!G24*T3_cost_vectors!G$2</f>
        <v>0</v>
      </c>
      <c r="H23" s="7" t="n">
        <f aca="false">T3_cost_vectors!H24*T3_cost_vectors!H$2</f>
        <v>0</v>
      </c>
      <c r="I23" s="7" t="n">
        <f aca="false">T3_cost_vectors!I24*T3_cost_vectors!I$2</f>
        <v>-0</v>
      </c>
      <c r="J23" s="7" t="n">
        <f aca="false">T3_cost_vectors!J24*T3_cost_vectors!J$2</f>
        <v>0</v>
      </c>
      <c r="K23" s="7" t="n">
        <f aca="false">T3_cost_vectors!K24*T3_cost_vectors!K$2</f>
        <v>0</v>
      </c>
      <c r="L23" s="7" t="n">
        <f aca="false">T3_cost_vectors!L24*T3_cost_vectors!L$2</f>
        <v>0</v>
      </c>
      <c r="M23" s="7" t="n">
        <f aca="false">T3_cost_vectors!M24*T3_cost_vectors!M$2</f>
        <v>0</v>
      </c>
      <c r="N23" s="18" t="n">
        <f aca="false">SUM(B23:M23)</f>
        <v>0</v>
      </c>
    </row>
    <row r="24" customFormat="false" ht="15" hidden="false" customHeight="false" outlineLevel="0" collapsed="false">
      <c r="A24" s="4" t="s">
        <v>83</v>
      </c>
      <c r="B24" s="7" t="n">
        <f aca="false">T3_cost_vectors!B25*T3_cost_vectors!B$2</f>
        <v>0</v>
      </c>
      <c r="C24" s="7" t="n">
        <f aca="false">T3_cost_vectors!C25*T3_cost_vectors!C$2</f>
        <v>0</v>
      </c>
      <c r="D24" s="7" t="n">
        <f aca="false">T3_cost_vectors!D25*T3_cost_vectors!D$2</f>
        <v>0</v>
      </c>
      <c r="E24" s="7" t="n">
        <f aca="false">T3_cost_vectors!E25*T3_cost_vectors!E$2</f>
        <v>0</v>
      </c>
      <c r="F24" s="7" t="n">
        <f aca="false">T3_cost_vectors!F25*T3_cost_vectors!F$2</f>
        <v>0</v>
      </c>
      <c r="G24" s="7" t="n">
        <f aca="false">T3_cost_vectors!G25*T3_cost_vectors!G$2</f>
        <v>0</v>
      </c>
      <c r="H24" s="7" t="n">
        <f aca="false">T3_cost_vectors!H25*T3_cost_vectors!H$2</f>
        <v>0</v>
      </c>
      <c r="I24" s="7" t="n">
        <f aca="false">T3_cost_vectors!I25*T3_cost_vectors!I$2</f>
        <v>-0</v>
      </c>
      <c r="J24" s="7" t="n">
        <f aca="false">T3_cost_vectors!J25*T3_cost_vectors!J$2</f>
        <v>0</v>
      </c>
      <c r="K24" s="7" t="n">
        <f aca="false">T3_cost_vectors!K25*T3_cost_vectors!K$2</f>
        <v>0</v>
      </c>
      <c r="L24" s="7" t="n">
        <f aca="false">T3_cost_vectors!L25*T3_cost_vectors!L$2</f>
        <v>0</v>
      </c>
      <c r="M24" s="7" t="n">
        <f aca="false">T3_cost_vectors!M25*T3_cost_vectors!M$2</f>
        <v>0</v>
      </c>
      <c r="N24" s="18" t="n">
        <f aca="false">SUM(B24:M24)</f>
        <v>0</v>
      </c>
    </row>
    <row r="25" customFormat="false" ht="15" hidden="false" customHeight="false" outlineLevel="0" collapsed="false">
      <c r="A25" s="4" t="s">
        <v>84</v>
      </c>
      <c r="B25" s="7" t="n">
        <f aca="false">T3_cost_vectors!B26*T3_cost_vectors!B$2</f>
        <v>0</v>
      </c>
      <c r="C25" s="7" t="n">
        <f aca="false">T3_cost_vectors!C26*T3_cost_vectors!C$2</f>
        <v>0</v>
      </c>
      <c r="D25" s="7" t="n">
        <f aca="false">T3_cost_vectors!D26*T3_cost_vectors!D$2</f>
        <v>0</v>
      </c>
      <c r="E25" s="7" t="n">
        <f aca="false">T3_cost_vectors!E26*T3_cost_vectors!E$2</f>
        <v>0</v>
      </c>
      <c r="F25" s="7" t="n">
        <f aca="false">T3_cost_vectors!F26*T3_cost_vectors!F$2</f>
        <v>0</v>
      </c>
      <c r="G25" s="7" t="n">
        <f aca="false">T3_cost_vectors!G26*T3_cost_vectors!G$2</f>
        <v>0</v>
      </c>
      <c r="H25" s="7" t="n">
        <f aca="false">T3_cost_vectors!H26*T3_cost_vectors!H$2</f>
        <v>0</v>
      </c>
      <c r="I25" s="7" t="n">
        <f aca="false">T3_cost_vectors!I26*T3_cost_vectors!I$2</f>
        <v>-0</v>
      </c>
      <c r="J25" s="7" t="n">
        <f aca="false">T3_cost_vectors!J26*T3_cost_vectors!J$2</f>
        <v>0</v>
      </c>
      <c r="K25" s="7" t="n">
        <f aca="false">T3_cost_vectors!K26*T3_cost_vectors!K$2</f>
        <v>0</v>
      </c>
      <c r="L25" s="7" t="n">
        <f aca="false">T3_cost_vectors!L26*T3_cost_vectors!L$2</f>
        <v>0</v>
      </c>
      <c r="M25" s="7" t="n">
        <f aca="false">T3_cost_vectors!M26*T3_cost_vectors!M$2</f>
        <v>0</v>
      </c>
      <c r="N25" s="18" t="n">
        <f aca="false">SUM(B25:M25)</f>
        <v>0</v>
      </c>
    </row>
    <row r="26" customFormat="false" ht="15" hidden="false" customHeight="false" outlineLevel="0" collapsed="false">
      <c r="A26" s="4" t="s">
        <v>85</v>
      </c>
      <c r="B26" s="7" t="n">
        <f aca="false">T3_cost_vectors!B27*T3_cost_vectors!B$2</f>
        <v>0</v>
      </c>
      <c r="C26" s="7" t="n">
        <f aca="false">T3_cost_vectors!C27*T3_cost_vectors!C$2</f>
        <v>0</v>
      </c>
      <c r="D26" s="7" t="n">
        <f aca="false">T3_cost_vectors!D27*T3_cost_vectors!D$2</f>
        <v>0</v>
      </c>
      <c r="E26" s="7" t="n">
        <f aca="false">T3_cost_vectors!E27*T3_cost_vectors!E$2</f>
        <v>0</v>
      </c>
      <c r="F26" s="7" t="n">
        <f aca="false">T3_cost_vectors!F27*T3_cost_vectors!F$2</f>
        <v>0</v>
      </c>
      <c r="G26" s="7" t="n">
        <f aca="false">T3_cost_vectors!G27*T3_cost_vectors!G$2</f>
        <v>0</v>
      </c>
      <c r="H26" s="7" t="n">
        <f aca="false">T3_cost_vectors!H27*T3_cost_vectors!H$2</f>
        <v>0</v>
      </c>
      <c r="I26" s="7" t="n">
        <f aca="false">T3_cost_vectors!I27*T3_cost_vectors!I$2</f>
        <v>-0</v>
      </c>
      <c r="J26" s="7" t="n">
        <f aca="false">T3_cost_vectors!J27*T3_cost_vectors!J$2</f>
        <v>0</v>
      </c>
      <c r="K26" s="7" t="n">
        <f aca="false">T3_cost_vectors!K27*T3_cost_vectors!K$2</f>
        <v>0</v>
      </c>
      <c r="L26" s="7" t="n">
        <f aca="false">T3_cost_vectors!L27*T3_cost_vectors!L$2</f>
        <v>0</v>
      </c>
      <c r="M26" s="7" t="n">
        <f aca="false">T3_cost_vectors!M27*T3_cost_vectors!M$2</f>
        <v>0</v>
      </c>
      <c r="N26" s="18" t="n">
        <f aca="false">SUM(B26:M26)</f>
        <v>0</v>
      </c>
    </row>
    <row r="27" customFormat="false" ht="15" hidden="false" customHeight="false" outlineLevel="0" collapsed="false">
      <c r="A27" s="4" t="s">
        <v>86</v>
      </c>
      <c r="B27" s="7" t="n">
        <f aca="false">T3_cost_vectors!B28*T3_cost_vectors!B$2</f>
        <v>0</v>
      </c>
      <c r="C27" s="7" t="n">
        <f aca="false">T3_cost_vectors!C28*T3_cost_vectors!C$2</f>
        <v>0</v>
      </c>
      <c r="D27" s="7" t="n">
        <f aca="false">T3_cost_vectors!D28*T3_cost_vectors!D$2</f>
        <v>0</v>
      </c>
      <c r="E27" s="7" t="n">
        <f aca="false">T3_cost_vectors!E28*T3_cost_vectors!E$2</f>
        <v>0</v>
      </c>
      <c r="F27" s="7" t="n">
        <f aca="false">T3_cost_vectors!F28*T3_cost_vectors!F$2</f>
        <v>0</v>
      </c>
      <c r="G27" s="7" t="n">
        <f aca="false">T3_cost_vectors!G28*T3_cost_vectors!G$2</f>
        <v>0</v>
      </c>
      <c r="H27" s="7" t="n">
        <f aca="false">T3_cost_vectors!H28*T3_cost_vectors!H$2</f>
        <v>0</v>
      </c>
      <c r="I27" s="7" t="n">
        <f aca="false">T3_cost_vectors!I28*T3_cost_vectors!I$2</f>
        <v>-0</v>
      </c>
      <c r="J27" s="7" t="n">
        <f aca="false">T3_cost_vectors!J28*T3_cost_vectors!J$2</f>
        <v>0</v>
      </c>
      <c r="K27" s="7" t="n">
        <f aca="false">T3_cost_vectors!K28*T3_cost_vectors!K$2</f>
        <v>0</v>
      </c>
      <c r="L27" s="7" t="n">
        <f aca="false">T3_cost_vectors!L28*T3_cost_vectors!L$2</f>
        <v>0</v>
      </c>
      <c r="M27" s="7" t="n">
        <f aca="false">T3_cost_vectors!M28*T3_cost_vectors!M$2</f>
        <v>0</v>
      </c>
      <c r="N27" s="18" t="n">
        <f aca="false">SUM(B27:M27)</f>
        <v>0</v>
      </c>
    </row>
    <row r="28" customFormat="false" ht="15" hidden="false" customHeight="false" outlineLevel="0" collapsed="false">
      <c r="A28" s="4" t="s">
        <v>87</v>
      </c>
      <c r="B28" s="7" t="n">
        <f aca="false">T3_cost_vectors!B29*T3_cost_vectors!B$2</f>
        <v>0</v>
      </c>
      <c r="C28" s="7" t="n">
        <f aca="false">T3_cost_vectors!C29*T3_cost_vectors!C$2</f>
        <v>0</v>
      </c>
      <c r="D28" s="7" t="n">
        <f aca="false">T3_cost_vectors!D29*T3_cost_vectors!D$2</f>
        <v>0</v>
      </c>
      <c r="E28" s="7" t="n">
        <f aca="false">T3_cost_vectors!E29*T3_cost_vectors!E$2</f>
        <v>61.41489</v>
      </c>
      <c r="F28" s="7" t="n">
        <f aca="false">T3_cost_vectors!F29*T3_cost_vectors!F$2</f>
        <v>2.44055</v>
      </c>
      <c r="G28" s="7" t="n">
        <f aca="false">T3_cost_vectors!G29*T3_cost_vectors!G$2</f>
        <v>0</v>
      </c>
      <c r="H28" s="7" t="n">
        <f aca="false">T3_cost_vectors!H29*T3_cost_vectors!H$2</f>
        <v>0</v>
      </c>
      <c r="I28" s="7" t="n">
        <f aca="false">T3_cost_vectors!I29*T3_cost_vectors!I$2</f>
        <v>-0</v>
      </c>
      <c r="J28" s="7" t="n">
        <f aca="false">T3_cost_vectors!J29*T3_cost_vectors!J$2</f>
        <v>0</v>
      </c>
      <c r="K28" s="7" t="n">
        <f aca="false">T3_cost_vectors!K29*T3_cost_vectors!K$2</f>
        <v>0</v>
      </c>
      <c r="L28" s="7" t="n">
        <f aca="false">T3_cost_vectors!L29*T3_cost_vectors!L$2</f>
        <v>0</v>
      </c>
      <c r="M28" s="7" t="n">
        <f aca="false">T3_cost_vectors!M29*T3_cost_vectors!M$2</f>
        <v>0</v>
      </c>
      <c r="N28" s="18" t="n">
        <f aca="false">SUM(B28:M28)</f>
        <v>63.85544</v>
      </c>
    </row>
    <row r="29" customFormat="false" ht="15" hidden="false" customHeight="false" outlineLevel="0" collapsed="false">
      <c r="A29" s="4" t="s">
        <v>88</v>
      </c>
      <c r="B29" s="7" t="n">
        <f aca="false">T3_cost_vectors!B30*T3_cost_vectors!B$2</f>
        <v>0</v>
      </c>
      <c r="C29" s="7" t="n">
        <f aca="false">T3_cost_vectors!C30*T3_cost_vectors!C$2</f>
        <v>0</v>
      </c>
      <c r="D29" s="7" t="n">
        <f aca="false">T3_cost_vectors!D30*T3_cost_vectors!D$2</f>
        <v>0</v>
      </c>
      <c r="E29" s="7" t="n">
        <f aca="false">T3_cost_vectors!E30*T3_cost_vectors!E$2</f>
        <v>0</v>
      </c>
      <c r="F29" s="7" t="n">
        <f aca="false">T3_cost_vectors!F30*T3_cost_vectors!F$2</f>
        <v>0</v>
      </c>
      <c r="G29" s="7" t="n">
        <f aca="false">T3_cost_vectors!G30*T3_cost_vectors!G$2</f>
        <v>0</v>
      </c>
      <c r="H29" s="7" t="n">
        <f aca="false">T3_cost_vectors!H30*T3_cost_vectors!H$2</f>
        <v>9.77688</v>
      </c>
      <c r="I29" s="7" t="n">
        <f aca="false">T3_cost_vectors!I30*T3_cost_vectors!I$2</f>
        <v>-0</v>
      </c>
      <c r="J29" s="7" t="n">
        <f aca="false">T3_cost_vectors!J30*T3_cost_vectors!J$2</f>
        <v>0</v>
      </c>
      <c r="K29" s="7" t="n">
        <f aca="false">T3_cost_vectors!K30*T3_cost_vectors!K$2</f>
        <v>0</v>
      </c>
      <c r="L29" s="7" t="n">
        <f aca="false">T3_cost_vectors!L30*T3_cost_vectors!L$2</f>
        <v>0</v>
      </c>
      <c r="M29" s="7" t="n">
        <f aca="false">T3_cost_vectors!M30*T3_cost_vectors!M$2</f>
        <v>0</v>
      </c>
      <c r="N29" s="18" t="n">
        <f aca="false">SUM(B29:M29)</f>
        <v>9.77688</v>
      </c>
    </row>
    <row r="30" customFormat="false" ht="15" hidden="false" customHeight="false" outlineLevel="0" collapsed="false">
      <c r="A30" s="4" t="s">
        <v>89</v>
      </c>
      <c r="B30" s="7" t="n">
        <f aca="false">T3_cost_vectors!B31*T3_cost_vectors!B$2</f>
        <v>0</v>
      </c>
      <c r="C30" s="7" t="n">
        <f aca="false">T3_cost_vectors!C31*T3_cost_vectors!C$2</f>
        <v>0</v>
      </c>
      <c r="D30" s="7" t="n">
        <f aca="false">T3_cost_vectors!D31*T3_cost_vectors!D$2</f>
        <v>0</v>
      </c>
      <c r="E30" s="7" t="n">
        <f aca="false">T3_cost_vectors!E31*T3_cost_vectors!E$2</f>
        <v>0</v>
      </c>
      <c r="F30" s="7" t="n">
        <f aca="false">T3_cost_vectors!F31*T3_cost_vectors!F$2</f>
        <v>0</v>
      </c>
      <c r="G30" s="7" t="n">
        <f aca="false">T3_cost_vectors!G31*T3_cost_vectors!G$2</f>
        <v>0</v>
      </c>
      <c r="H30" s="7" t="n">
        <f aca="false">T3_cost_vectors!H31*T3_cost_vectors!H$2</f>
        <v>0</v>
      </c>
      <c r="I30" s="7" t="n">
        <f aca="false">T3_cost_vectors!I31*T3_cost_vectors!I$2</f>
        <v>-0</v>
      </c>
      <c r="J30" s="7" t="n">
        <f aca="false">T3_cost_vectors!J31*T3_cost_vectors!J$2</f>
        <v>0</v>
      </c>
      <c r="K30" s="7" t="n">
        <f aca="false">T3_cost_vectors!K31*T3_cost_vectors!K$2</f>
        <v>50.1198</v>
      </c>
      <c r="L30" s="7" t="n">
        <f aca="false">T3_cost_vectors!L31*T3_cost_vectors!L$2</f>
        <v>0</v>
      </c>
      <c r="M30" s="7" t="n">
        <f aca="false">T3_cost_vectors!M31*T3_cost_vectors!M$2</f>
        <v>0</v>
      </c>
      <c r="N30" s="18" t="n">
        <f aca="false">SUM(B30:M30)</f>
        <v>50.1198</v>
      </c>
    </row>
    <row r="31" customFormat="false" ht="15" hidden="false" customHeight="false" outlineLevel="0" collapsed="false">
      <c r="A31" s="4" t="s">
        <v>90</v>
      </c>
      <c r="B31" s="7" t="n">
        <f aca="false">T3_cost_vectors!B32*T3_cost_vectors!B$2</f>
        <v>0</v>
      </c>
      <c r="C31" s="7" t="n">
        <f aca="false">T3_cost_vectors!C32*T3_cost_vectors!C$2</f>
        <v>0</v>
      </c>
      <c r="D31" s="7" t="n">
        <f aca="false">T3_cost_vectors!D32*T3_cost_vectors!D$2</f>
        <v>0</v>
      </c>
      <c r="E31" s="7" t="n">
        <f aca="false">T3_cost_vectors!E32*T3_cost_vectors!E$2</f>
        <v>0</v>
      </c>
      <c r="F31" s="7" t="n">
        <f aca="false">T3_cost_vectors!F32*T3_cost_vectors!F$2</f>
        <v>0</v>
      </c>
      <c r="G31" s="7" t="n">
        <f aca="false">T3_cost_vectors!G32*T3_cost_vectors!G$2</f>
        <v>0</v>
      </c>
      <c r="H31" s="7" t="n">
        <f aca="false">T3_cost_vectors!H32*T3_cost_vectors!H$2</f>
        <v>0</v>
      </c>
      <c r="I31" s="7" t="n">
        <f aca="false">T3_cost_vectors!I32*T3_cost_vectors!I$2</f>
        <v>-0</v>
      </c>
      <c r="J31" s="7" t="n">
        <f aca="false">T3_cost_vectors!J32*T3_cost_vectors!J$2</f>
        <v>4.8424</v>
      </c>
      <c r="K31" s="7" t="n">
        <f aca="false">T3_cost_vectors!K32*T3_cost_vectors!K$2</f>
        <v>16.7066</v>
      </c>
      <c r="L31" s="7" t="n">
        <f aca="false">T3_cost_vectors!L32*T3_cost_vectors!L$2</f>
        <v>0</v>
      </c>
      <c r="M31" s="7" t="n">
        <f aca="false">T3_cost_vectors!M32*T3_cost_vectors!M$2</f>
        <v>0</v>
      </c>
      <c r="N31" s="18" t="n">
        <f aca="false">SUM(B31:M31)</f>
        <v>21.549</v>
      </c>
    </row>
    <row r="32" customFormat="false" ht="15" hidden="false" customHeight="false" outlineLevel="0" collapsed="false">
      <c r="A32" s="4" t="s">
        <v>91</v>
      </c>
      <c r="B32" s="7" t="n">
        <f aca="false">T3_cost_vectors!B33*T3_cost_vectors!B$2</f>
        <v>0</v>
      </c>
      <c r="C32" s="7" t="n">
        <f aca="false">T3_cost_vectors!C33*T3_cost_vectors!C$2</f>
        <v>0</v>
      </c>
      <c r="D32" s="7" t="n">
        <f aca="false">T3_cost_vectors!D33*T3_cost_vectors!D$2</f>
        <v>0</v>
      </c>
      <c r="E32" s="7" t="n">
        <f aca="false">T3_cost_vectors!E33*T3_cost_vectors!E$2</f>
        <v>0</v>
      </c>
      <c r="F32" s="7" t="n">
        <f aca="false">T3_cost_vectors!F33*T3_cost_vectors!F$2</f>
        <v>0</v>
      </c>
      <c r="G32" s="7" t="n">
        <f aca="false">T3_cost_vectors!G33*T3_cost_vectors!G$2</f>
        <v>0</v>
      </c>
      <c r="H32" s="7" t="n">
        <f aca="false">T3_cost_vectors!H33*T3_cost_vectors!H$2</f>
        <v>0</v>
      </c>
      <c r="I32" s="7" t="n">
        <f aca="false">T3_cost_vectors!I33*T3_cost_vectors!I$2</f>
        <v>-0</v>
      </c>
      <c r="J32" s="7" t="n">
        <f aca="false">T3_cost_vectors!J33*T3_cost_vectors!J$2</f>
        <v>0</v>
      </c>
      <c r="K32" s="7" t="n">
        <f aca="false">T3_cost_vectors!K33*T3_cost_vectors!K$2</f>
        <v>100.2396</v>
      </c>
      <c r="L32" s="7" t="n">
        <f aca="false">T3_cost_vectors!L33*T3_cost_vectors!L$2</f>
        <v>12.9277</v>
      </c>
      <c r="M32" s="7" t="n">
        <f aca="false">T3_cost_vectors!M33*T3_cost_vectors!M$2</f>
        <v>0</v>
      </c>
      <c r="N32" s="18" t="n">
        <f aca="false">SUM(B32:M32)</f>
        <v>113.1673</v>
      </c>
    </row>
    <row r="33" customFormat="false" ht="15" hidden="false" customHeight="false" outlineLevel="0" collapsed="false">
      <c r="A33" s="4" t="s">
        <v>92</v>
      </c>
      <c r="B33" s="7" t="n">
        <f aca="false">T3_cost_vectors!B34*T3_cost_vectors!B$2</f>
        <v>0</v>
      </c>
      <c r="C33" s="7" t="n">
        <f aca="false">T3_cost_vectors!C34*T3_cost_vectors!C$2</f>
        <v>0</v>
      </c>
      <c r="D33" s="7" t="n">
        <f aca="false">T3_cost_vectors!D34*T3_cost_vectors!D$2</f>
        <v>25.90356</v>
      </c>
      <c r="E33" s="7" t="n">
        <f aca="false">T3_cost_vectors!E34*T3_cost_vectors!E$2</f>
        <v>0</v>
      </c>
      <c r="F33" s="7" t="n">
        <f aca="false">T3_cost_vectors!F34*T3_cost_vectors!F$2</f>
        <v>0</v>
      </c>
      <c r="G33" s="7" t="n">
        <f aca="false">T3_cost_vectors!G34*T3_cost_vectors!G$2</f>
        <v>0</v>
      </c>
      <c r="H33" s="7" t="n">
        <f aca="false">T3_cost_vectors!H34*T3_cost_vectors!H$2</f>
        <v>0</v>
      </c>
      <c r="I33" s="7" t="n">
        <f aca="false">T3_cost_vectors!I34*T3_cost_vectors!I$2</f>
        <v>-0</v>
      </c>
      <c r="J33" s="7" t="n">
        <f aca="false">T3_cost_vectors!J34*T3_cost_vectors!J$2</f>
        <v>0</v>
      </c>
      <c r="K33" s="7" t="n">
        <f aca="false">T3_cost_vectors!K34*T3_cost_vectors!K$2</f>
        <v>0</v>
      </c>
      <c r="L33" s="7" t="n">
        <f aca="false">T3_cost_vectors!L34*T3_cost_vectors!L$2</f>
        <v>0</v>
      </c>
      <c r="M33" s="7" t="n">
        <f aca="false">T3_cost_vectors!M34*T3_cost_vectors!M$2</f>
        <v>0</v>
      </c>
      <c r="N33" s="18" t="n">
        <f aca="false">SUM(B33:M33)</f>
        <v>25.90356</v>
      </c>
    </row>
    <row r="34" customFormat="false" ht="15" hidden="false" customHeight="false" outlineLevel="0" collapsed="false">
      <c r="A34" s="4" t="s">
        <v>93</v>
      </c>
      <c r="B34" s="7" t="n">
        <f aca="false">T3_cost_vectors!B35*T3_cost_vectors!B$2</f>
        <v>0</v>
      </c>
      <c r="C34" s="7" t="n">
        <f aca="false">T3_cost_vectors!C35*T3_cost_vectors!C$2</f>
        <v>0</v>
      </c>
      <c r="D34" s="7" t="n">
        <f aca="false">T3_cost_vectors!D35*T3_cost_vectors!D$2</f>
        <v>0</v>
      </c>
      <c r="E34" s="7" t="n">
        <f aca="false">T3_cost_vectors!E35*T3_cost_vectors!E$2</f>
        <v>0</v>
      </c>
      <c r="F34" s="7" t="n">
        <f aca="false">T3_cost_vectors!F35*T3_cost_vectors!F$2</f>
        <v>0</v>
      </c>
      <c r="G34" s="7" t="n">
        <f aca="false">T3_cost_vectors!G35*T3_cost_vectors!G$2</f>
        <v>0</v>
      </c>
      <c r="H34" s="7" t="n">
        <f aca="false">T3_cost_vectors!H35*T3_cost_vectors!H$2</f>
        <v>0</v>
      </c>
      <c r="I34" s="7" t="n">
        <f aca="false">T3_cost_vectors!I35*T3_cost_vectors!I$2</f>
        <v>-0</v>
      </c>
      <c r="J34" s="7" t="n">
        <f aca="false">T3_cost_vectors!J35*T3_cost_vectors!J$2</f>
        <v>0</v>
      </c>
      <c r="K34" s="7" t="n">
        <f aca="false">T3_cost_vectors!K35*T3_cost_vectors!K$2</f>
        <v>0</v>
      </c>
      <c r="L34" s="7" t="n">
        <f aca="false">T3_cost_vectors!L35*T3_cost_vectors!L$2</f>
        <v>0</v>
      </c>
      <c r="M34" s="7" t="n">
        <f aca="false">T3_cost_vectors!M35*T3_cost_vectors!M$2</f>
        <v>0</v>
      </c>
      <c r="N34" s="18" t="n">
        <f aca="false">SUM(B34:M34)</f>
        <v>0</v>
      </c>
    </row>
    <row r="35" customFormat="false" ht="15" hidden="false" customHeight="false" outlineLevel="0" collapsed="false">
      <c r="A35" s="4" t="s">
        <v>94</v>
      </c>
      <c r="B35" s="7" t="n">
        <f aca="false">T3_cost_vectors!B36*T3_cost_vectors!B$2</f>
        <v>0</v>
      </c>
      <c r="C35" s="7" t="n">
        <f aca="false">T3_cost_vectors!C36*T3_cost_vectors!C$2</f>
        <v>0</v>
      </c>
      <c r="D35" s="7" t="n">
        <f aca="false">T3_cost_vectors!D36*T3_cost_vectors!D$2</f>
        <v>0</v>
      </c>
      <c r="E35" s="7" t="n">
        <f aca="false">T3_cost_vectors!E36*T3_cost_vectors!E$2</f>
        <v>0</v>
      </c>
      <c r="F35" s="7" t="n">
        <f aca="false">T3_cost_vectors!F36*T3_cost_vectors!F$2</f>
        <v>0</v>
      </c>
      <c r="G35" s="7" t="n">
        <f aca="false">T3_cost_vectors!G36*T3_cost_vectors!G$2</f>
        <v>0</v>
      </c>
      <c r="H35" s="7" t="n">
        <f aca="false">T3_cost_vectors!H36*T3_cost_vectors!H$2</f>
        <v>0</v>
      </c>
      <c r="I35" s="7" t="n">
        <f aca="false">T3_cost_vectors!I36*T3_cost_vectors!I$2</f>
        <v>-0</v>
      </c>
      <c r="J35" s="7" t="n">
        <f aca="false">T3_cost_vectors!J36*T3_cost_vectors!J$2</f>
        <v>0</v>
      </c>
      <c r="K35" s="7" t="n">
        <f aca="false">T3_cost_vectors!K36*T3_cost_vectors!K$2</f>
        <v>0</v>
      </c>
      <c r="L35" s="7" t="n">
        <f aca="false">T3_cost_vectors!L36*T3_cost_vectors!L$2</f>
        <v>0</v>
      </c>
      <c r="M35" s="7" t="n">
        <f aca="false">T3_cost_vectors!M36*T3_cost_vectors!M$2</f>
        <v>9.82728</v>
      </c>
      <c r="N35" s="18" t="n">
        <f aca="false">SUM(B35:M35)</f>
        <v>9.82728</v>
      </c>
    </row>
    <row r="36" customFormat="false" ht="15" hidden="false" customHeight="false" outlineLevel="0" collapsed="false">
      <c r="A36" s="4" t="s">
        <v>95</v>
      </c>
      <c r="B36" s="7" t="n">
        <f aca="false">T3_cost_vectors!B37*T3_cost_vectors!B$2</f>
        <v>0</v>
      </c>
      <c r="C36" s="7" t="n">
        <f aca="false">T3_cost_vectors!C37*T3_cost_vectors!C$2</f>
        <v>0</v>
      </c>
      <c r="D36" s="7" t="n">
        <f aca="false">T3_cost_vectors!D37*T3_cost_vectors!D$2</f>
        <v>0</v>
      </c>
      <c r="E36" s="7" t="n">
        <f aca="false">T3_cost_vectors!E37*T3_cost_vectors!E$2</f>
        <v>0</v>
      </c>
      <c r="F36" s="7" t="n">
        <f aca="false">T3_cost_vectors!F37*T3_cost_vectors!F$2</f>
        <v>0</v>
      </c>
      <c r="G36" s="7" t="n">
        <f aca="false">T3_cost_vectors!G37*T3_cost_vectors!G$2</f>
        <v>0</v>
      </c>
      <c r="H36" s="7" t="n">
        <f aca="false">T3_cost_vectors!H37*T3_cost_vectors!H$2</f>
        <v>0</v>
      </c>
      <c r="I36" s="7" t="n">
        <f aca="false">T3_cost_vectors!I37*T3_cost_vectors!I$2</f>
        <v>-0</v>
      </c>
      <c r="J36" s="7" t="n">
        <f aca="false">T3_cost_vectors!J37*T3_cost_vectors!J$2</f>
        <v>0</v>
      </c>
      <c r="K36" s="7" t="n">
        <f aca="false">T3_cost_vectors!K37*T3_cost_vectors!K$2</f>
        <v>0</v>
      </c>
      <c r="L36" s="7" t="n">
        <f aca="false">T3_cost_vectors!L37*T3_cost_vectors!L$2</f>
        <v>0</v>
      </c>
      <c r="M36" s="7" t="n">
        <f aca="false">T3_cost_vectors!M37*T3_cost_vectors!M$2</f>
        <v>0</v>
      </c>
      <c r="N36" s="18" t="n">
        <f aca="false">SUM(B36:M36)</f>
        <v>0</v>
      </c>
    </row>
    <row r="37" customFormat="false" ht="15" hidden="false" customHeight="false" outlineLevel="0" collapsed="false">
      <c r="A37" s="4" t="s">
        <v>96</v>
      </c>
      <c r="B37" s="7" t="n">
        <f aca="false">T3_cost_vectors!B38*T3_cost_vectors!B$2</f>
        <v>0</v>
      </c>
      <c r="C37" s="7" t="n">
        <f aca="false">T3_cost_vectors!C38*T3_cost_vectors!C$2</f>
        <v>0</v>
      </c>
      <c r="D37" s="7" t="n">
        <f aca="false">T3_cost_vectors!D38*T3_cost_vectors!D$2</f>
        <v>0</v>
      </c>
      <c r="E37" s="7" t="n">
        <f aca="false">T3_cost_vectors!E38*T3_cost_vectors!E$2</f>
        <v>0</v>
      </c>
      <c r="F37" s="7" t="n">
        <f aca="false">T3_cost_vectors!F38*T3_cost_vectors!F$2</f>
        <v>0</v>
      </c>
      <c r="G37" s="7" t="n">
        <f aca="false">T3_cost_vectors!G38*T3_cost_vectors!G$2</f>
        <v>0</v>
      </c>
      <c r="H37" s="7" t="n">
        <f aca="false">T3_cost_vectors!H38*T3_cost_vectors!H$2</f>
        <v>0</v>
      </c>
      <c r="I37" s="7" t="n">
        <f aca="false">T3_cost_vectors!I38*T3_cost_vectors!I$2</f>
        <v>-0</v>
      </c>
      <c r="J37" s="7" t="n">
        <f aca="false">T3_cost_vectors!J38*T3_cost_vectors!J$2</f>
        <v>0</v>
      </c>
      <c r="K37" s="7" t="n">
        <f aca="false">T3_cost_vectors!K38*T3_cost_vectors!K$2</f>
        <v>0</v>
      </c>
      <c r="L37" s="7" t="n">
        <f aca="false">T3_cost_vectors!L38*T3_cost_vectors!L$2</f>
        <v>0</v>
      </c>
      <c r="M37" s="7" t="n">
        <f aca="false">T3_cost_vectors!M38*T3_cost_vectors!M$2</f>
        <v>0</v>
      </c>
      <c r="N37" s="18" t="n">
        <f aca="false">SUM(B37:M37)</f>
        <v>0</v>
      </c>
    </row>
    <row r="38" customFormat="false" ht="15" hidden="false" customHeight="false" outlineLevel="0" collapsed="false">
      <c r="A38" s="4" t="s">
        <v>97</v>
      </c>
      <c r="B38" s="7" t="n">
        <f aca="false">T3_cost_vectors!B39*T3_cost_vectors!B$2</f>
        <v>0</v>
      </c>
      <c r="C38" s="7" t="n">
        <f aca="false">T3_cost_vectors!C39*T3_cost_vectors!C$2</f>
        <v>0</v>
      </c>
      <c r="D38" s="7" t="n">
        <f aca="false">T3_cost_vectors!D39*T3_cost_vectors!D$2</f>
        <v>0</v>
      </c>
      <c r="E38" s="7" t="n">
        <f aca="false">T3_cost_vectors!E39*T3_cost_vectors!E$2</f>
        <v>0</v>
      </c>
      <c r="F38" s="7" t="n">
        <f aca="false">T3_cost_vectors!F39*T3_cost_vectors!F$2</f>
        <v>0</v>
      </c>
      <c r="G38" s="7" t="n">
        <f aca="false">T3_cost_vectors!G39*T3_cost_vectors!G$2</f>
        <v>0</v>
      </c>
      <c r="H38" s="7" t="n">
        <f aca="false">T3_cost_vectors!H39*T3_cost_vectors!H$2</f>
        <v>0</v>
      </c>
      <c r="I38" s="7" t="n">
        <f aca="false">T3_cost_vectors!I39*T3_cost_vectors!I$2</f>
        <v>-0</v>
      </c>
      <c r="J38" s="7" t="n">
        <f aca="false">T3_cost_vectors!J39*T3_cost_vectors!J$2</f>
        <v>0</v>
      </c>
      <c r="K38" s="7" t="n">
        <f aca="false">T3_cost_vectors!K39*T3_cost_vectors!K$2</f>
        <v>0</v>
      </c>
      <c r="L38" s="7" t="n">
        <f aca="false">T3_cost_vectors!L39*T3_cost_vectors!L$2</f>
        <v>0</v>
      </c>
      <c r="M38" s="7" t="n">
        <f aca="false">T3_cost_vectors!M39*T3_cost_vectors!M$2</f>
        <v>0</v>
      </c>
      <c r="N38" s="18" t="n">
        <f aca="false">SUM(B38:M38)</f>
        <v>0</v>
      </c>
    </row>
    <row r="39" customFormat="false" ht="15" hidden="false" customHeight="false" outlineLevel="0" collapsed="false">
      <c r="A39" s="4" t="s">
        <v>98</v>
      </c>
      <c r="B39" s="7" t="n">
        <f aca="false">T3_cost_vectors!B40*T3_cost_vectors!B$2</f>
        <v>0</v>
      </c>
      <c r="C39" s="7" t="n">
        <f aca="false">T3_cost_vectors!C40*T3_cost_vectors!C$2</f>
        <v>0</v>
      </c>
      <c r="D39" s="7" t="n">
        <f aca="false">T3_cost_vectors!D40*T3_cost_vectors!D$2</f>
        <v>0</v>
      </c>
      <c r="E39" s="7" t="n">
        <f aca="false">T3_cost_vectors!E40*T3_cost_vectors!E$2</f>
        <v>0</v>
      </c>
      <c r="F39" s="7" t="n">
        <f aca="false">T3_cost_vectors!F40*T3_cost_vectors!F$2</f>
        <v>0</v>
      </c>
      <c r="G39" s="7" t="n">
        <f aca="false">T3_cost_vectors!G40*T3_cost_vectors!G$2</f>
        <v>46.2885</v>
      </c>
      <c r="H39" s="7" t="n">
        <f aca="false">T3_cost_vectors!H40*T3_cost_vectors!H$2</f>
        <v>22.81272</v>
      </c>
      <c r="I39" s="7" t="n">
        <f aca="false">T3_cost_vectors!I40*T3_cost_vectors!I$2</f>
        <v>-0</v>
      </c>
      <c r="J39" s="7" t="n">
        <f aca="false">T3_cost_vectors!J40*T3_cost_vectors!J$2</f>
        <v>0</v>
      </c>
      <c r="K39" s="7" t="n">
        <f aca="false">T3_cost_vectors!K40*T3_cost_vectors!K$2</f>
        <v>0</v>
      </c>
      <c r="L39" s="7" t="n">
        <f aca="false">T3_cost_vectors!L40*T3_cost_vectors!L$2</f>
        <v>0</v>
      </c>
      <c r="M39" s="7" t="n">
        <f aca="false">T3_cost_vectors!M40*T3_cost_vectors!M$2</f>
        <v>16.3788</v>
      </c>
      <c r="N39" s="18" t="n">
        <f aca="false">SUM(B39:M39)</f>
        <v>85.48002</v>
      </c>
    </row>
    <row r="40" customFormat="false" ht="15" hidden="false" customHeight="false" outlineLevel="0" collapsed="false">
      <c r="A40" s="4" t="s">
        <v>99</v>
      </c>
      <c r="B40" s="7" t="n">
        <f aca="false">T3_cost_vectors!B41*T3_cost_vectors!B$2</f>
        <v>0</v>
      </c>
      <c r="C40" s="7" t="n">
        <f aca="false">T3_cost_vectors!C41*T3_cost_vectors!C$2</f>
        <v>0</v>
      </c>
      <c r="D40" s="7" t="n">
        <f aca="false">T3_cost_vectors!D41*T3_cost_vectors!D$2</f>
        <v>0</v>
      </c>
      <c r="E40" s="7" t="n">
        <f aca="false">T3_cost_vectors!E41*T3_cost_vectors!E$2</f>
        <v>0</v>
      </c>
      <c r="F40" s="7" t="n">
        <f aca="false">T3_cost_vectors!F41*T3_cost_vectors!F$2</f>
        <v>0</v>
      </c>
      <c r="G40" s="7" t="n">
        <f aca="false">T3_cost_vectors!G41*T3_cost_vectors!G$2</f>
        <v>0</v>
      </c>
      <c r="H40" s="7" t="n">
        <f aca="false">T3_cost_vectors!H41*T3_cost_vectors!H$2</f>
        <v>0</v>
      </c>
      <c r="I40" s="7" t="n">
        <f aca="false">T3_cost_vectors!I41*T3_cost_vectors!I$2</f>
        <v>-0</v>
      </c>
      <c r="J40" s="7" t="n">
        <f aca="false">T3_cost_vectors!J41*T3_cost_vectors!J$2</f>
        <v>3.0265</v>
      </c>
      <c r="K40" s="7" t="n">
        <f aca="false">T3_cost_vectors!K41*T3_cost_vectors!K$2</f>
        <v>0</v>
      </c>
      <c r="L40" s="7" t="n">
        <f aca="false">T3_cost_vectors!L41*T3_cost_vectors!L$2</f>
        <v>12.9277</v>
      </c>
      <c r="M40" s="7" t="n">
        <f aca="false">T3_cost_vectors!M41*T3_cost_vectors!M$2</f>
        <v>6.55152</v>
      </c>
      <c r="N40" s="18" t="n">
        <f aca="false">SUM(B40:M40)</f>
        <v>22.50572</v>
      </c>
    </row>
    <row r="41" customFormat="false" ht="15" hidden="false" customHeight="false" outlineLevel="0" collapsed="false">
      <c r="A41" s="16" t="s">
        <v>100</v>
      </c>
      <c r="B41" s="7" t="n">
        <f aca="false">T3_cost_vectors!B42*T3_cost_vectors!B$2</f>
        <v>0</v>
      </c>
      <c r="C41" s="7" t="n">
        <f aca="false">T3_cost_vectors!C42*T3_cost_vectors!C$2</f>
        <v>0</v>
      </c>
      <c r="D41" s="7" t="n">
        <f aca="false">T3_cost_vectors!D42*T3_cost_vectors!D$2</f>
        <v>0</v>
      </c>
      <c r="E41" s="7" t="n">
        <f aca="false">T3_cost_vectors!E42*T3_cost_vectors!E$2</f>
        <v>122.82978</v>
      </c>
      <c r="F41" s="7" t="n">
        <f aca="false">T3_cost_vectors!F42*T3_cost_vectors!F$2</f>
        <v>2.44055</v>
      </c>
      <c r="G41" s="7" t="n">
        <f aca="false">T3_cost_vectors!G42*T3_cost_vectors!G$2</f>
        <v>0</v>
      </c>
      <c r="H41" s="7" t="n">
        <f aca="false">T3_cost_vectors!H42*T3_cost_vectors!H$2</f>
        <v>0</v>
      </c>
      <c r="I41" s="7" t="n">
        <f aca="false">T3_cost_vectors!I42*T3_cost_vectors!I$2</f>
        <v>-0</v>
      </c>
      <c r="J41" s="7" t="n">
        <f aca="false">T3_cost_vectors!J42*T3_cost_vectors!J$2</f>
        <v>0</v>
      </c>
      <c r="K41" s="7" t="n">
        <f aca="false">T3_cost_vectors!K42*T3_cost_vectors!K$2</f>
        <v>0</v>
      </c>
      <c r="L41" s="7" t="n">
        <f aca="false">T3_cost_vectors!L42*T3_cost_vectors!L$2</f>
        <v>0</v>
      </c>
      <c r="M41" s="7" t="n">
        <f aca="false">T3_cost_vectors!M42*T3_cost_vectors!M$2</f>
        <v>0</v>
      </c>
      <c r="N41" s="18" t="n">
        <f aca="false">SUM(B41:M41)</f>
        <v>125.27033</v>
      </c>
    </row>
    <row r="42" customFormat="false" ht="15" hidden="false" customHeight="false" outlineLevel="0" collapsed="false">
      <c r="A42" s="13" t="s">
        <v>58</v>
      </c>
      <c r="B42" s="11" t="n">
        <f aca="false">SUM(B2:B41)</f>
        <v>3.1932</v>
      </c>
      <c r="C42" s="11" t="n">
        <f aca="false">SUM(C2:C41)</f>
        <v>25.6939</v>
      </c>
      <c r="D42" s="11" t="n">
        <f aca="false">SUM(D2:D41)</f>
        <v>64.7589</v>
      </c>
      <c r="E42" s="11" t="n">
        <f aca="false">SUM(E2:E41)</f>
        <v>409.4326</v>
      </c>
      <c r="F42" s="11" t="n">
        <f aca="false">SUM(F2:F41)</f>
        <v>9.7622</v>
      </c>
      <c r="G42" s="11" t="n">
        <f aca="false">SUM(G2:G41)</f>
        <v>46.2885</v>
      </c>
      <c r="H42" s="11" t="n">
        <f aca="false">SUM(H2:H41)</f>
        <v>32.5896</v>
      </c>
      <c r="I42" s="11" t="n">
        <f aca="false">SUM(I2:I41)</f>
        <v>-3.4013</v>
      </c>
      <c r="J42" s="11" t="n">
        <f aca="false">SUM(J2:J41)</f>
        <v>12.106</v>
      </c>
      <c r="K42" s="11" t="n">
        <f aca="false">SUM(K2:K41)</f>
        <v>167.066</v>
      </c>
      <c r="L42" s="11" t="n">
        <f aca="false">SUM(L2:L41)</f>
        <v>25.8554</v>
      </c>
      <c r="M42" s="11" t="n">
        <f aca="false">SUM(M2:M41)</f>
        <v>32.7576</v>
      </c>
      <c r="N42" s="11" t="n">
        <f aca="false">SUM(N2:N41)</f>
        <v>826.1026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5"/>
  </cols>
  <sheetData>
    <row r="1" customFormat="false" ht="15" hidden="false" customHeight="false" outlineLevel="0" collapsed="false">
      <c r="A1" s="13" t="s">
        <v>218</v>
      </c>
    </row>
    <row r="2" customFormat="false" ht="15" hidden="false" customHeight="false" outlineLevel="0" collapsed="false">
      <c r="A2" s="22" t="s">
        <v>219</v>
      </c>
    </row>
    <row r="3" customFormat="false" ht="39.55" hidden="false" customHeight="false" outlineLevel="0" collapsed="false">
      <c r="A3" s="3" t="s">
        <v>113</v>
      </c>
      <c r="B3" s="3" t="s">
        <v>220</v>
      </c>
      <c r="C3" s="3" t="s">
        <v>221</v>
      </c>
      <c r="D3" s="3" t="s">
        <v>222</v>
      </c>
      <c r="E3" s="3" t="s">
        <v>223</v>
      </c>
      <c r="F3" s="3" t="s">
        <v>224</v>
      </c>
      <c r="G3" s="3" t="s">
        <v>225</v>
      </c>
      <c r="H3" s="3" t="s">
        <v>226</v>
      </c>
      <c r="I3" s="3" t="s">
        <v>227</v>
      </c>
      <c r="J3" s="3" t="s">
        <v>228</v>
      </c>
      <c r="K3" s="3" t="s">
        <v>229</v>
      </c>
    </row>
    <row r="4" customFormat="false" ht="15" hidden="false" customHeight="false" outlineLevel="0" collapsed="false">
      <c r="A4" s="4" t="n">
        <v>2023</v>
      </c>
      <c r="B4" s="23" t="n">
        <v>3994725.868</v>
      </c>
      <c r="C4" s="23" t="n">
        <v>36470.321</v>
      </c>
      <c r="D4" s="23" t="n">
        <v>2662.355</v>
      </c>
      <c r="E4" s="23" t="n">
        <v>13868.626</v>
      </c>
      <c r="F4" s="23" t="n">
        <v>36304.161</v>
      </c>
      <c r="G4" s="23" t="n">
        <v>0</v>
      </c>
      <c r="H4" s="23" t="n">
        <v>52.1</v>
      </c>
      <c r="I4" s="23" t="n">
        <v>3.803</v>
      </c>
      <c r="J4" s="23" t="n">
        <v>450.73</v>
      </c>
      <c r="K4" s="23" t="n">
        <v>19966.844</v>
      </c>
    </row>
    <row r="5" customFormat="false" ht="15" hidden="false" customHeight="false" outlineLevel="0" collapsed="false">
      <c r="A5" s="4" t="n">
        <v>2024</v>
      </c>
      <c r="B5" s="23" t="n">
        <v>4159801.87</v>
      </c>
      <c r="C5" s="23" t="n">
        <v>37846.711</v>
      </c>
      <c r="D5" s="23" t="n">
        <v>2772.373</v>
      </c>
      <c r="E5" s="23" t="n">
        <v>14441.726</v>
      </c>
      <c r="F5" s="23" t="n">
        <v>37804.375</v>
      </c>
      <c r="G5" s="23" t="n">
        <v>0</v>
      </c>
      <c r="H5" s="23" t="n">
        <v>108.133</v>
      </c>
      <c r="I5" s="23" t="n">
        <v>7.921</v>
      </c>
      <c r="J5" s="23" t="n">
        <v>505.46</v>
      </c>
      <c r="K5" s="23" t="n">
        <v>20791.944</v>
      </c>
    </row>
    <row r="6" customFormat="false" ht="15" hidden="false" customHeight="false" outlineLevel="0" collapsed="false">
      <c r="A6" s="4" t="n">
        <v>2025</v>
      </c>
      <c r="B6" s="23" t="n">
        <v>4341051.042</v>
      </c>
      <c r="C6" s="23" t="n">
        <v>39346.349</v>
      </c>
      <c r="D6" s="23" t="n">
        <v>2893.17</v>
      </c>
      <c r="E6" s="23" t="n">
        <v>15070.974</v>
      </c>
      <c r="F6" s="23" t="n">
        <v>39451.572</v>
      </c>
      <c r="G6" s="23" t="n">
        <v>0</v>
      </c>
      <c r="H6" s="23" t="n">
        <v>168.627</v>
      </c>
      <c r="I6" s="23" t="n">
        <v>12.399</v>
      </c>
      <c r="J6" s="23" t="n">
        <v>565.162</v>
      </c>
      <c r="K6" s="23" t="n">
        <v>21697.882</v>
      </c>
    </row>
    <row r="7" customFormat="false" ht="15" hidden="false" customHeight="false" outlineLevel="0" collapsed="false">
      <c r="A7" s="4" t="n">
        <v>2026</v>
      </c>
      <c r="B7" s="23" t="n">
        <v>4467228.725</v>
      </c>
      <c r="C7" s="23" t="n">
        <v>40329.034</v>
      </c>
      <c r="D7" s="23" t="n">
        <v>2977.263</v>
      </c>
      <c r="E7" s="23" t="n">
        <v>15509.03</v>
      </c>
      <c r="F7" s="23" t="n">
        <v>40598.277</v>
      </c>
      <c r="G7" s="23" t="n">
        <v>0</v>
      </c>
      <c r="H7" s="23" t="n">
        <v>230.452</v>
      </c>
      <c r="I7" s="23" t="n">
        <v>17.013</v>
      </c>
      <c r="J7" s="23" t="n">
        <v>620.361</v>
      </c>
      <c r="K7" s="23" t="n">
        <v>22328.556</v>
      </c>
    </row>
    <row r="8" customFormat="false" ht="15" hidden="false" customHeight="false" outlineLevel="0" collapsed="false">
      <c r="A8" s="4" t="n">
        <v>2027</v>
      </c>
      <c r="B8" s="23" t="n">
        <v>4597049.718</v>
      </c>
      <c r="C8" s="23" t="n">
        <v>41332.871</v>
      </c>
      <c r="D8" s="23" t="n">
        <v>3063.785</v>
      </c>
      <c r="E8" s="23" t="n">
        <v>15959.734</v>
      </c>
      <c r="F8" s="23" t="n">
        <v>41778.094</v>
      </c>
      <c r="G8" s="23" t="n">
        <v>0</v>
      </c>
      <c r="H8" s="23" t="n">
        <v>295.235</v>
      </c>
      <c r="I8" s="23" t="n">
        <v>21.884</v>
      </c>
      <c r="J8" s="23" t="n">
        <v>678.289</v>
      </c>
      <c r="K8" s="23" t="n">
        <v>22977.44</v>
      </c>
    </row>
    <row r="9" customFormat="false" ht="15" hidden="false" customHeight="false" outlineLevel="0" collapsed="false">
      <c r="A9" s="4" t="n">
        <v>2028</v>
      </c>
      <c r="B9" s="23" t="n">
        <v>4728764.169</v>
      </c>
      <c r="C9" s="23" t="n">
        <v>42343.751</v>
      </c>
      <c r="D9" s="23" t="n">
        <v>3151.568</v>
      </c>
      <c r="E9" s="23" t="n">
        <v>16417.011</v>
      </c>
      <c r="F9" s="23" t="n">
        <v>42975.118</v>
      </c>
      <c r="G9" s="23" t="n">
        <v>0</v>
      </c>
      <c r="H9" s="23" t="n">
        <v>362.946</v>
      </c>
      <c r="I9" s="23" t="n">
        <v>27.013</v>
      </c>
      <c r="J9" s="23" t="n">
        <v>738.766</v>
      </c>
      <c r="K9" s="23" t="n">
        <v>23635.789</v>
      </c>
    </row>
    <row r="10" customFormat="false" ht="15" hidden="false" customHeight="false" outlineLevel="0" collapsed="false">
      <c r="A10" s="4" t="n">
        <v>2029</v>
      </c>
      <c r="B10" s="23" t="n">
        <v>4865295.483</v>
      </c>
      <c r="C10" s="23" t="n">
        <v>43383.656</v>
      </c>
      <c r="D10" s="23" t="n">
        <v>3242.562</v>
      </c>
      <c r="E10" s="23" t="n">
        <v>16891.012</v>
      </c>
      <c r="F10" s="23" t="n">
        <v>44215.917</v>
      </c>
      <c r="G10" s="23" t="n">
        <v>0</v>
      </c>
      <c r="H10" s="23" t="n">
        <v>433.837</v>
      </c>
      <c r="I10" s="23" t="n">
        <v>32.426</v>
      </c>
      <c r="J10" s="23" t="n">
        <v>802.323</v>
      </c>
      <c r="K10" s="23" t="n">
        <v>24318.214</v>
      </c>
    </row>
    <row r="11" customFormat="false" ht="15" hidden="false" customHeight="false" outlineLevel="0" collapsed="false">
      <c r="A11" s="4" t="n">
        <v>2030</v>
      </c>
      <c r="B11" s="23" t="n">
        <v>5002309.369</v>
      </c>
      <c r="C11" s="23" t="n">
        <v>44418.734</v>
      </c>
      <c r="D11" s="23" t="n">
        <v>3333.877</v>
      </c>
      <c r="E11" s="23" t="n">
        <v>17366.687</v>
      </c>
      <c r="F11" s="23" t="n">
        <v>45461.103</v>
      </c>
      <c r="G11" s="23" t="n">
        <v>0</v>
      </c>
      <c r="H11" s="23" t="n">
        <v>507.643</v>
      </c>
      <c r="I11" s="23" t="n">
        <v>38.101</v>
      </c>
      <c r="J11" s="23" t="n">
        <v>868.334</v>
      </c>
      <c r="K11" s="23" t="n">
        <v>25003.05</v>
      </c>
    </row>
    <row r="12" customFormat="false" ht="15" hidden="false" customHeight="false" outlineLevel="0" collapsed="false">
      <c r="A12" s="4" t="n">
        <v>2031</v>
      </c>
      <c r="B12" s="23" t="n">
        <v>5139590.859</v>
      </c>
      <c r="C12" s="23" t="n">
        <v>45447.051</v>
      </c>
      <c r="D12" s="23" t="n">
        <v>3425.371</v>
      </c>
      <c r="E12" s="23" t="n">
        <v>17843.292</v>
      </c>
      <c r="F12" s="23" t="n">
        <v>46708.72</v>
      </c>
      <c r="G12" s="23" t="n">
        <v>0</v>
      </c>
      <c r="H12" s="23" t="n">
        <v>584.319</v>
      </c>
      <c r="I12" s="23" t="n">
        <v>44.04</v>
      </c>
      <c r="J12" s="23" t="n">
        <v>936.773</v>
      </c>
      <c r="K12" s="23" t="n">
        <v>25689.225</v>
      </c>
    </row>
    <row r="13" customFormat="false" ht="15" hidden="false" customHeight="false" outlineLevel="0" collapsed="false">
      <c r="A13" s="4" t="n">
        <v>2032</v>
      </c>
      <c r="B13" s="23" t="n">
        <v>5276908.054</v>
      </c>
      <c r="C13" s="23" t="n">
        <v>46466.596</v>
      </c>
      <c r="D13" s="23" t="n">
        <v>3516.888</v>
      </c>
      <c r="E13" s="23" t="n">
        <v>18320.021</v>
      </c>
      <c r="F13" s="23" t="n">
        <v>47956.662</v>
      </c>
      <c r="G13" s="23" t="n">
        <v>0</v>
      </c>
      <c r="H13" s="23" t="n">
        <v>663.809</v>
      </c>
      <c r="I13" s="23" t="n">
        <v>50.241</v>
      </c>
      <c r="J13" s="23" t="n">
        <v>1007.601</v>
      </c>
      <c r="K13" s="23" t="n">
        <v>26375.577</v>
      </c>
    </row>
    <row r="14" customFormat="false" ht="15" hidden="false" customHeight="false" outlineLevel="0" collapsed="false">
      <c r="A14" s="4" t="n">
        <v>2033</v>
      </c>
      <c r="B14" s="23" t="n">
        <v>5414010.702</v>
      </c>
      <c r="C14" s="23" t="n">
        <v>47475.284</v>
      </c>
      <c r="D14" s="23" t="n">
        <v>3608.263</v>
      </c>
      <c r="E14" s="23" t="n">
        <v>18796.005</v>
      </c>
      <c r="F14" s="23" t="n">
        <v>49202.654</v>
      </c>
      <c r="G14" s="23" t="n">
        <v>300778.372</v>
      </c>
      <c r="H14" s="23" t="n">
        <v>1033.858</v>
      </c>
      <c r="I14" s="23" t="n">
        <v>78.576</v>
      </c>
      <c r="J14" s="23" t="n">
        <v>1685.051</v>
      </c>
      <c r="K14" s="23" t="n">
        <v>28290.958</v>
      </c>
    </row>
    <row r="15" customFormat="false" ht="15" hidden="false" customHeight="false" outlineLevel="0" collapsed="false">
      <c r="A15" s="4" t="n">
        <v>2034</v>
      </c>
      <c r="B15" s="23" t="n">
        <v>5550630.813</v>
      </c>
      <c r="C15" s="23" t="n">
        <v>48470.953</v>
      </c>
      <c r="D15" s="23" t="n">
        <v>3699.316</v>
      </c>
      <c r="E15" s="23" t="n">
        <v>19270.314</v>
      </c>
      <c r="F15" s="23" t="n">
        <v>50444.261</v>
      </c>
      <c r="G15" s="23" t="n">
        <v>616736.757</v>
      </c>
      <c r="H15" s="23" t="n">
        <v>1410.029</v>
      </c>
      <c r="I15" s="23" t="n">
        <v>107.614</v>
      </c>
      <c r="J15" s="23" t="n">
        <v>2387.472</v>
      </c>
      <c r="K15" s="23" t="n">
        <v>30266.008</v>
      </c>
    </row>
    <row r="16" customFormat="false" ht="15" hidden="false" customHeight="false" outlineLevel="0" collapsed="false">
      <c r="A16" s="4" t="n">
        <v>2035</v>
      </c>
      <c r="B16" s="23" t="n">
        <v>5686485.576</v>
      </c>
      <c r="C16" s="23" t="n">
        <v>49451.37</v>
      </c>
      <c r="D16" s="23" t="n">
        <v>3789.859</v>
      </c>
      <c r="E16" s="23" t="n">
        <v>19741.965</v>
      </c>
      <c r="F16" s="23" t="n">
        <v>51678.912</v>
      </c>
      <c r="G16" s="23" t="n">
        <v>947747.596</v>
      </c>
      <c r="H16" s="23" t="n">
        <v>1791.678</v>
      </c>
      <c r="I16" s="23" t="n">
        <v>137.311</v>
      </c>
      <c r="J16" s="23" t="n">
        <v>3114.571</v>
      </c>
      <c r="K16" s="23" t="n">
        <v>32298.793</v>
      </c>
    </row>
    <row r="17" customFormat="false" ht="15" hidden="false" customHeight="false" outlineLevel="0" collapsed="false">
      <c r="A17" s="4" t="n">
        <v>2036</v>
      </c>
      <c r="B17" s="23" t="n">
        <v>5821274.684</v>
      </c>
      <c r="C17" s="23" t="n">
        <v>50414.232</v>
      </c>
      <c r="D17" s="23" t="n">
        <v>3879.691</v>
      </c>
      <c r="E17" s="23" t="n">
        <v>20209.917</v>
      </c>
      <c r="F17" s="23" t="n">
        <v>52903.878</v>
      </c>
      <c r="G17" s="23" t="n">
        <v>1293616.596</v>
      </c>
      <c r="H17" s="23" t="n">
        <v>2178.118</v>
      </c>
      <c r="I17" s="23" t="n">
        <v>167.62</v>
      </c>
      <c r="J17" s="23" t="n">
        <v>3865.954</v>
      </c>
      <c r="K17" s="23" t="n">
        <v>34387.018</v>
      </c>
    </row>
    <row r="18" customFormat="false" ht="15" hidden="false" customHeight="false" outlineLevel="0" collapsed="false">
      <c r="A18" s="4" t="n">
        <v>2037</v>
      </c>
      <c r="B18" s="23" t="n">
        <v>5954681.824</v>
      </c>
      <c r="C18" s="23" t="n">
        <v>51357.166</v>
      </c>
      <c r="D18" s="23" t="n">
        <v>3968.603</v>
      </c>
      <c r="E18" s="23" t="n">
        <v>20673.071</v>
      </c>
      <c r="F18" s="23" t="n">
        <v>54116.285</v>
      </c>
      <c r="G18" s="23" t="n">
        <v>1654078.284</v>
      </c>
      <c r="H18" s="23" t="n">
        <v>2568.618</v>
      </c>
      <c r="I18" s="23" t="n">
        <v>198.489</v>
      </c>
      <c r="J18" s="23" t="n">
        <v>4641.126</v>
      </c>
      <c r="K18" s="23" t="n">
        <v>36528.015</v>
      </c>
    </row>
    <row r="19" customFormat="false" ht="15" hidden="false" customHeight="false" outlineLevel="0" collapsed="false">
      <c r="A19" s="4" t="n">
        <v>2038</v>
      </c>
      <c r="B19" s="23" t="n">
        <v>6086377.745</v>
      </c>
      <c r="C19" s="23" t="n">
        <v>52277.734</v>
      </c>
      <c r="D19" s="23" t="n">
        <v>4056.374</v>
      </c>
      <c r="E19" s="23" t="n">
        <v>21130.285</v>
      </c>
      <c r="F19" s="23" t="n">
        <v>55313.141</v>
      </c>
      <c r="G19" s="23" t="n">
        <v>2028792.582</v>
      </c>
      <c r="H19" s="23" t="n">
        <v>2962.405</v>
      </c>
      <c r="I19" s="23" t="n">
        <v>229.861</v>
      </c>
      <c r="J19" s="23" t="n">
        <v>5439.479</v>
      </c>
      <c r="K19" s="23" t="n">
        <v>38718.748</v>
      </c>
    </row>
    <row r="20" customFormat="false" ht="15" hidden="false" customHeight="false" outlineLevel="0" collapsed="false">
      <c r="A20" s="4" t="n">
        <v>2039</v>
      </c>
      <c r="B20" s="23" t="n">
        <v>6216016.92</v>
      </c>
      <c r="C20" s="23" t="n">
        <v>53173.435</v>
      </c>
      <c r="D20" s="23" t="n">
        <v>4142.774</v>
      </c>
      <c r="E20" s="23" t="n">
        <v>21580.357</v>
      </c>
      <c r="F20" s="23" t="n">
        <v>56491.305</v>
      </c>
      <c r="G20" s="23" t="n">
        <v>2417339.913</v>
      </c>
      <c r="H20" s="23" t="n">
        <v>3358.664</v>
      </c>
      <c r="I20" s="23" t="n">
        <v>261.676</v>
      </c>
      <c r="J20" s="23" t="n">
        <v>6260.291</v>
      </c>
      <c r="K20" s="23" t="n">
        <v>40955.774</v>
      </c>
    </row>
    <row r="21" customFormat="false" ht="15" hidden="false" customHeight="false" outlineLevel="0" collapsed="false">
      <c r="A21" s="4" t="n">
        <v>2040</v>
      </c>
      <c r="B21" s="23" t="n">
        <v>6343239.891</v>
      </c>
      <c r="C21" s="23" t="n">
        <v>54041.71</v>
      </c>
      <c r="D21" s="23" t="n">
        <v>4227.564</v>
      </c>
      <c r="E21" s="23" t="n">
        <v>22022.042</v>
      </c>
      <c r="F21" s="23" t="n">
        <v>57647.51</v>
      </c>
      <c r="G21" s="23" t="n">
        <v>2819217.729</v>
      </c>
      <c r="H21" s="23" t="n">
        <v>3756.537</v>
      </c>
      <c r="I21" s="23" t="n">
        <v>293.866</v>
      </c>
      <c r="J21" s="23" t="n">
        <v>7102.713</v>
      </c>
      <c r="K21" s="23" t="n">
        <v>43235.241</v>
      </c>
    </row>
    <row r="22" customFormat="false" ht="15" hidden="false" customHeight="false" outlineLevel="0" collapsed="false">
      <c r="A22" s="4" t="n">
        <v>2041</v>
      </c>
      <c r="B22" s="23" t="n">
        <v>6470910.221</v>
      </c>
      <c r="C22" s="23" t="n">
        <v>54903.588</v>
      </c>
      <c r="D22" s="23" t="n">
        <v>4312.652</v>
      </c>
      <c r="E22" s="23" t="n">
        <v>22465.279</v>
      </c>
      <c r="F22" s="23" t="n">
        <v>58807.781</v>
      </c>
      <c r="G22" s="23" t="n">
        <v>3235455.11</v>
      </c>
      <c r="H22" s="23" t="n">
        <v>4156.916</v>
      </c>
      <c r="I22" s="23" t="n">
        <v>326.524</v>
      </c>
      <c r="J22" s="23" t="n">
        <v>7969.759</v>
      </c>
      <c r="K22" s="23" t="n">
        <v>45575.671</v>
      </c>
    </row>
    <row r="23" customFormat="false" ht="15" hidden="false" customHeight="false" outlineLevel="0" collapsed="false">
      <c r="A23" s="4" t="n">
        <v>2042</v>
      </c>
      <c r="B23" s="23" t="n">
        <v>6598826.209</v>
      </c>
      <c r="C23" s="23" t="n">
        <v>55757.484</v>
      </c>
      <c r="D23" s="23" t="n">
        <v>4397.904</v>
      </c>
      <c r="E23" s="23" t="n">
        <v>22909.369</v>
      </c>
      <c r="F23" s="23" t="n">
        <v>59970.284</v>
      </c>
      <c r="G23" s="23" t="n">
        <v>3666014.561</v>
      </c>
      <c r="H23" s="23" t="n">
        <v>4559.382</v>
      </c>
      <c r="I23" s="23" t="n">
        <v>359.624</v>
      </c>
      <c r="J23" s="23" t="n">
        <v>8861.646</v>
      </c>
      <c r="K23" s="23" t="n">
        <v>47975.902</v>
      </c>
    </row>
    <row r="24" customFormat="false" ht="15" hidden="false" customHeight="false" outlineLevel="0" collapsed="false">
      <c r="A24" s="4" t="n">
        <v>2043</v>
      </c>
      <c r="B24" s="23" t="n">
        <v>6726768.455</v>
      </c>
      <c r="C24" s="23" t="n">
        <v>56601.704</v>
      </c>
      <c r="D24" s="23" t="n">
        <v>4483.173</v>
      </c>
      <c r="E24" s="23" t="n">
        <v>23353.551</v>
      </c>
      <c r="F24" s="23" t="n">
        <v>61133.026</v>
      </c>
      <c r="G24" s="23" t="n">
        <v>4110802.945</v>
      </c>
      <c r="H24" s="23" t="n">
        <v>4963.474</v>
      </c>
      <c r="I24" s="23" t="n">
        <v>393.135</v>
      </c>
      <c r="J24" s="23" t="n">
        <v>9778.517</v>
      </c>
      <c r="K24" s="23" t="n">
        <v>50434.456</v>
      </c>
    </row>
    <row r="25" customFormat="false" ht="15" hidden="false" customHeight="false" outlineLevel="0" collapsed="false">
      <c r="A25" s="4" t="n">
        <v>2044</v>
      </c>
      <c r="B25" s="23" t="n">
        <v>6854492.919</v>
      </c>
      <c r="C25" s="23" t="n">
        <v>57434.447</v>
      </c>
      <c r="D25" s="23" t="n">
        <v>4568.298</v>
      </c>
      <c r="E25" s="23" t="n">
        <v>23796.976</v>
      </c>
      <c r="F25" s="23" t="n">
        <v>62293.789</v>
      </c>
      <c r="G25" s="23" t="n">
        <v>4569661.946</v>
      </c>
      <c r="H25" s="23" t="n">
        <v>5368.695</v>
      </c>
      <c r="I25" s="23" t="n">
        <v>427.022</v>
      </c>
      <c r="J25" s="23" t="n">
        <v>10720.42</v>
      </c>
      <c r="K25" s="23" t="n">
        <v>52949.467</v>
      </c>
    </row>
    <row r="26" customFormat="false" ht="15" hidden="false" customHeight="false" outlineLevel="0" collapsed="false">
      <c r="A26" s="4" t="n">
        <v>2045</v>
      </c>
      <c r="B26" s="23" t="n">
        <v>6981733.884</v>
      </c>
      <c r="C26" s="23" t="n">
        <v>58253.792</v>
      </c>
      <c r="D26" s="23" t="n">
        <v>4653.1</v>
      </c>
      <c r="E26" s="23" t="n">
        <v>24238.723</v>
      </c>
      <c r="F26" s="23" t="n">
        <v>63450.158</v>
      </c>
      <c r="G26" s="23" t="n">
        <v>5042363.361</v>
      </c>
      <c r="H26" s="23" t="n">
        <v>5774.504</v>
      </c>
      <c r="I26" s="23" t="n">
        <v>461.246</v>
      </c>
      <c r="J26" s="23" t="n">
        <v>11687.302</v>
      </c>
      <c r="K26" s="23" t="n">
        <v>55518.673</v>
      </c>
    </row>
    <row r="27" customFormat="false" ht="15" hidden="false" customHeight="false" outlineLevel="0" collapsed="false">
      <c r="A27" s="4" t="n">
        <v>2046</v>
      </c>
      <c r="B27" s="23" t="n">
        <v>7108203.221</v>
      </c>
      <c r="C27" s="23" t="n">
        <v>59057.694</v>
      </c>
      <c r="D27" s="23" t="n">
        <v>4737.387</v>
      </c>
      <c r="E27" s="23" t="n">
        <v>24677.791</v>
      </c>
      <c r="F27" s="23" t="n">
        <v>64599.514</v>
      </c>
      <c r="G27" s="23" t="n">
        <v>5528602.505</v>
      </c>
      <c r="H27" s="23" t="n">
        <v>6180.315</v>
      </c>
      <c r="I27" s="23" t="n">
        <v>495.762</v>
      </c>
      <c r="J27" s="23" t="n">
        <v>12678.997</v>
      </c>
      <c r="K27" s="23" t="n">
        <v>58139.387</v>
      </c>
    </row>
    <row r="28" customFormat="false" ht="15" hidden="false" customHeight="false" outlineLevel="0" collapsed="false">
      <c r="A28" s="4" t="n">
        <v>2047</v>
      </c>
      <c r="B28" s="23" t="n">
        <v>7233605.499</v>
      </c>
      <c r="C28" s="23" t="n">
        <v>59843.98</v>
      </c>
      <c r="D28" s="23" t="n">
        <v>4820.964</v>
      </c>
      <c r="E28" s="23" t="n">
        <v>25113.154</v>
      </c>
      <c r="F28" s="23" t="n">
        <v>65739.173</v>
      </c>
      <c r="G28" s="23" t="n">
        <v>6028004.583</v>
      </c>
      <c r="H28" s="23" t="n">
        <v>6585.498</v>
      </c>
      <c r="I28" s="23" t="n">
        <v>530.52</v>
      </c>
      <c r="J28" s="23" t="n">
        <v>13695.248</v>
      </c>
      <c r="K28" s="23" t="n">
        <v>60808.601</v>
      </c>
    </row>
    <row r="29" customFormat="false" ht="15" hidden="false" customHeight="false" outlineLevel="0" collapsed="false">
      <c r="A29" s="4" t="n">
        <v>2048</v>
      </c>
      <c r="B29" s="23" t="n">
        <v>7357613.492</v>
      </c>
      <c r="C29" s="23" t="n">
        <v>60610.341</v>
      </c>
      <c r="D29" s="23" t="n">
        <v>4903.611</v>
      </c>
      <c r="E29" s="23" t="n">
        <v>25543.677</v>
      </c>
      <c r="F29" s="23" t="n">
        <v>66866.161</v>
      </c>
      <c r="G29" s="23" t="n">
        <v>6540100.881</v>
      </c>
      <c r="H29" s="23" t="n">
        <v>6989.37</v>
      </c>
      <c r="I29" s="23" t="n">
        <v>565.467</v>
      </c>
      <c r="J29" s="23" t="n">
        <v>14735.65</v>
      </c>
      <c r="K29" s="23" t="n">
        <v>63522.762</v>
      </c>
    </row>
    <row r="30" customFormat="false" ht="15" hidden="false" customHeight="false" outlineLevel="0" collapsed="false">
      <c r="A30" s="4" t="n">
        <v>2049</v>
      </c>
      <c r="B30" s="23" t="n">
        <v>7479875.764</v>
      </c>
      <c r="C30" s="23" t="n">
        <v>61354.321</v>
      </c>
      <c r="D30" s="23" t="n">
        <v>4985.095</v>
      </c>
      <c r="E30" s="23" t="n">
        <v>25968.139</v>
      </c>
      <c r="F30" s="23" t="n">
        <v>67977.283</v>
      </c>
      <c r="G30" s="23" t="n">
        <v>7064327.11</v>
      </c>
      <c r="H30" s="23" t="n">
        <v>7391.2</v>
      </c>
      <c r="I30" s="23" t="n">
        <v>600.542</v>
      </c>
      <c r="J30" s="23" t="n">
        <v>15799.653</v>
      </c>
      <c r="K30" s="23" t="n">
        <v>66277.805</v>
      </c>
    </row>
    <row r="31" customFormat="false" ht="15" hidden="false" customHeight="false" outlineLevel="0" collapsed="false">
      <c r="A31" s="4" t="n">
        <v>2050</v>
      </c>
      <c r="B31" s="23" t="n">
        <v>7600019.656</v>
      </c>
      <c r="C31" s="23" t="n">
        <v>62073.317</v>
      </c>
      <c r="D31" s="23" t="n">
        <v>5065.167</v>
      </c>
      <c r="E31" s="23" t="n">
        <v>26385.247</v>
      </c>
      <c r="F31" s="23" t="n">
        <v>69069.153</v>
      </c>
      <c r="G31" s="23" t="n">
        <v>7600019.656</v>
      </c>
      <c r="H31" s="23" t="n">
        <v>7790.201</v>
      </c>
      <c r="I31" s="23" t="n">
        <v>635.678</v>
      </c>
      <c r="J31" s="23" t="n">
        <v>16886.558</v>
      </c>
      <c r="K31" s="23" t="n">
        <v>69069.153</v>
      </c>
    </row>
    <row r="33" customFormat="false" ht="15" hidden="false" customHeight="false" outlineLevel="0" collapsed="false">
      <c r="A33" s="22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5"/>
  </cols>
  <sheetData>
    <row r="1" customFormat="false" ht="15" hidden="false" customHeight="false" outlineLevel="0" collapsed="false">
      <c r="A1" s="13" t="s">
        <v>231</v>
      </c>
    </row>
    <row r="2" customFormat="false" ht="15" hidden="false" customHeight="false" outlineLevel="0" collapsed="false">
      <c r="A2" s="22" t="s">
        <v>232</v>
      </c>
    </row>
    <row r="3" customFormat="false" ht="26.85" hidden="false" customHeight="false" outlineLevel="0" collapsed="false">
      <c r="A3" s="3" t="s">
        <v>113</v>
      </c>
      <c r="B3" s="3" t="s">
        <v>137</v>
      </c>
      <c r="C3" s="3" t="s">
        <v>233</v>
      </c>
      <c r="D3" s="3" t="s">
        <v>136</v>
      </c>
      <c r="E3" s="3" t="s">
        <v>138</v>
      </c>
      <c r="F3" s="3" t="s">
        <v>141</v>
      </c>
      <c r="G3" s="3" t="s">
        <v>140</v>
      </c>
      <c r="H3" s="3" t="s">
        <v>139</v>
      </c>
      <c r="I3" s="3" t="s">
        <v>135</v>
      </c>
      <c r="J3" s="3" t="s">
        <v>142</v>
      </c>
      <c r="K3" s="3" t="s">
        <v>134</v>
      </c>
    </row>
    <row r="4" customFormat="false" ht="15" hidden="false" customHeight="false" outlineLevel="0" collapsed="false">
      <c r="A4" s="4" t="n">
        <v>2018</v>
      </c>
      <c r="B4" s="24" t="n">
        <v>0.002</v>
      </c>
      <c r="C4" s="24" t="n">
        <v>0.416</v>
      </c>
      <c r="D4" s="24" t="n">
        <v>88.131</v>
      </c>
      <c r="E4" s="24" t="n">
        <v>14.215</v>
      </c>
      <c r="F4" s="24" t="n">
        <v>2.843</v>
      </c>
      <c r="G4" s="24" t="n">
        <v>1.421</v>
      </c>
      <c r="H4" s="24" t="n">
        <v>7.107</v>
      </c>
      <c r="I4" s="24" t="n">
        <v>6.325</v>
      </c>
      <c r="J4" s="24" t="n">
        <v>0.013</v>
      </c>
      <c r="K4" s="24" t="n">
        <v>21.688</v>
      </c>
    </row>
    <row r="5" customFormat="false" ht="15" hidden="false" customHeight="false" outlineLevel="0" collapsed="false">
      <c r="A5" s="4" t="n">
        <v>2019</v>
      </c>
      <c r="B5" s="24" t="n">
        <v>0.004</v>
      </c>
      <c r="C5" s="24" t="n">
        <v>0.715</v>
      </c>
      <c r="D5" s="24" t="n">
        <v>101.254</v>
      </c>
      <c r="E5" s="24" t="n">
        <v>16.331</v>
      </c>
      <c r="F5" s="24" t="n">
        <v>3.266</v>
      </c>
      <c r="G5" s="24" t="n">
        <v>1.633</v>
      </c>
      <c r="H5" s="24" t="n">
        <v>8.166</v>
      </c>
      <c r="I5" s="24" t="n">
        <v>6.533</v>
      </c>
      <c r="J5" s="24" t="n">
        <v>0.02</v>
      </c>
      <c r="K5" s="24" t="n">
        <v>25.415</v>
      </c>
    </row>
    <row r="6" customFormat="false" ht="15" hidden="false" customHeight="false" outlineLevel="0" collapsed="false">
      <c r="A6" s="4" t="n">
        <v>2020</v>
      </c>
      <c r="B6" s="24" t="n">
        <v>0.005</v>
      </c>
      <c r="C6" s="24" t="n">
        <v>0.123</v>
      </c>
      <c r="D6" s="24" t="n">
        <v>97.353</v>
      </c>
      <c r="E6" s="24" t="n">
        <v>15.702</v>
      </c>
      <c r="F6" s="24" t="n">
        <v>3.14</v>
      </c>
      <c r="G6" s="24" t="n">
        <v>1.57</v>
      </c>
      <c r="H6" s="24" t="n">
        <v>7.851</v>
      </c>
      <c r="I6" s="24" t="n">
        <v>7.142</v>
      </c>
      <c r="J6" s="24" t="n">
        <v>0.026</v>
      </c>
      <c r="K6" s="24" t="n">
        <v>24.139</v>
      </c>
    </row>
    <row r="7" customFormat="false" ht="15" hidden="false" customHeight="false" outlineLevel="0" collapsed="false">
      <c r="A7" s="4" t="n">
        <v>2021</v>
      </c>
      <c r="B7" s="24" t="n">
        <v>0.008</v>
      </c>
      <c r="C7" s="24" t="n">
        <v>1.006</v>
      </c>
      <c r="D7" s="24" t="n">
        <v>103.496</v>
      </c>
      <c r="E7" s="24" t="n">
        <v>16.693</v>
      </c>
      <c r="F7" s="24" t="n">
        <v>3.339</v>
      </c>
      <c r="G7" s="24" t="n">
        <v>1.669</v>
      </c>
      <c r="H7" s="24" t="n">
        <v>8.346</v>
      </c>
      <c r="I7" s="24" t="n">
        <v>7.341</v>
      </c>
      <c r="J7" s="24" t="n">
        <v>0.034</v>
      </c>
      <c r="K7" s="24" t="n">
        <v>25.039</v>
      </c>
    </row>
    <row r="8" customFormat="false" ht="15" hidden="false" customHeight="false" outlineLevel="0" collapsed="false">
      <c r="A8" s="4" t="n">
        <v>2022</v>
      </c>
      <c r="B8" s="24" t="n">
        <v>0.01</v>
      </c>
      <c r="C8" s="24" t="n">
        <v>1.157</v>
      </c>
      <c r="D8" s="24" t="n">
        <v>105.117</v>
      </c>
      <c r="E8" s="24" t="n">
        <v>16.954</v>
      </c>
      <c r="F8" s="24" t="n">
        <v>3.391</v>
      </c>
      <c r="G8" s="24" t="n">
        <v>1.695</v>
      </c>
      <c r="H8" s="24" t="n">
        <v>8.477</v>
      </c>
      <c r="I8" s="24" t="n">
        <v>7.321</v>
      </c>
      <c r="J8" s="24" t="n">
        <v>0.034</v>
      </c>
      <c r="K8" s="24" t="n">
        <v>25.431</v>
      </c>
    </row>
    <row r="9" customFormat="false" ht="15" hidden="false" customHeight="false" outlineLevel="0" collapsed="false">
      <c r="A9" s="4" t="n">
        <v>2023</v>
      </c>
      <c r="B9" s="24" t="n">
        <v>0.012</v>
      </c>
      <c r="C9" s="24" t="n">
        <v>1.744</v>
      </c>
      <c r="D9" s="24" t="n">
        <v>111.274</v>
      </c>
      <c r="E9" s="24" t="n">
        <v>17.947</v>
      </c>
      <c r="F9" s="24" t="n">
        <v>3.589</v>
      </c>
      <c r="G9" s="24" t="n">
        <v>1.795</v>
      </c>
      <c r="H9" s="24" t="n">
        <v>8.974</v>
      </c>
      <c r="I9" s="24" t="n">
        <v>7.23</v>
      </c>
      <c r="J9" s="24" t="n">
        <v>0.034</v>
      </c>
      <c r="K9" s="24" t="n">
        <v>26.921</v>
      </c>
    </row>
    <row r="10" customFormat="false" ht="15" hidden="false" customHeight="false" outlineLevel="0" collapsed="false">
      <c r="A10" s="4" t="n">
        <v>2024</v>
      </c>
      <c r="B10" s="24" t="n">
        <v>0.016</v>
      </c>
      <c r="C10" s="24" t="n">
        <v>1.762</v>
      </c>
      <c r="D10" s="24" t="n">
        <v>113.453</v>
      </c>
      <c r="E10" s="24" t="n">
        <v>18.299</v>
      </c>
      <c r="F10" s="24" t="n">
        <v>3.66</v>
      </c>
      <c r="G10" s="24" t="n">
        <v>1.94</v>
      </c>
      <c r="H10" s="24" t="n">
        <v>9.149</v>
      </c>
      <c r="I10" s="24" t="n">
        <v>9.68</v>
      </c>
      <c r="J10" s="24" t="n">
        <v>0.034</v>
      </c>
      <c r="K10" s="24" t="n">
        <v>29.864</v>
      </c>
    </row>
    <row r="11" customFormat="false" ht="15" hidden="false" customHeight="false" outlineLevel="0" collapsed="false">
      <c r="A11" s="4" t="n">
        <v>2025</v>
      </c>
      <c r="B11" s="24" t="n">
        <v>0.02</v>
      </c>
      <c r="C11" s="24" t="n">
        <v>1.601</v>
      </c>
      <c r="D11" s="24" t="n">
        <v>113.763</v>
      </c>
      <c r="E11" s="24" t="n">
        <v>18.349</v>
      </c>
      <c r="F11" s="24" t="n">
        <v>3.67</v>
      </c>
      <c r="G11" s="24" t="n">
        <v>1.938</v>
      </c>
      <c r="H11" s="24" t="n">
        <v>9.174</v>
      </c>
      <c r="I11" s="24" t="n">
        <v>12.385</v>
      </c>
      <c r="J11" s="24" t="n">
        <v>0.034</v>
      </c>
      <c r="K11" s="24" t="n">
        <v>32.905</v>
      </c>
    </row>
    <row r="12" customFormat="false" ht="15" hidden="false" customHeight="false" outlineLevel="0" collapsed="false">
      <c r="A12" s="4" t="n">
        <v>2026</v>
      </c>
      <c r="B12" s="24" t="n">
        <v>0.108</v>
      </c>
      <c r="C12" s="24" t="n">
        <v>1.963</v>
      </c>
      <c r="D12" s="24" t="n">
        <v>111.073</v>
      </c>
      <c r="E12" s="24" t="n">
        <v>17.915</v>
      </c>
      <c r="F12" s="24" t="n">
        <v>3.583</v>
      </c>
      <c r="G12" s="24" t="n">
        <v>1.963</v>
      </c>
      <c r="H12" s="24" t="n">
        <v>8.957</v>
      </c>
      <c r="I12" s="24" t="n">
        <v>15.569</v>
      </c>
      <c r="J12" s="24" t="n">
        <v>0.034</v>
      </c>
      <c r="K12" s="24" t="n">
        <v>35.276</v>
      </c>
    </row>
    <row r="13" customFormat="false" ht="15" hidden="false" customHeight="false" outlineLevel="0" collapsed="false">
      <c r="A13" s="4" t="n">
        <v>2027</v>
      </c>
      <c r="B13" s="24" t="n">
        <v>0.209</v>
      </c>
      <c r="C13" s="24" t="n">
        <v>0.884</v>
      </c>
      <c r="D13" s="24" t="n">
        <v>104.94</v>
      </c>
      <c r="E13" s="24" t="n">
        <v>16.926</v>
      </c>
      <c r="F13" s="24" t="n">
        <v>3.385</v>
      </c>
      <c r="G13" s="24" t="n">
        <v>1.98</v>
      </c>
      <c r="H13" s="24" t="n">
        <v>8.463</v>
      </c>
      <c r="I13" s="24" t="n">
        <v>20.867</v>
      </c>
      <c r="J13" s="24" t="n">
        <v>0.034</v>
      </c>
      <c r="K13" s="24" t="n">
        <v>40.581</v>
      </c>
    </row>
    <row r="14" customFormat="false" ht="15" hidden="false" customHeight="false" outlineLevel="0" collapsed="false">
      <c r="A14" s="4" t="n">
        <v>2028</v>
      </c>
      <c r="B14" s="24" t="n">
        <v>0.323</v>
      </c>
      <c r="C14" s="24" t="n">
        <v>0.541</v>
      </c>
      <c r="D14" s="24" t="n">
        <v>90.413</v>
      </c>
      <c r="E14" s="24" t="n">
        <v>14.583</v>
      </c>
      <c r="F14" s="24" t="n">
        <v>4.376</v>
      </c>
      <c r="G14" s="24" t="n">
        <v>2</v>
      </c>
      <c r="H14" s="24" t="n">
        <v>7.291</v>
      </c>
      <c r="I14" s="24" t="n">
        <v>32.381</v>
      </c>
      <c r="J14" s="24" t="n">
        <v>0.034</v>
      </c>
      <c r="K14" s="24" t="n">
        <v>48.422</v>
      </c>
    </row>
    <row r="15" customFormat="false" ht="15" hidden="false" customHeight="false" outlineLevel="0" collapsed="false">
      <c r="A15" s="4" t="n">
        <v>2029</v>
      </c>
      <c r="B15" s="24" t="n">
        <v>0.452</v>
      </c>
      <c r="C15" s="24" t="n">
        <v>0</v>
      </c>
      <c r="D15" s="24" t="n">
        <v>62.627</v>
      </c>
      <c r="E15" s="24" t="n">
        <v>10.101</v>
      </c>
      <c r="F15" s="24" t="n">
        <v>4.042</v>
      </c>
      <c r="G15" s="24" t="n">
        <v>2.02</v>
      </c>
      <c r="H15" s="24" t="n">
        <v>5.051</v>
      </c>
      <c r="I15" s="24" t="n">
        <v>53.536</v>
      </c>
      <c r="J15" s="24" t="n">
        <v>0.034</v>
      </c>
      <c r="K15" s="24" t="n">
        <v>64.647</v>
      </c>
    </row>
    <row r="16" customFormat="false" ht="15" hidden="false" customHeight="false" outlineLevel="0" collapsed="false">
      <c r="A16" s="4" t="n">
        <v>2030</v>
      </c>
      <c r="B16" s="24" t="n">
        <v>0.597</v>
      </c>
      <c r="C16" s="24" t="n">
        <v>0</v>
      </c>
      <c r="D16" s="24" t="n">
        <v>34.62</v>
      </c>
      <c r="E16" s="24" t="n">
        <v>5.584</v>
      </c>
      <c r="F16" s="24" t="n">
        <v>3.186</v>
      </c>
      <c r="G16" s="24" t="n">
        <v>2.061</v>
      </c>
      <c r="H16" s="24" t="n">
        <v>2.792</v>
      </c>
      <c r="I16" s="24" t="n">
        <v>75.878</v>
      </c>
      <c r="J16" s="24" t="n">
        <v>0.034</v>
      </c>
      <c r="K16" s="24" t="n">
        <v>82.02</v>
      </c>
    </row>
    <row r="17" customFormat="false" ht="15" hidden="false" customHeight="false" outlineLevel="0" collapsed="false">
      <c r="A17" s="4" t="n">
        <v>2031</v>
      </c>
      <c r="B17" s="24" t="n">
        <v>0.758</v>
      </c>
      <c r="C17" s="24" t="n">
        <v>0</v>
      </c>
      <c r="D17" s="24" t="n">
        <v>19.424</v>
      </c>
      <c r="E17" s="24" t="n">
        <v>3.133</v>
      </c>
      <c r="F17" s="24" t="n">
        <v>2.823</v>
      </c>
      <c r="G17" s="24" t="n">
        <v>2.157</v>
      </c>
      <c r="H17" s="24" t="n">
        <v>1.566</v>
      </c>
      <c r="I17" s="24" t="n">
        <v>91.574</v>
      </c>
      <c r="J17" s="24" t="n">
        <v>0.035</v>
      </c>
      <c r="K17" s="24" t="n">
        <v>95.021</v>
      </c>
    </row>
    <row r="18" customFormat="false" ht="15" hidden="false" customHeight="false" outlineLevel="0" collapsed="false">
      <c r="A18" s="4" t="n">
        <v>2032</v>
      </c>
      <c r="B18" s="24" t="n">
        <v>0.938</v>
      </c>
      <c r="C18" s="24" t="n">
        <v>0</v>
      </c>
      <c r="D18" s="24" t="n">
        <v>12.019</v>
      </c>
      <c r="E18" s="24" t="n">
        <v>1.938</v>
      </c>
      <c r="F18" s="24" t="n">
        <v>2.675</v>
      </c>
      <c r="G18" s="24" t="n">
        <v>2.219</v>
      </c>
      <c r="H18" s="24" t="n">
        <v>0.969</v>
      </c>
      <c r="I18" s="24" t="n">
        <v>100.001</v>
      </c>
      <c r="J18" s="24" t="n">
        <v>0.035</v>
      </c>
      <c r="K18" s="24" t="n">
        <v>102.133</v>
      </c>
    </row>
    <row r="19" customFormat="false" ht="15" hidden="false" customHeight="false" outlineLevel="0" collapsed="false">
      <c r="A19" s="4" t="n">
        <v>2033</v>
      </c>
      <c r="B19" s="24" t="n">
        <v>1.137</v>
      </c>
      <c r="C19" s="24" t="n">
        <v>0</v>
      </c>
      <c r="D19" s="24" t="n">
        <v>7.755</v>
      </c>
      <c r="E19" s="24" t="n">
        <v>1.251</v>
      </c>
      <c r="F19" s="24" t="n">
        <v>2.73</v>
      </c>
      <c r="G19" s="24" t="n">
        <v>2.354</v>
      </c>
      <c r="H19" s="24" t="n">
        <v>0.625</v>
      </c>
      <c r="I19" s="24" t="n">
        <v>109.724</v>
      </c>
      <c r="J19" s="24" t="n">
        <v>0.036</v>
      </c>
      <c r="K19" s="24" t="n">
        <v>111.1</v>
      </c>
    </row>
    <row r="20" customFormat="false" ht="15" hidden="false" customHeight="false" outlineLevel="0" collapsed="false">
      <c r="A20" s="4" t="n">
        <v>2034</v>
      </c>
      <c r="B20" s="24" t="n">
        <v>1.356</v>
      </c>
      <c r="C20" s="24" t="n">
        <v>0</v>
      </c>
      <c r="D20" s="24" t="n">
        <v>3.984</v>
      </c>
      <c r="E20" s="24" t="n">
        <v>0.643</v>
      </c>
      <c r="F20" s="24" t="n">
        <v>2.582</v>
      </c>
      <c r="G20" s="24" t="n">
        <v>2.76</v>
      </c>
      <c r="H20" s="24" t="n">
        <v>0.321</v>
      </c>
      <c r="I20" s="24" t="n">
        <v>119.833</v>
      </c>
      <c r="J20" s="24" t="n">
        <v>0.036</v>
      </c>
      <c r="K20" s="24" t="n">
        <v>120.54</v>
      </c>
    </row>
    <row r="21" customFormat="false" ht="15" hidden="false" customHeight="false" outlineLevel="0" collapsed="false">
      <c r="A21" s="4" t="n">
        <v>2035</v>
      </c>
      <c r="B21" s="24" t="n">
        <v>1.598</v>
      </c>
      <c r="C21" s="24" t="n">
        <v>0</v>
      </c>
      <c r="D21" s="24" t="n">
        <v>0</v>
      </c>
      <c r="E21" s="24" t="n">
        <v>0</v>
      </c>
      <c r="F21" s="24" t="n">
        <v>1.067</v>
      </c>
      <c r="G21" s="24" t="n">
        <v>4.61</v>
      </c>
      <c r="H21" s="24" t="n">
        <v>0</v>
      </c>
      <c r="I21" s="24" t="n">
        <v>131.452</v>
      </c>
      <c r="J21" s="24" t="n">
        <v>0.037</v>
      </c>
      <c r="K21" s="24" t="n">
        <v>131.452</v>
      </c>
    </row>
    <row r="22" customFormat="false" ht="15" hidden="false" customHeight="false" outlineLevel="0" collapsed="false">
      <c r="A22" s="4" t="n">
        <v>2036</v>
      </c>
      <c r="B22" s="24" t="n">
        <v>1.639</v>
      </c>
      <c r="C22" s="24" t="n">
        <v>0</v>
      </c>
      <c r="D22" s="24" t="n">
        <v>0</v>
      </c>
      <c r="E22" s="24" t="n">
        <v>0</v>
      </c>
      <c r="F22" s="24" t="n">
        <v>1.156</v>
      </c>
      <c r="G22" s="24" t="n">
        <v>4.808</v>
      </c>
      <c r="H22" s="24" t="n">
        <v>0</v>
      </c>
      <c r="I22" s="24" t="n">
        <v>137.844</v>
      </c>
      <c r="J22" s="24" t="n">
        <v>0.038</v>
      </c>
      <c r="K22" s="24" t="n">
        <v>137.844</v>
      </c>
    </row>
    <row r="23" customFormat="false" ht="15" hidden="false" customHeight="false" outlineLevel="0" collapsed="false">
      <c r="A23" s="4" t="n">
        <v>2037</v>
      </c>
      <c r="B23" s="24" t="n">
        <v>1.681</v>
      </c>
      <c r="C23" s="24" t="n">
        <v>0.077</v>
      </c>
      <c r="D23" s="24" t="n">
        <v>0</v>
      </c>
      <c r="E23" s="24" t="n">
        <v>0</v>
      </c>
      <c r="F23" s="24" t="n">
        <v>1.179</v>
      </c>
      <c r="G23" s="24" t="n">
        <v>5.015</v>
      </c>
      <c r="H23" s="24" t="n">
        <v>0</v>
      </c>
      <c r="I23" s="24" t="n">
        <v>144.783</v>
      </c>
      <c r="J23" s="24" t="n">
        <v>0.038</v>
      </c>
      <c r="K23" s="24" t="n">
        <v>144.783</v>
      </c>
    </row>
    <row r="24" customFormat="false" ht="15" hidden="false" customHeight="false" outlineLevel="0" collapsed="false">
      <c r="A24" s="4" t="n">
        <v>2038</v>
      </c>
      <c r="B24" s="24" t="n">
        <v>1.724</v>
      </c>
      <c r="C24" s="24" t="n">
        <v>0.134</v>
      </c>
      <c r="D24" s="24" t="n">
        <v>0</v>
      </c>
      <c r="E24" s="24" t="n">
        <v>0</v>
      </c>
      <c r="F24" s="24" t="n">
        <v>1.216</v>
      </c>
      <c r="G24" s="24" t="n">
        <v>5.217</v>
      </c>
      <c r="H24" s="24" t="n">
        <v>0</v>
      </c>
      <c r="I24" s="24" t="n">
        <v>151.45</v>
      </c>
      <c r="J24" s="24" t="n">
        <v>0.039</v>
      </c>
      <c r="K24" s="24" t="n">
        <v>151.45</v>
      </c>
    </row>
    <row r="25" customFormat="false" ht="15" hidden="false" customHeight="false" outlineLevel="0" collapsed="false">
      <c r="A25" s="4" t="n">
        <v>2039</v>
      </c>
      <c r="B25" s="24" t="n">
        <v>1.767</v>
      </c>
      <c r="C25" s="24" t="n">
        <v>0.257</v>
      </c>
      <c r="D25" s="24" t="n">
        <v>0</v>
      </c>
      <c r="E25" s="24" t="n">
        <v>0</v>
      </c>
      <c r="F25" s="24" t="n">
        <v>1.173</v>
      </c>
      <c r="G25" s="24" t="n">
        <v>5.409</v>
      </c>
      <c r="H25" s="24" t="n">
        <v>0</v>
      </c>
      <c r="I25" s="24" t="n">
        <v>157.503</v>
      </c>
      <c r="J25" s="24" t="n">
        <v>0.04</v>
      </c>
      <c r="K25" s="24" t="n">
        <v>157.503</v>
      </c>
    </row>
    <row r="26" customFormat="false" ht="15" hidden="false" customHeight="false" outlineLevel="0" collapsed="false">
      <c r="A26" s="4" t="n">
        <v>2040</v>
      </c>
      <c r="B26" s="24" t="n">
        <v>1.81</v>
      </c>
      <c r="C26" s="24" t="n">
        <v>0.283</v>
      </c>
      <c r="D26" s="24" t="n">
        <v>0</v>
      </c>
      <c r="E26" s="24" t="n">
        <v>0</v>
      </c>
      <c r="F26" s="24" t="n">
        <v>1.204</v>
      </c>
      <c r="G26" s="24" t="n">
        <v>5.572</v>
      </c>
      <c r="H26" s="24" t="n">
        <v>0</v>
      </c>
      <c r="I26" s="24" t="n">
        <v>162.415</v>
      </c>
      <c r="J26" s="24" t="n">
        <v>0.041</v>
      </c>
      <c r="K26" s="24" t="n">
        <v>162.415</v>
      </c>
    </row>
    <row r="27" customFormat="false" ht="15" hidden="false" customHeight="false" outlineLevel="0" collapsed="false">
      <c r="A27" s="4" t="n">
        <v>2041</v>
      </c>
      <c r="B27" s="24" t="n">
        <v>1.855</v>
      </c>
      <c r="C27" s="24" t="n">
        <v>0.283</v>
      </c>
      <c r="D27" s="24" t="n">
        <v>0</v>
      </c>
      <c r="E27" s="24" t="n">
        <v>0</v>
      </c>
      <c r="F27" s="24" t="n">
        <v>1.287</v>
      </c>
      <c r="G27" s="24" t="n">
        <v>5.787</v>
      </c>
      <c r="H27" s="24" t="n">
        <v>0</v>
      </c>
      <c r="I27" s="24" t="n">
        <v>168.638</v>
      </c>
      <c r="J27" s="24" t="n">
        <v>0.041</v>
      </c>
      <c r="K27" s="24" t="n">
        <v>168.638</v>
      </c>
    </row>
    <row r="28" customFormat="false" ht="15" hidden="false" customHeight="false" outlineLevel="0" collapsed="false">
      <c r="A28" s="4" t="n">
        <v>2042</v>
      </c>
      <c r="B28" s="24" t="n">
        <v>1.9</v>
      </c>
      <c r="C28" s="24" t="n">
        <v>0.283</v>
      </c>
      <c r="D28" s="24" t="n">
        <v>0</v>
      </c>
      <c r="E28" s="24" t="n">
        <v>0</v>
      </c>
      <c r="F28" s="24" t="n">
        <v>1.335</v>
      </c>
      <c r="G28" s="24" t="n">
        <v>5.95</v>
      </c>
      <c r="H28" s="24" t="n">
        <v>0</v>
      </c>
      <c r="I28" s="24" t="n">
        <v>173.245</v>
      </c>
      <c r="J28" s="24" t="n">
        <v>0.042</v>
      </c>
      <c r="K28" s="24" t="n">
        <v>173.245</v>
      </c>
    </row>
    <row r="29" customFormat="false" ht="15" hidden="false" customHeight="false" outlineLevel="0" collapsed="false">
      <c r="A29" s="4" t="n">
        <v>2043</v>
      </c>
      <c r="B29" s="24" t="n">
        <v>1.946</v>
      </c>
      <c r="C29" s="24" t="n">
        <v>0.283</v>
      </c>
      <c r="D29" s="24" t="n">
        <v>0</v>
      </c>
      <c r="E29" s="24" t="n">
        <v>0</v>
      </c>
      <c r="F29" s="24" t="n">
        <v>1.344</v>
      </c>
      <c r="G29" s="24" t="n">
        <v>6.049</v>
      </c>
      <c r="H29" s="24" t="n">
        <v>0</v>
      </c>
      <c r="I29" s="24" t="n">
        <v>175.977</v>
      </c>
      <c r="J29" s="24" t="n">
        <v>0.043</v>
      </c>
      <c r="K29" s="24" t="n">
        <v>175.977</v>
      </c>
    </row>
    <row r="30" customFormat="false" ht="15" hidden="false" customHeight="false" outlineLevel="0" collapsed="false">
      <c r="A30" s="4" t="n">
        <v>2044</v>
      </c>
      <c r="B30" s="24" t="n">
        <v>1.993</v>
      </c>
      <c r="C30" s="24" t="n">
        <v>0.223</v>
      </c>
      <c r="D30" s="24" t="n">
        <v>0</v>
      </c>
      <c r="E30" s="24" t="n">
        <v>0</v>
      </c>
      <c r="F30" s="24" t="n">
        <v>1.449</v>
      </c>
      <c r="G30" s="24" t="n">
        <v>6.211</v>
      </c>
      <c r="H30" s="24" t="n">
        <v>0</v>
      </c>
      <c r="I30" s="24" t="n">
        <v>180.521</v>
      </c>
      <c r="J30" s="24" t="n">
        <v>0.044</v>
      </c>
      <c r="K30" s="24" t="n">
        <v>180.521</v>
      </c>
    </row>
    <row r="31" customFormat="false" ht="15" hidden="false" customHeight="false" outlineLevel="0" collapsed="false">
      <c r="A31" s="4" t="n">
        <v>2045</v>
      </c>
      <c r="B31" s="24" t="n">
        <v>2.041</v>
      </c>
      <c r="C31" s="24" t="n">
        <v>0.049</v>
      </c>
      <c r="D31" s="24" t="n">
        <v>0</v>
      </c>
      <c r="E31" s="24" t="n">
        <v>0</v>
      </c>
      <c r="F31" s="24" t="n">
        <v>1.665</v>
      </c>
      <c r="G31" s="24" t="n">
        <v>6.372</v>
      </c>
      <c r="H31" s="24" t="n">
        <v>0</v>
      </c>
      <c r="I31" s="24" t="n">
        <v>184.939</v>
      </c>
      <c r="J31" s="24" t="n">
        <v>0.045</v>
      </c>
      <c r="K31" s="24" t="n">
        <v>184.939</v>
      </c>
    </row>
    <row r="32" customFormat="false" ht="15" hidden="false" customHeight="false" outlineLevel="0" collapsed="false">
      <c r="A32" s="4" t="n">
        <v>2046</v>
      </c>
      <c r="B32" s="24" t="n">
        <v>2.091</v>
      </c>
      <c r="C32" s="24" t="n">
        <v>0.049</v>
      </c>
      <c r="D32" s="24" t="n">
        <v>0</v>
      </c>
      <c r="E32" s="24" t="n">
        <v>0</v>
      </c>
      <c r="F32" s="24" t="n">
        <v>1.709</v>
      </c>
      <c r="G32" s="24" t="n">
        <v>6.536</v>
      </c>
      <c r="H32" s="24" t="n">
        <v>0</v>
      </c>
      <c r="I32" s="24" t="n">
        <v>189.54</v>
      </c>
      <c r="J32" s="24" t="n">
        <v>0.046</v>
      </c>
      <c r="K32" s="24" t="n">
        <v>189.54</v>
      </c>
    </row>
    <row r="33" customFormat="false" ht="15" hidden="false" customHeight="false" outlineLevel="0" collapsed="false">
      <c r="A33" s="4" t="n">
        <v>2047</v>
      </c>
      <c r="B33" s="24" t="n">
        <v>2.141</v>
      </c>
      <c r="C33" s="24" t="n">
        <v>0.049</v>
      </c>
      <c r="D33" s="24" t="n">
        <v>0</v>
      </c>
      <c r="E33" s="24" t="n">
        <v>0</v>
      </c>
      <c r="F33" s="24" t="n">
        <v>1.75</v>
      </c>
      <c r="G33" s="24" t="n">
        <v>6.698</v>
      </c>
      <c r="H33" s="24" t="n">
        <v>0</v>
      </c>
      <c r="I33" s="24" t="n">
        <v>194.035</v>
      </c>
      <c r="J33" s="24" t="n">
        <v>0.047</v>
      </c>
      <c r="K33" s="24" t="n">
        <v>194.035</v>
      </c>
    </row>
    <row r="34" customFormat="false" ht="15" hidden="false" customHeight="false" outlineLevel="0" collapsed="false">
      <c r="A34" s="4" t="n">
        <v>2048</v>
      </c>
      <c r="B34" s="24" t="n">
        <v>2.193</v>
      </c>
      <c r="C34" s="24" t="n">
        <v>0.049</v>
      </c>
      <c r="D34" s="24" t="n">
        <v>0</v>
      </c>
      <c r="E34" s="24" t="n">
        <v>0</v>
      </c>
      <c r="F34" s="24" t="n">
        <v>1.788</v>
      </c>
      <c r="G34" s="24" t="n">
        <v>6.858</v>
      </c>
      <c r="H34" s="24" t="n">
        <v>0</v>
      </c>
      <c r="I34" s="24" t="n">
        <v>198.457</v>
      </c>
      <c r="J34" s="24" t="n">
        <v>0.048</v>
      </c>
      <c r="K34" s="24" t="n">
        <v>198.457</v>
      </c>
    </row>
    <row r="35" customFormat="false" ht="15" hidden="false" customHeight="false" outlineLevel="0" collapsed="false">
      <c r="A35" s="4" t="n">
        <v>2049</v>
      </c>
      <c r="B35" s="24" t="n">
        <v>2.246</v>
      </c>
      <c r="C35" s="24" t="n">
        <v>0.049</v>
      </c>
      <c r="D35" s="24" t="n">
        <v>0</v>
      </c>
      <c r="E35" s="24" t="n">
        <v>0</v>
      </c>
      <c r="F35" s="24" t="n">
        <v>1.822</v>
      </c>
      <c r="G35" s="24" t="n">
        <v>7.015</v>
      </c>
      <c r="H35" s="24" t="n">
        <v>0</v>
      </c>
      <c r="I35" s="24" t="n">
        <v>202.761</v>
      </c>
      <c r="J35" s="24" t="n">
        <v>0.05</v>
      </c>
      <c r="K35" s="24" t="n">
        <v>202.761</v>
      </c>
    </row>
    <row r="36" customFormat="false" ht="15" hidden="false" customHeight="false" outlineLevel="0" collapsed="false">
      <c r="A36" s="4" t="n">
        <v>2050</v>
      </c>
      <c r="B36" s="24" t="n">
        <v>2.3</v>
      </c>
      <c r="C36" s="24" t="n">
        <v>0.049</v>
      </c>
      <c r="D36" s="24" t="n">
        <v>0</v>
      </c>
      <c r="E36" s="24" t="n">
        <v>0</v>
      </c>
      <c r="F36" s="24" t="n">
        <v>1.855</v>
      </c>
      <c r="G36" s="24" t="n">
        <v>7.172</v>
      </c>
      <c r="H36" s="24" t="n">
        <v>0</v>
      </c>
      <c r="I36" s="24" t="n">
        <v>207.032</v>
      </c>
      <c r="J36" s="24" t="n">
        <v>0.051</v>
      </c>
      <c r="K36" s="24" t="n">
        <v>207.032</v>
      </c>
    </row>
    <row r="38" customFormat="false" ht="15" hidden="false" customHeight="false" outlineLevel="0" collapsed="false">
      <c r="A38" s="13" t="s">
        <v>234</v>
      </c>
    </row>
    <row r="39" customFormat="false" ht="26.85" hidden="false" customHeight="false" outlineLevel="0" collapsed="false">
      <c r="A39" s="3" t="s">
        <v>113</v>
      </c>
      <c r="B39" s="3" t="s">
        <v>235</v>
      </c>
      <c r="C39" s="3" t="s">
        <v>236</v>
      </c>
      <c r="D39" s="3" t="s">
        <v>237</v>
      </c>
      <c r="E39" s="3" t="s">
        <v>238</v>
      </c>
    </row>
    <row r="40" customFormat="false" ht="15" hidden="false" customHeight="false" outlineLevel="0" collapsed="false">
      <c r="A40" s="4" t="n">
        <v>2018</v>
      </c>
      <c r="B40" s="24" t="n">
        <v>0</v>
      </c>
      <c r="C40" s="24" t="n">
        <v>0</v>
      </c>
      <c r="D40" s="24" t="n">
        <v>0</v>
      </c>
      <c r="E40" s="24" t="n">
        <v>0</v>
      </c>
    </row>
    <row r="41" customFormat="false" ht="15" hidden="false" customHeight="false" outlineLevel="0" collapsed="false">
      <c r="A41" s="4" t="n">
        <v>2019</v>
      </c>
      <c r="B41" s="24" t="n">
        <v>0</v>
      </c>
      <c r="C41" s="24" t="n">
        <v>0</v>
      </c>
      <c r="D41" s="24" t="n">
        <v>0</v>
      </c>
      <c r="E41" s="24" t="n">
        <v>0</v>
      </c>
    </row>
    <row r="42" customFormat="false" ht="15" hidden="false" customHeight="false" outlineLevel="0" collapsed="false">
      <c r="A42" s="4" t="n">
        <v>2020</v>
      </c>
      <c r="B42" s="24" t="n">
        <v>0</v>
      </c>
      <c r="C42" s="24" t="n">
        <v>0</v>
      </c>
      <c r="D42" s="24" t="n">
        <v>0</v>
      </c>
      <c r="E42" s="24" t="n">
        <v>0</v>
      </c>
    </row>
    <row r="43" customFormat="false" ht="15" hidden="false" customHeight="false" outlineLevel="0" collapsed="false">
      <c r="A43" s="4" t="n">
        <v>2021</v>
      </c>
      <c r="B43" s="24" t="n">
        <v>0</v>
      </c>
      <c r="C43" s="24" t="n">
        <v>0</v>
      </c>
      <c r="D43" s="24" t="n">
        <v>0</v>
      </c>
      <c r="E43" s="24" t="n">
        <v>0</v>
      </c>
    </row>
    <row r="44" customFormat="false" ht="15" hidden="false" customHeight="false" outlineLevel="0" collapsed="false">
      <c r="A44" s="4" t="n">
        <v>2022</v>
      </c>
      <c r="B44" s="24" t="n">
        <v>0</v>
      </c>
      <c r="C44" s="24" t="n">
        <v>0</v>
      </c>
      <c r="D44" s="24" t="n">
        <v>0</v>
      </c>
      <c r="E44" s="24" t="n">
        <v>0</v>
      </c>
    </row>
    <row r="45" customFormat="false" ht="15" hidden="false" customHeight="false" outlineLevel="0" collapsed="false">
      <c r="A45" s="4" t="n">
        <v>2023</v>
      </c>
      <c r="B45" s="24" t="n">
        <v>0</v>
      </c>
      <c r="C45" s="24" t="n">
        <v>0</v>
      </c>
      <c r="D45" s="24" t="n">
        <v>0</v>
      </c>
      <c r="E45" s="24" t="n">
        <v>0</v>
      </c>
    </row>
    <row r="46" customFormat="false" ht="15" hidden="false" customHeight="false" outlineLevel="0" collapsed="false">
      <c r="A46" s="4" t="n">
        <v>2024</v>
      </c>
      <c r="B46" s="24" t="n">
        <v>0</v>
      </c>
      <c r="C46" s="24" t="n">
        <v>0</v>
      </c>
      <c r="D46" s="24" t="n">
        <v>0</v>
      </c>
      <c r="E46" s="24" t="n">
        <v>0</v>
      </c>
    </row>
    <row r="47" customFormat="false" ht="15" hidden="false" customHeight="false" outlineLevel="0" collapsed="false">
      <c r="A47" s="4" t="n">
        <v>2025</v>
      </c>
      <c r="B47" s="24" t="n">
        <v>0.002</v>
      </c>
      <c r="C47" s="24" t="n">
        <v>0</v>
      </c>
      <c r="D47" s="24" t="n">
        <v>0</v>
      </c>
      <c r="E47" s="24" t="n">
        <v>0</v>
      </c>
    </row>
    <row r="48" customFormat="false" ht="15" hidden="false" customHeight="false" outlineLevel="0" collapsed="false">
      <c r="A48" s="4" t="n">
        <v>2026</v>
      </c>
      <c r="B48" s="24" t="n">
        <v>0.14</v>
      </c>
      <c r="C48" s="24" t="n">
        <v>0</v>
      </c>
      <c r="D48" s="24" t="n">
        <v>0</v>
      </c>
      <c r="E48" s="24" t="n">
        <v>0</v>
      </c>
    </row>
    <row r="49" customFormat="false" ht="15" hidden="false" customHeight="false" outlineLevel="0" collapsed="false">
      <c r="A49" s="4" t="n">
        <v>2027</v>
      </c>
      <c r="B49" s="24" t="n">
        <v>0</v>
      </c>
      <c r="C49" s="24" t="n">
        <v>0</v>
      </c>
      <c r="D49" s="24" t="n">
        <v>0</v>
      </c>
      <c r="E49" s="24" t="n">
        <v>0</v>
      </c>
    </row>
    <row r="50" customFormat="false" ht="15" hidden="false" customHeight="false" outlineLevel="0" collapsed="false">
      <c r="A50" s="4" t="n">
        <v>2028</v>
      </c>
      <c r="B50" s="24" t="n">
        <v>0</v>
      </c>
      <c r="C50" s="24" t="n">
        <v>0</v>
      </c>
      <c r="D50" s="24" t="n">
        <v>0</v>
      </c>
      <c r="E50" s="24" t="n">
        <v>0</v>
      </c>
    </row>
    <row r="51" customFormat="false" ht="15" hidden="false" customHeight="false" outlineLevel="0" collapsed="false">
      <c r="A51" s="4" t="n">
        <v>2029</v>
      </c>
      <c r="B51" s="24" t="n">
        <v>0</v>
      </c>
      <c r="C51" s="24" t="n">
        <v>0</v>
      </c>
      <c r="D51" s="24" t="n">
        <v>0</v>
      </c>
      <c r="E51" s="24" t="n">
        <v>0</v>
      </c>
    </row>
    <row r="52" customFormat="false" ht="15" hidden="false" customHeight="false" outlineLevel="0" collapsed="false">
      <c r="A52" s="4" t="n">
        <v>2030</v>
      </c>
      <c r="B52" s="24" t="n">
        <v>0</v>
      </c>
      <c r="C52" s="24" t="n">
        <v>0</v>
      </c>
      <c r="D52" s="24" t="n">
        <v>0</v>
      </c>
      <c r="E52" s="24" t="n">
        <v>0</v>
      </c>
    </row>
    <row r="53" customFormat="false" ht="15" hidden="false" customHeight="false" outlineLevel="0" collapsed="false">
      <c r="A53" s="4" t="n">
        <v>2031</v>
      </c>
      <c r="B53" s="24" t="n">
        <v>0</v>
      </c>
      <c r="C53" s="24" t="n">
        <v>0</v>
      </c>
      <c r="D53" s="24" t="n">
        <v>0</v>
      </c>
      <c r="E53" s="24" t="n">
        <v>0</v>
      </c>
    </row>
    <row r="54" customFormat="false" ht="15" hidden="false" customHeight="false" outlineLevel="0" collapsed="false">
      <c r="A54" s="4" t="n">
        <v>2032</v>
      </c>
      <c r="B54" s="24" t="n">
        <v>5.044</v>
      </c>
      <c r="C54" s="24" t="n">
        <v>0</v>
      </c>
      <c r="D54" s="24" t="n">
        <v>0</v>
      </c>
      <c r="E54" s="24" t="n">
        <v>0</v>
      </c>
    </row>
    <row r="55" customFormat="false" ht="15" hidden="false" customHeight="false" outlineLevel="0" collapsed="false">
      <c r="A55" s="4" t="n">
        <v>2033</v>
      </c>
      <c r="B55" s="24" t="n">
        <v>15.847</v>
      </c>
      <c r="C55" s="24" t="n">
        <v>0</v>
      </c>
      <c r="D55" s="24" t="n">
        <v>0</v>
      </c>
      <c r="E55" s="24" t="n">
        <v>0</v>
      </c>
    </row>
    <row r="56" customFormat="false" ht="15" hidden="false" customHeight="false" outlineLevel="0" collapsed="false">
      <c r="A56" s="4" t="n">
        <v>2034</v>
      </c>
      <c r="B56" s="24" t="n">
        <v>24.987</v>
      </c>
      <c r="C56" s="24" t="n">
        <v>3.399</v>
      </c>
      <c r="D56" s="24" t="n">
        <v>0</v>
      </c>
      <c r="E56" s="24" t="n">
        <v>0</v>
      </c>
    </row>
    <row r="57" customFormat="false" ht="15" hidden="false" customHeight="false" outlineLevel="0" collapsed="false">
      <c r="A57" s="4" t="n">
        <v>2035</v>
      </c>
      <c r="B57" s="24" t="n">
        <v>25.292</v>
      </c>
      <c r="C57" s="24" t="n">
        <v>16.172</v>
      </c>
      <c r="D57" s="24" t="n">
        <v>0</v>
      </c>
      <c r="E57" s="24" t="n">
        <v>1.365</v>
      </c>
    </row>
    <row r="58" customFormat="false" ht="15" hidden="false" customHeight="false" outlineLevel="0" collapsed="false">
      <c r="A58" s="4" t="n">
        <v>2036</v>
      </c>
      <c r="B58" s="24" t="n">
        <v>25.58</v>
      </c>
      <c r="C58" s="24" t="n">
        <v>17.025</v>
      </c>
      <c r="D58" s="24" t="n">
        <v>0</v>
      </c>
      <c r="E58" s="24" t="n">
        <v>2.561</v>
      </c>
    </row>
    <row r="59" customFormat="false" ht="15" hidden="false" customHeight="false" outlineLevel="0" collapsed="false">
      <c r="A59" s="4" t="n">
        <v>2037</v>
      </c>
      <c r="B59" s="24" t="n">
        <v>25.992</v>
      </c>
      <c r="C59" s="24" t="n">
        <v>17.522</v>
      </c>
      <c r="D59" s="24" t="n">
        <v>0</v>
      </c>
      <c r="E59" s="24" t="n">
        <v>4.1</v>
      </c>
    </row>
    <row r="60" customFormat="false" ht="15" hidden="false" customHeight="false" outlineLevel="0" collapsed="false">
      <c r="A60" s="4" t="n">
        <v>2038</v>
      </c>
      <c r="B60" s="24" t="n">
        <v>26.484</v>
      </c>
      <c r="C60" s="24" t="n">
        <v>17.791</v>
      </c>
      <c r="D60" s="24" t="n">
        <v>0</v>
      </c>
      <c r="E60" s="24" t="n">
        <v>5.663</v>
      </c>
    </row>
    <row r="61" customFormat="false" ht="15" hidden="false" customHeight="false" outlineLevel="0" collapsed="false">
      <c r="A61" s="4" t="n">
        <v>2039</v>
      </c>
      <c r="B61" s="24" t="n">
        <v>26.384</v>
      </c>
      <c r="C61" s="24" t="n">
        <v>19.847</v>
      </c>
      <c r="D61" s="24" t="n">
        <v>0</v>
      </c>
      <c r="E61" s="24" t="n">
        <v>6.398</v>
      </c>
    </row>
    <row r="62" customFormat="false" ht="15" hidden="false" customHeight="false" outlineLevel="0" collapsed="false">
      <c r="A62" s="4" t="n">
        <v>2040</v>
      </c>
      <c r="B62" s="24" t="n">
        <v>26.317</v>
      </c>
      <c r="C62" s="24" t="n">
        <v>20.608</v>
      </c>
      <c r="D62" s="24" t="n">
        <v>0</v>
      </c>
      <c r="E62" s="24" t="n">
        <v>6.468</v>
      </c>
    </row>
    <row r="63" customFormat="false" ht="15" hidden="false" customHeight="false" outlineLevel="0" collapsed="false">
      <c r="A63" s="4" t="n">
        <v>2041</v>
      </c>
      <c r="B63" s="24" t="n">
        <v>26.229</v>
      </c>
      <c r="C63" s="24" t="n">
        <v>21.033</v>
      </c>
      <c r="D63" s="24" t="n">
        <v>0</v>
      </c>
      <c r="E63" s="24" t="n">
        <v>6.989</v>
      </c>
    </row>
    <row r="64" customFormat="false" ht="15" hidden="false" customHeight="false" outlineLevel="0" collapsed="false">
      <c r="A64" s="4" t="n">
        <v>2042</v>
      </c>
      <c r="B64" s="24" t="n">
        <v>26.159</v>
      </c>
      <c r="C64" s="24" t="n">
        <v>21.666</v>
      </c>
      <c r="D64" s="24" t="n">
        <v>0</v>
      </c>
      <c r="E64" s="24" t="n">
        <v>7.934</v>
      </c>
    </row>
    <row r="65" customFormat="false" ht="15" hidden="false" customHeight="false" outlineLevel="0" collapsed="false">
      <c r="A65" s="4" t="n">
        <v>2043</v>
      </c>
      <c r="B65" s="24" t="n">
        <v>26.191</v>
      </c>
      <c r="C65" s="24" t="n">
        <v>22.042</v>
      </c>
      <c r="D65" s="24" t="n">
        <v>0</v>
      </c>
      <c r="E65" s="24" t="n">
        <v>8.53</v>
      </c>
    </row>
    <row r="66" customFormat="false" ht="15" hidden="false" customHeight="false" outlineLevel="0" collapsed="false">
      <c r="A66" s="4" t="n">
        <v>2044</v>
      </c>
      <c r="B66" s="24" t="n">
        <v>26.361</v>
      </c>
      <c r="C66" s="24" t="n">
        <v>22.653</v>
      </c>
      <c r="D66" s="24" t="n">
        <v>0</v>
      </c>
      <c r="E66" s="24" t="n">
        <v>9.476</v>
      </c>
    </row>
    <row r="67" customFormat="false" ht="15" hidden="false" customHeight="false" outlineLevel="0" collapsed="false">
      <c r="A67" s="4" t="n">
        <v>2045</v>
      </c>
      <c r="B67" s="24" t="n">
        <v>26.529</v>
      </c>
      <c r="C67" s="24" t="n">
        <v>23.184</v>
      </c>
      <c r="D67" s="24" t="n">
        <v>0</v>
      </c>
      <c r="E67" s="24" t="n">
        <v>10.471</v>
      </c>
    </row>
    <row r="68" customFormat="false" ht="15" hidden="false" customHeight="false" outlineLevel="0" collapsed="false">
      <c r="A68" s="4" t="n">
        <v>2046</v>
      </c>
      <c r="B68" s="24" t="n">
        <v>26.735</v>
      </c>
      <c r="C68" s="24" t="n">
        <v>23.568</v>
      </c>
      <c r="D68" s="24" t="n">
        <v>0</v>
      </c>
      <c r="E68" s="24" t="n">
        <v>11.548</v>
      </c>
    </row>
    <row r="69" customFormat="false" ht="15" hidden="false" customHeight="false" outlineLevel="0" collapsed="false">
      <c r="A69" s="4" t="n">
        <v>2047</v>
      </c>
      <c r="B69" s="24" t="n">
        <v>26.832</v>
      </c>
      <c r="C69" s="24" t="n">
        <v>23.946</v>
      </c>
      <c r="D69" s="24" t="n">
        <v>0</v>
      </c>
      <c r="E69" s="24" t="n">
        <v>12.361</v>
      </c>
    </row>
    <row r="70" customFormat="false" ht="15" hidden="false" customHeight="false" outlineLevel="0" collapsed="false">
      <c r="A70" s="4" t="n">
        <v>2048</v>
      </c>
      <c r="B70" s="24" t="n">
        <v>26.865</v>
      </c>
      <c r="C70" s="24" t="n">
        <v>24.232</v>
      </c>
      <c r="D70" s="24" t="n">
        <v>0</v>
      </c>
      <c r="E70" s="24" t="n">
        <v>13.101</v>
      </c>
    </row>
    <row r="71" customFormat="false" ht="15" hidden="false" customHeight="false" outlineLevel="0" collapsed="false">
      <c r="A71" s="4" t="n">
        <v>2049</v>
      </c>
      <c r="B71" s="24" t="n">
        <v>26.955</v>
      </c>
      <c r="C71" s="24" t="n">
        <v>24.68</v>
      </c>
      <c r="D71" s="24" t="n">
        <v>0</v>
      </c>
      <c r="E71" s="24" t="n">
        <v>13.091</v>
      </c>
    </row>
    <row r="72" customFormat="false" ht="15" hidden="false" customHeight="false" outlineLevel="0" collapsed="false">
      <c r="A72" s="4" t="n">
        <v>2050</v>
      </c>
      <c r="B72" s="24" t="n">
        <v>27.097</v>
      </c>
      <c r="C72" s="24" t="n">
        <v>24.75</v>
      </c>
      <c r="D72" s="24" t="n">
        <v>0</v>
      </c>
      <c r="E72" s="24" t="n">
        <v>13.424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6" min="2" style="0" width="15"/>
  </cols>
  <sheetData>
    <row r="1" customFormat="false" ht="15" hidden="false" customHeight="false" outlineLevel="0" collapsed="false">
      <c r="A1" s="13" t="s">
        <v>239</v>
      </c>
    </row>
    <row r="2" customFormat="false" ht="15" hidden="false" customHeight="false" outlineLevel="0" collapsed="false">
      <c r="A2" s="22" t="s">
        <v>240</v>
      </c>
    </row>
    <row r="3" customFormat="false" ht="39.55" hidden="false" customHeight="false" outlineLevel="0" collapsed="false">
      <c r="A3" s="3" t="s">
        <v>113</v>
      </c>
      <c r="B3" s="3" t="s">
        <v>241</v>
      </c>
      <c r="C3" s="3" t="s">
        <v>242</v>
      </c>
      <c r="D3" s="3" t="s">
        <v>243</v>
      </c>
      <c r="E3" s="3" t="s">
        <v>244</v>
      </c>
      <c r="F3" s="3" t="s">
        <v>245</v>
      </c>
      <c r="G3" s="3" t="s">
        <v>246</v>
      </c>
      <c r="H3" s="3" t="s">
        <v>247</v>
      </c>
      <c r="I3" s="3" t="s">
        <v>248</v>
      </c>
      <c r="J3" s="3" t="s">
        <v>249</v>
      </c>
      <c r="K3" s="3" t="s">
        <v>250</v>
      </c>
      <c r="L3" s="3" t="s">
        <v>251</v>
      </c>
      <c r="M3" s="3" t="s">
        <v>252</v>
      </c>
      <c r="N3" s="3" t="s">
        <v>253</v>
      </c>
      <c r="O3" s="3" t="s">
        <v>254</v>
      </c>
      <c r="P3" s="3" t="s">
        <v>255</v>
      </c>
      <c r="Q3" s="3" t="s">
        <v>256</v>
      </c>
      <c r="R3" s="3" t="s">
        <v>257</v>
      </c>
      <c r="S3" s="3" t="s">
        <v>258</v>
      </c>
      <c r="T3" s="3" t="s">
        <v>259</v>
      </c>
      <c r="U3" s="3" t="s">
        <v>260</v>
      </c>
      <c r="V3" s="3" t="s">
        <v>261</v>
      </c>
      <c r="W3" s="3" t="s">
        <v>262</v>
      </c>
      <c r="X3" s="3" t="s">
        <v>263</v>
      </c>
      <c r="Y3" s="3" t="s">
        <v>264</v>
      </c>
      <c r="Z3" s="3" t="s">
        <v>265</v>
      </c>
    </row>
    <row r="4" customFormat="false" ht="15" hidden="false" customHeight="false" outlineLevel="0" collapsed="false">
      <c r="A4" s="4" t="n">
        <v>2018</v>
      </c>
      <c r="B4" s="24" t="n">
        <v>0</v>
      </c>
      <c r="C4" s="24" t="n">
        <v>0</v>
      </c>
      <c r="D4" s="24" t="n">
        <v>0.007</v>
      </c>
      <c r="E4" s="24" t="n">
        <v>81.009</v>
      </c>
      <c r="F4" s="24" t="n">
        <v>401.216</v>
      </c>
      <c r="G4" s="24" t="n">
        <v>24.016</v>
      </c>
      <c r="H4" s="24" t="n">
        <v>0</v>
      </c>
      <c r="I4" s="24" t="n">
        <v>171.17</v>
      </c>
      <c r="J4" s="24" t="n">
        <v>118.686</v>
      </c>
      <c r="K4" s="24" t="n">
        <v>0</v>
      </c>
      <c r="L4" s="24" t="n">
        <v>77.367</v>
      </c>
      <c r="M4" s="24" t="n">
        <v>0</v>
      </c>
      <c r="N4" s="24" t="n">
        <v>156.208</v>
      </c>
      <c r="O4" s="24" t="n">
        <v>0</v>
      </c>
      <c r="P4" s="24" t="n">
        <v>42.804</v>
      </c>
      <c r="Q4" s="24" t="n">
        <v>33.868</v>
      </c>
      <c r="R4" s="24" t="n">
        <v>0</v>
      </c>
      <c r="S4" s="24" t="n">
        <v>526.469</v>
      </c>
      <c r="T4" s="24" t="n">
        <v>0</v>
      </c>
      <c r="U4" s="24" t="n">
        <v>49.126</v>
      </c>
      <c r="V4" s="24" t="n">
        <v>0</v>
      </c>
      <c r="W4" s="24" t="n">
        <v>6.325</v>
      </c>
      <c r="X4" s="24" t="n">
        <v>0.033</v>
      </c>
      <c r="Y4" s="24" t="n">
        <v>2.843</v>
      </c>
      <c r="Z4" s="24" t="n">
        <v>21.688</v>
      </c>
    </row>
    <row r="5" customFormat="false" ht="15" hidden="false" customHeight="false" outlineLevel="0" collapsed="false">
      <c r="A5" s="4" t="n">
        <v>2019</v>
      </c>
      <c r="B5" s="24" t="n">
        <v>0</v>
      </c>
      <c r="C5" s="24" t="n">
        <v>0</v>
      </c>
      <c r="D5" s="24" t="n">
        <v>0.011</v>
      </c>
      <c r="E5" s="24" t="n">
        <v>100.036</v>
      </c>
      <c r="F5" s="24" t="n">
        <v>460.873</v>
      </c>
      <c r="G5" s="24" t="n">
        <v>24.229</v>
      </c>
      <c r="H5" s="24" t="n">
        <v>0</v>
      </c>
      <c r="I5" s="24" t="n">
        <v>175.819</v>
      </c>
      <c r="J5" s="24" t="n">
        <v>136.364</v>
      </c>
      <c r="K5" s="24" t="n">
        <v>0</v>
      </c>
      <c r="L5" s="24" t="n">
        <v>79.152</v>
      </c>
      <c r="M5" s="24" t="n">
        <v>0</v>
      </c>
      <c r="N5" s="24" t="n">
        <v>191.231</v>
      </c>
      <c r="O5" s="24" t="n">
        <v>0</v>
      </c>
      <c r="P5" s="24" t="n">
        <v>44.783</v>
      </c>
      <c r="Q5" s="24" t="n">
        <v>38.592</v>
      </c>
      <c r="R5" s="24" t="n">
        <v>0</v>
      </c>
      <c r="S5" s="24" t="n">
        <v>604.864</v>
      </c>
      <c r="T5" s="24" t="n">
        <v>0</v>
      </c>
      <c r="U5" s="24" t="n">
        <v>52.405</v>
      </c>
      <c r="V5" s="24" t="n">
        <v>0</v>
      </c>
      <c r="W5" s="24" t="n">
        <v>6.533</v>
      </c>
      <c r="X5" s="24" t="n">
        <v>0.051</v>
      </c>
      <c r="Y5" s="24" t="n">
        <v>3.266</v>
      </c>
      <c r="Z5" s="24" t="n">
        <v>25.415</v>
      </c>
    </row>
    <row r="6" customFormat="false" ht="15" hidden="false" customHeight="false" outlineLevel="0" collapsed="false">
      <c r="A6" s="4" t="n">
        <v>2020</v>
      </c>
      <c r="B6" s="24" t="n">
        <v>0</v>
      </c>
      <c r="C6" s="24" t="n">
        <v>0</v>
      </c>
      <c r="D6" s="24" t="n">
        <v>0.014</v>
      </c>
      <c r="E6" s="24" t="n">
        <v>92.374</v>
      </c>
      <c r="F6" s="24" t="n">
        <v>443.125</v>
      </c>
      <c r="G6" s="24" t="n">
        <v>23.611</v>
      </c>
      <c r="H6" s="24" t="n">
        <v>0</v>
      </c>
      <c r="I6" s="24" t="n">
        <v>170.575</v>
      </c>
      <c r="J6" s="24" t="n">
        <v>131.117</v>
      </c>
      <c r="K6" s="24" t="n">
        <v>0</v>
      </c>
      <c r="L6" s="24" t="n">
        <v>78.768</v>
      </c>
      <c r="M6" s="24" t="n">
        <v>0</v>
      </c>
      <c r="N6" s="24" t="n">
        <v>190.542</v>
      </c>
      <c r="O6" s="24" t="n">
        <v>0</v>
      </c>
      <c r="P6" s="24" t="n">
        <v>23.348</v>
      </c>
      <c r="Q6" s="24" t="n">
        <v>37.135</v>
      </c>
      <c r="R6" s="24" t="n">
        <v>0</v>
      </c>
      <c r="S6" s="24" t="n">
        <v>581.56</v>
      </c>
      <c r="T6" s="24" t="n">
        <v>0</v>
      </c>
      <c r="U6" s="24" t="n">
        <v>50.765</v>
      </c>
      <c r="V6" s="24" t="n">
        <v>0</v>
      </c>
      <c r="W6" s="24" t="n">
        <v>7.142</v>
      </c>
      <c r="X6" s="24" t="n">
        <v>0.065</v>
      </c>
      <c r="Y6" s="24" t="n">
        <v>3.14</v>
      </c>
      <c r="Z6" s="24" t="n">
        <v>24.139</v>
      </c>
    </row>
    <row r="7" customFormat="false" ht="15" hidden="false" customHeight="false" outlineLevel="0" collapsed="false">
      <c r="A7" s="4" t="n">
        <v>2021</v>
      </c>
      <c r="B7" s="24" t="n">
        <v>0</v>
      </c>
      <c r="C7" s="24" t="n">
        <v>0</v>
      </c>
      <c r="D7" s="24" t="n">
        <v>0.023</v>
      </c>
      <c r="E7" s="24" t="n">
        <v>102.802</v>
      </c>
      <c r="F7" s="24" t="n">
        <v>471.064</v>
      </c>
      <c r="G7" s="24" t="n">
        <v>24.343</v>
      </c>
      <c r="H7" s="24" t="n">
        <v>0</v>
      </c>
      <c r="I7" s="24" t="n">
        <v>175.385</v>
      </c>
      <c r="J7" s="24" t="n">
        <v>139.397</v>
      </c>
      <c r="K7" s="24" t="n">
        <v>0</v>
      </c>
      <c r="L7" s="24" t="n">
        <v>80.774</v>
      </c>
      <c r="M7" s="24" t="n">
        <v>0</v>
      </c>
      <c r="N7" s="24" t="n">
        <v>201.678</v>
      </c>
      <c r="O7" s="24" t="n">
        <v>0</v>
      </c>
      <c r="P7" s="24" t="n">
        <v>38.951</v>
      </c>
      <c r="Q7" s="24" t="n">
        <v>39.406</v>
      </c>
      <c r="R7" s="24" t="n">
        <v>0</v>
      </c>
      <c r="S7" s="24" t="n">
        <v>618.254</v>
      </c>
      <c r="T7" s="24" t="n">
        <v>0</v>
      </c>
      <c r="U7" s="24" t="n">
        <v>53.059</v>
      </c>
      <c r="V7" s="24" t="n">
        <v>0</v>
      </c>
      <c r="W7" s="24" t="n">
        <v>7.341</v>
      </c>
      <c r="X7" s="24" t="n">
        <v>0.085</v>
      </c>
      <c r="Y7" s="24" t="n">
        <v>3.339</v>
      </c>
      <c r="Z7" s="24" t="n">
        <v>25.039</v>
      </c>
    </row>
    <row r="8" customFormat="false" ht="15" hidden="false" customHeight="false" outlineLevel="0" collapsed="false">
      <c r="A8" s="4" t="n">
        <v>2022</v>
      </c>
      <c r="B8" s="24" t="n">
        <v>0</v>
      </c>
      <c r="C8" s="24" t="n">
        <v>0</v>
      </c>
      <c r="D8" s="24" t="n">
        <v>0.03</v>
      </c>
      <c r="E8" s="24" t="n">
        <v>101.79</v>
      </c>
      <c r="F8" s="24" t="n">
        <v>478.433</v>
      </c>
      <c r="G8" s="24" t="n">
        <v>24.359</v>
      </c>
      <c r="H8" s="24" t="n">
        <v>0</v>
      </c>
      <c r="I8" s="24" t="n">
        <v>175.937</v>
      </c>
      <c r="J8" s="24" t="n">
        <v>141.581</v>
      </c>
      <c r="K8" s="24" t="n">
        <v>0</v>
      </c>
      <c r="L8" s="24" t="n">
        <v>81.088</v>
      </c>
      <c r="M8" s="24" t="n">
        <v>0.145</v>
      </c>
      <c r="N8" s="24" t="n">
        <v>198.616</v>
      </c>
      <c r="O8" s="24" t="n">
        <v>0.145</v>
      </c>
      <c r="P8" s="24" t="n">
        <v>39.099</v>
      </c>
      <c r="Q8" s="24" t="n">
        <v>54.366</v>
      </c>
      <c r="R8" s="24" t="n">
        <v>0</v>
      </c>
      <c r="S8" s="24" t="n">
        <v>627.937</v>
      </c>
      <c r="T8" s="24" t="n">
        <v>0</v>
      </c>
      <c r="U8" s="24" t="n">
        <v>53.451</v>
      </c>
      <c r="V8" s="24" t="n">
        <v>0</v>
      </c>
      <c r="W8" s="24" t="n">
        <v>7.321</v>
      </c>
      <c r="X8" s="24" t="n">
        <v>0.085</v>
      </c>
      <c r="Y8" s="24" t="n">
        <v>3.391</v>
      </c>
      <c r="Z8" s="24" t="n">
        <v>25.431</v>
      </c>
    </row>
    <row r="9" customFormat="false" ht="15" hidden="false" customHeight="false" outlineLevel="0" collapsed="false">
      <c r="A9" s="4" t="n">
        <v>2023</v>
      </c>
      <c r="B9" s="24" t="n">
        <v>0</v>
      </c>
      <c r="C9" s="24" t="n">
        <v>0</v>
      </c>
      <c r="D9" s="24" t="n">
        <v>0.037</v>
      </c>
      <c r="E9" s="24" t="n">
        <v>107.162</v>
      </c>
      <c r="F9" s="24" t="n">
        <v>506.427</v>
      </c>
      <c r="G9" s="24" t="n">
        <v>24.528</v>
      </c>
      <c r="H9" s="24" t="n">
        <v>0</v>
      </c>
      <c r="I9" s="24" t="n">
        <v>177.955</v>
      </c>
      <c r="J9" s="24" t="n">
        <v>149.875</v>
      </c>
      <c r="K9" s="24" t="n">
        <v>0</v>
      </c>
      <c r="L9" s="24" t="n">
        <v>81.968</v>
      </c>
      <c r="M9" s="24" t="n">
        <v>0.348</v>
      </c>
      <c r="N9" s="24" t="n">
        <v>201.806</v>
      </c>
      <c r="O9" s="24" t="n">
        <v>0.358</v>
      </c>
      <c r="P9" s="24" t="n">
        <v>39.351</v>
      </c>
      <c r="Q9" s="24" t="n">
        <v>76.835</v>
      </c>
      <c r="R9" s="24" t="n">
        <v>0</v>
      </c>
      <c r="S9" s="24" t="n">
        <v>664.722</v>
      </c>
      <c r="T9" s="24" t="n">
        <v>0</v>
      </c>
      <c r="U9" s="24" t="n">
        <v>55.073</v>
      </c>
      <c r="V9" s="24" t="n">
        <v>0</v>
      </c>
      <c r="W9" s="24" t="n">
        <v>7.23</v>
      </c>
      <c r="X9" s="24" t="n">
        <v>0.084</v>
      </c>
      <c r="Y9" s="24" t="n">
        <v>3.589</v>
      </c>
      <c r="Z9" s="24" t="n">
        <v>26.921</v>
      </c>
    </row>
    <row r="10" customFormat="false" ht="15" hidden="false" customHeight="false" outlineLevel="0" collapsed="false">
      <c r="A10" s="4" t="n">
        <v>2024</v>
      </c>
      <c r="B10" s="24" t="n">
        <v>0</v>
      </c>
      <c r="C10" s="24" t="n">
        <v>0</v>
      </c>
      <c r="D10" s="24" t="n">
        <v>0.047</v>
      </c>
      <c r="E10" s="24" t="n">
        <v>109.158</v>
      </c>
      <c r="F10" s="24" t="n">
        <v>516.343</v>
      </c>
      <c r="G10" s="24" t="n">
        <v>25.064</v>
      </c>
      <c r="H10" s="24" t="n">
        <v>0</v>
      </c>
      <c r="I10" s="24" t="n">
        <v>183.4</v>
      </c>
      <c r="J10" s="24" t="n">
        <v>156.832</v>
      </c>
      <c r="K10" s="24" t="n">
        <v>0</v>
      </c>
      <c r="L10" s="24" t="n">
        <v>84.656</v>
      </c>
      <c r="M10" s="24" t="n">
        <v>0.538</v>
      </c>
      <c r="N10" s="24" t="n">
        <v>202.821</v>
      </c>
      <c r="O10" s="24" t="n">
        <v>0.556</v>
      </c>
      <c r="P10" s="24" t="n">
        <v>40.444</v>
      </c>
      <c r="Q10" s="24" t="n">
        <v>96.466</v>
      </c>
      <c r="R10" s="24" t="n">
        <v>0</v>
      </c>
      <c r="S10" s="24" t="n">
        <v>718.378</v>
      </c>
      <c r="T10" s="24" t="n">
        <v>0</v>
      </c>
      <c r="U10" s="24" t="n">
        <v>56.218</v>
      </c>
      <c r="V10" s="24" t="n">
        <v>0</v>
      </c>
      <c r="W10" s="24" t="n">
        <v>9.68</v>
      </c>
      <c r="X10" s="24" t="n">
        <v>0.084</v>
      </c>
      <c r="Y10" s="24" t="n">
        <v>3.66</v>
      </c>
      <c r="Z10" s="24" t="n">
        <v>29.864</v>
      </c>
    </row>
    <row r="11" customFormat="false" ht="15" hidden="false" customHeight="false" outlineLevel="0" collapsed="false">
      <c r="A11" s="4" t="n">
        <v>2025</v>
      </c>
      <c r="B11" s="24" t="n">
        <v>0</v>
      </c>
      <c r="C11" s="24" t="n">
        <v>0</v>
      </c>
      <c r="D11" s="24" t="n">
        <v>0.059</v>
      </c>
      <c r="E11" s="24" t="n">
        <v>110.864</v>
      </c>
      <c r="F11" s="24" t="n">
        <v>517.76</v>
      </c>
      <c r="G11" s="24" t="n">
        <v>25.388</v>
      </c>
      <c r="H11" s="24" t="n">
        <v>0</v>
      </c>
      <c r="I11" s="24" t="n">
        <v>189.261</v>
      </c>
      <c r="J11" s="24" t="n">
        <v>161.829</v>
      </c>
      <c r="K11" s="24" t="n">
        <v>0</v>
      </c>
      <c r="L11" s="24" t="n">
        <v>87.604</v>
      </c>
      <c r="M11" s="24" t="n">
        <v>0.659</v>
      </c>
      <c r="N11" s="24" t="n">
        <v>204.006</v>
      </c>
      <c r="O11" s="24" t="n">
        <v>0.688</v>
      </c>
      <c r="P11" s="24" t="n">
        <v>41.641</v>
      </c>
      <c r="Q11" s="24" t="n">
        <v>108.714</v>
      </c>
      <c r="R11" s="24" t="n">
        <v>0</v>
      </c>
      <c r="S11" s="24" t="n">
        <v>717.72</v>
      </c>
      <c r="T11" s="24" t="n">
        <v>0</v>
      </c>
      <c r="U11" s="24" t="n">
        <v>56.678</v>
      </c>
      <c r="V11" s="24" t="n">
        <v>0</v>
      </c>
      <c r="W11" s="24" t="n">
        <v>12.385</v>
      </c>
      <c r="X11" s="24" t="n">
        <v>0.085</v>
      </c>
      <c r="Y11" s="24" t="n">
        <v>3.67</v>
      </c>
      <c r="Z11" s="24" t="n">
        <v>32.905</v>
      </c>
    </row>
    <row r="12" customFormat="false" ht="15" hidden="false" customHeight="false" outlineLevel="0" collapsed="false">
      <c r="A12" s="4" t="n">
        <v>2026</v>
      </c>
      <c r="B12" s="24" t="n">
        <v>0</v>
      </c>
      <c r="C12" s="24" t="n">
        <v>0</v>
      </c>
      <c r="D12" s="24" t="n">
        <v>0.321</v>
      </c>
      <c r="E12" s="24" t="n">
        <v>113.447</v>
      </c>
      <c r="F12" s="24" t="n">
        <v>507.001</v>
      </c>
      <c r="G12" s="24" t="n">
        <v>24.748</v>
      </c>
      <c r="H12" s="24" t="n">
        <v>0</v>
      </c>
      <c r="I12" s="24" t="n">
        <v>192.325</v>
      </c>
      <c r="J12" s="24" t="n">
        <v>164.533</v>
      </c>
      <c r="K12" s="24" t="n">
        <v>0</v>
      </c>
      <c r="L12" s="24" t="n">
        <v>89.367</v>
      </c>
      <c r="M12" s="24" t="n">
        <v>0.731</v>
      </c>
      <c r="N12" s="24" t="n">
        <v>202.67</v>
      </c>
      <c r="O12" s="24" t="n">
        <v>0.77</v>
      </c>
      <c r="P12" s="24" t="n">
        <v>42.247</v>
      </c>
      <c r="Q12" s="24" t="n">
        <v>113.765</v>
      </c>
      <c r="R12" s="24" t="n">
        <v>0</v>
      </c>
      <c r="S12" s="24" t="n">
        <v>727.032</v>
      </c>
      <c r="T12" s="24" t="n">
        <v>0</v>
      </c>
      <c r="U12" s="24" t="n">
        <v>55.407</v>
      </c>
      <c r="V12" s="24" t="n">
        <v>0</v>
      </c>
      <c r="W12" s="24" t="n">
        <v>15.569</v>
      </c>
      <c r="X12" s="24" t="n">
        <v>0.084</v>
      </c>
      <c r="Y12" s="24" t="n">
        <v>3.583</v>
      </c>
      <c r="Z12" s="24" t="n">
        <v>35.276</v>
      </c>
    </row>
    <row r="13" customFormat="false" ht="15" hidden="false" customHeight="false" outlineLevel="0" collapsed="false">
      <c r="A13" s="4" t="n">
        <v>2027</v>
      </c>
      <c r="B13" s="24" t="n">
        <v>0</v>
      </c>
      <c r="C13" s="24" t="n">
        <v>0</v>
      </c>
      <c r="D13" s="24" t="n">
        <v>0.622</v>
      </c>
      <c r="E13" s="24" t="n">
        <v>112.579</v>
      </c>
      <c r="F13" s="24" t="n">
        <v>479.194</v>
      </c>
      <c r="G13" s="24" t="n">
        <v>24.138</v>
      </c>
      <c r="H13" s="24" t="n">
        <v>0</v>
      </c>
      <c r="I13" s="24" t="n">
        <v>195.459</v>
      </c>
      <c r="J13" s="24" t="n">
        <v>166.719</v>
      </c>
      <c r="K13" s="24" t="n">
        <v>0</v>
      </c>
      <c r="L13" s="24" t="n">
        <v>91.167</v>
      </c>
      <c r="M13" s="24" t="n">
        <v>0.779</v>
      </c>
      <c r="N13" s="24" t="n">
        <v>201.541</v>
      </c>
      <c r="O13" s="24" t="n">
        <v>0.829</v>
      </c>
      <c r="P13" s="24" t="n">
        <v>42.863</v>
      </c>
      <c r="Q13" s="24" t="n">
        <v>116.231</v>
      </c>
      <c r="R13" s="24" t="n">
        <v>0</v>
      </c>
      <c r="S13" s="24" t="n">
        <v>733.433</v>
      </c>
      <c r="T13" s="24" t="n">
        <v>0</v>
      </c>
      <c r="U13" s="24" t="n">
        <v>53.37</v>
      </c>
      <c r="V13" s="24" t="n">
        <v>0</v>
      </c>
      <c r="W13" s="24" t="n">
        <v>20.867</v>
      </c>
      <c r="X13" s="24" t="n">
        <v>0.084</v>
      </c>
      <c r="Y13" s="24" t="n">
        <v>3.385</v>
      </c>
      <c r="Z13" s="24" t="n">
        <v>40.581</v>
      </c>
    </row>
    <row r="14" customFormat="false" ht="15" hidden="false" customHeight="false" outlineLevel="0" collapsed="false">
      <c r="A14" s="4" t="n">
        <v>2028</v>
      </c>
      <c r="B14" s="24" t="n">
        <v>0</v>
      </c>
      <c r="C14" s="24" t="n">
        <v>0</v>
      </c>
      <c r="D14" s="24" t="n">
        <v>0.964</v>
      </c>
      <c r="E14" s="24" t="n">
        <v>113.537</v>
      </c>
      <c r="F14" s="24" t="n">
        <v>413.854</v>
      </c>
      <c r="G14" s="24" t="n">
        <v>22.735</v>
      </c>
      <c r="H14" s="24" t="n">
        <v>0</v>
      </c>
      <c r="I14" s="24" t="n">
        <v>198.167</v>
      </c>
      <c r="J14" s="24" t="n">
        <v>169.083</v>
      </c>
      <c r="K14" s="24" t="n">
        <v>0</v>
      </c>
      <c r="L14" s="24" t="n">
        <v>92.923</v>
      </c>
      <c r="M14" s="24" t="n">
        <v>0.818</v>
      </c>
      <c r="N14" s="24" t="n">
        <v>200.568</v>
      </c>
      <c r="O14" s="24" t="n">
        <v>2.42</v>
      </c>
      <c r="P14" s="24" t="n">
        <v>43.425</v>
      </c>
      <c r="Q14" s="24" t="n">
        <v>116.231</v>
      </c>
      <c r="R14" s="24" t="n">
        <v>0</v>
      </c>
      <c r="S14" s="24" t="n">
        <v>740.766</v>
      </c>
      <c r="T14" s="24" t="n">
        <v>0</v>
      </c>
      <c r="U14" s="24" t="n">
        <v>48.426</v>
      </c>
      <c r="V14" s="24" t="n">
        <v>0</v>
      </c>
      <c r="W14" s="24" t="n">
        <v>32.381</v>
      </c>
      <c r="X14" s="24" t="n">
        <v>0.084</v>
      </c>
      <c r="Y14" s="24" t="n">
        <v>4.376</v>
      </c>
      <c r="Z14" s="24" t="n">
        <v>48.422</v>
      </c>
    </row>
    <row r="15" customFormat="false" ht="15" hidden="false" customHeight="false" outlineLevel="0" collapsed="false">
      <c r="A15" s="4" t="n">
        <v>2029</v>
      </c>
      <c r="B15" s="24" t="n">
        <v>0</v>
      </c>
      <c r="C15" s="24" t="n">
        <v>0</v>
      </c>
      <c r="D15" s="24" t="n">
        <v>1.35</v>
      </c>
      <c r="E15" s="24" t="n">
        <v>114.172</v>
      </c>
      <c r="F15" s="24" t="n">
        <v>285.22</v>
      </c>
      <c r="G15" s="24" t="n">
        <v>21.391</v>
      </c>
      <c r="H15" s="24" t="n">
        <v>0</v>
      </c>
      <c r="I15" s="24" t="n">
        <v>200.998</v>
      </c>
      <c r="J15" s="24" t="n">
        <v>171.501</v>
      </c>
      <c r="K15" s="24" t="n">
        <v>0</v>
      </c>
      <c r="L15" s="24" t="n">
        <v>94.739</v>
      </c>
      <c r="M15" s="24" t="n">
        <v>0.855</v>
      </c>
      <c r="N15" s="24" t="n">
        <v>199.817</v>
      </c>
      <c r="O15" s="24" t="n">
        <v>3.936</v>
      </c>
      <c r="P15" s="24" t="n">
        <v>44.008</v>
      </c>
      <c r="Q15" s="24" t="n">
        <v>113.041</v>
      </c>
      <c r="R15" s="24" t="n">
        <v>0</v>
      </c>
      <c r="S15" s="24" t="n">
        <v>748.229</v>
      </c>
      <c r="T15" s="24" t="n">
        <v>0</v>
      </c>
      <c r="U15" s="24" t="n">
        <v>40.485</v>
      </c>
      <c r="V15" s="24" t="n">
        <v>0</v>
      </c>
      <c r="W15" s="24" t="n">
        <v>53.536</v>
      </c>
      <c r="X15" s="24" t="n">
        <v>0.085</v>
      </c>
      <c r="Y15" s="24" t="n">
        <v>4.042</v>
      </c>
      <c r="Z15" s="24" t="n">
        <v>64.647</v>
      </c>
    </row>
    <row r="16" customFormat="false" ht="15" hidden="false" customHeight="false" outlineLevel="0" collapsed="false">
      <c r="A16" s="4" t="n">
        <v>2030</v>
      </c>
      <c r="B16" s="24" t="n">
        <v>0</v>
      </c>
      <c r="C16" s="24" t="n">
        <v>0</v>
      </c>
      <c r="D16" s="24" t="n">
        <v>1.781</v>
      </c>
      <c r="E16" s="24" t="n">
        <v>115.054</v>
      </c>
      <c r="F16" s="24" t="n">
        <v>157.885</v>
      </c>
      <c r="G16" s="24" t="n">
        <v>20.096</v>
      </c>
      <c r="H16" s="24" t="n">
        <v>0</v>
      </c>
      <c r="I16" s="24" t="n">
        <v>203.781</v>
      </c>
      <c r="J16" s="24" t="n">
        <v>175.734</v>
      </c>
      <c r="K16" s="24" t="n">
        <v>0</v>
      </c>
      <c r="L16" s="24" t="n">
        <v>96.53</v>
      </c>
      <c r="M16" s="24" t="n">
        <v>0.89</v>
      </c>
      <c r="N16" s="24" t="n">
        <v>197.65</v>
      </c>
      <c r="O16" s="24" t="n">
        <v>5.378</v>
      </c>
      <c r="P16" s="24" t="n">
        <v>44.572</v>
      </c>
      <c r="Q16" s="24" t="n">
        <v>106.358</v>
      </c>
      <c r="R16" s="24" t="n">
        <v>0</v>
      </c>
      <c r="S16" s="24" t="n">
        <v>763.457</v>
      </c>
      <c r="T16" s="24" t="n">
        <v>0</v>
      </c>
      <c r="U16" s="24" t="n">
        <v>32.539</v>
      </c>
      <c r="V16" s="24" t="n">
        <v>0</v>
      </c>
      <c r="W16" s="24" t="n">
        <v>75.878</v>
      </c>
      <c r="X16" s="24" t="n">
        <v>0.086</v>
      </c>
      <c r="Y16" s="24" t="n">
        <v>3.186</v>
      </c>
      <c r="Z16" s="24" t="n">
        <v>82.02</v>
      </c>
    </row>
    <row r="17" customFormat="false" ht="15" hidden="false" customHeight="false" outlineLevel="0" collapsed="false">
      <c r="A17" s="4" t="n">
        <v>2031</v>
      </c>
      <c r="B17" s="24" t="n">
        <v>0</v>
      </c>
      <c r="C17" s="24" t="n">
        <v>0</v>
      </c>
      <c r="D17" s="24" t="n">
        <v>2.263</v>
      </c>
      <c r="E17" s="24" t="n">
        <v>115.686</v>
      </c>
      <c r="F17" s="24" t="n">
        <v>88.78</v>
      </c>
      <c r="G17" s="24" t="n">
        <v>18.847</v>
      </c>
      <c r="H17" s="24" t="n">
        <v>0</v>
      </c>
      <c r="I17" s="24" t="n">
        <v>206.509</v>
      </c>
      <c r="J17" s="24" t="n">
        <v>184.644</v>
      </c>
      <c r="K17" s="24" t="n">
        <v>0</v>
      </c>
      <c r="L17" s="24" t="n">
        <v>98.293</v>
      </c>
      <c r="M17" s="24" t="n">
        <v>0.925</v>
      </c>
      <c r="N17" s="24" t="n">
        <v>195.251</v>
      </c>
      <c r="O17" s="24" t="n">
        <v>6.747</v>
      </c>
      <c r="P17" s="24" t="n">
        <v>45.116</v>
      </c>
      <c r="Q17" s="24" t="n">
        <v>99.453</v>
      </c>
      <c r="R17" s="24" t="n">
        <v>0</v>
      </c>
      <c r="S17" s="24" t="n">
        <v>798.736</v>
      </c>
      <c r="T17" s="24" t="n">
        <v>0</v>
      </c>
      <c r="U17" s="24" t="n">
        <v>27.587</v>
      </c>
      <c r="V17" s="24" t="n">
        <v>0</v>
      </c>
      <c r="W17" s="24" t="n">
        <v>91.574</v>
      </c>
      <c r="X17" s="24" t="n">
        <v>0.087</v>
      </c>
      <c r="Y17" s="24" t="n">
        <v>2.823</v>
      </c>
      <c r="Z17" s="24" t="n">
        <v>95.021</v>
      </c>
    </row>
    <row r="18" customFormat="false" ht="15" hidden="false" customHeight="false" outlineLevel="0" collapsed="false">
      <c r="A18" s="4" t="n">
        <v>2032</v>
      </c>
      <c r="B18" s="24" t="n">
        <v>0</v>
      </c>
      <c r="C18" s="24" t="n">
        <v>0</v>
      </c>
      <c r="D18" s="24" t="n">
        <v>2.799</v>
      </c>
      <c r="E18" s="24" t="n">
        <v>115.611</v>
      </c>
      <c r="F18" s="24" t="n">
        <v>55.086</v>
      </c>
      <c r="G18" s="24" t="n">
        <v>17.641</v>
      </c>
      <c r="H18" s="24" t="n">
        <v>0</v>
      </c>
      <c r="I18" s="24" t="n">
        <v>209.173</v>
      </c>
      <c r="J18" s="24" t="n">
        <v>188.814</v>
      </c>
      <c r="K18" s="24" t="n">
        <v>0</v>
      </c>
      <c r="L18" s="24" t="n">
        <v>100.023</v>
      </c>
      <c r="M18" s="24" t="n">
        <v>0.96</v>
      </c>
      <c r="N18" s="24" t="n">
        <v>192.067</v>
      </c>
      <c r="O18" s="24" t="n">
        <v>8.045</v>
      </c>
      <c r="P18" s="24" t="n">
        <v>45.637</v>
      </c>
      <c r="Q18" s="24" t="n">
        <v>100.115</v>
      </c>
      <c r="R18" s="24" t="n">
        <v>0</v>
      </c>
      <c r="S18" s="24" t="n">
        <v>821.797</v>
      </c>
      <c r="T18" s="24" t="n">
        <v>0</v>
      </c>
      <c r="U18" s="24" t="n">
        <v>24.471</v>
      </c>
      <c r="V18" s="24" t="n">
        <v>0</v>
      </c>
      <c r="W18" s="24" t="n">
        <v>100.001</v>
      </c>
      <c r="X18" s="24" t="n">
        <v>0.088</v>
      </c>
      <c r="Y18" s="24" t="n">
        <v>2.675</v>
      </c>
      <c r="Z18" s="24" t="n">
        <v>102.133</v>
      </c>
    </row>
    <row r="19" customFormat="false" ht="15" hidden="false" customHeight="false" outlineLevel="0" collapsed="false">
      <c r="A19" s="4" t="n">
        <v>2033</v>
      </c>
      <c r="B19" s="24" t="n">
        <v>0</v>
      </c>
      <c r="C19" s="24" t="n">
        <v>0</v>
      </c>
      <c r="D19" s="24" t="n">
        <v>3.393</v>
      </c>
      <c r="E19" s="24" t="n">
        <v>113.799</v>
      </c>
      <c r="F19" s="24" t="n">
        <v>35.675</v>
      </c>
      <c r="G19" s="24" t="n">
        <v>16.474</v>
      </c>
      <c r="H19" s="24" t="n">
        <v>0</v>
      </c>
      <c r="I19" s="24" t="n">
        <v>201.135</v>
      </c>
      <c r="J19" s="24" t="n">
        <v>197.108</v>
      </c>
      <c r="K19" s="24" t="n">
        <v>0</v>
      </c>
      <c r="L19" s="24" t="n">
        <v>96.124</v>
      </c>
      <c r="M19" s="24" t="n">
        <v>0.96</v>
      </c>
      <c r="N19" s="24" t="n">
        <v>186.634</v>
      </c>
      <c r="O19" s="24" t="n">
        <v>10.397</v>
      </c>
      <c r="P19" s="24" t="n">
        <v>46.136</v>
      </c>
      <c r="Q19" s="24" t="n">
        <v>98.479</v>
      </c>
      <c r="R19" s="24" t="n">
        <v>0</v>
      </c>
      <c r="S19" s="24" t="n">
        <v>871.904</v>
      </c>
      <c r="T19" s="24" t="n">
        <v>0</v>
      </c>
      <c r="U19" s="24" t="n">
        <v>22.116</v>
      </c>
      <c r="V19" s="24" t="n">
        <v>0</v>
      </c>
      <c r="W19" s="24" t="n">
        <v>109.724</v>
      </c>
      <c r="X19" s="24" t="n">
        <v>0.089</v>
      </c>
      <c r="Y19" s="24" t="n">
        <v>2.731</v>
      </c>
      <c r="Z19" s="24" t="n">
        <v>111.1</v>
      </c>
    </row>
    <row r="20" customFormat="false" ht="15" hidden="false" customHeight="false" outlineLevel="0" collapsed="false">
      <c r="A20" s="4" t="n">
        <v>2034</v>
      </c>
      <c r="B20" s="24" t="n">
        <v>0</v>
      </c>
      <c r="C20" s="24" t="n">
        <v>0</v>
      </c>
      <c r="D20" s="24" t="n">
        <v>4.048</v>
      </c>
      <c r="E20" s="24" t="n">
        <v>108.209</v>
      </c>
      <c r="F20" s="24" t="n">
        <v>18.505</v>
      </c>
      <c r="G20" s="24" t="n">
        <v>15.343</v>
      </c>
      <c r="H20" s="24" t="n">
        <v>0</v>
      </c>
      <c r="I20" s="24" t="n">
        <v>192.702</v>
      </c>
      <c r="J20" s="24" t="n">
        <v>205.93</v>
      </c>
      <c r="K20" s="24" t="n">
        <v>0</v>
      </c>
      <c r="L20" s="24" t="n">
        <v>91.993</v>
      </c>
      <c r="M20" s="24" t="n">
        <v>0.96</v>
      </c>
      <c r="N20" s="24" t="n">
        <v>176.624</v>
      </c>
      <c r="O20" s="24" t="n">
        <v>12.704</v>
      </c>
      <c r="P20" s="24" t="n">
        <v>46.608</v>
      </c>
      <c r="Q20" s="24" t="n">
        <v>97.022</v>
      </c>
      <c r="R20" s="24" t="n">
        <v>0</v>
      </c>
      <c r="S20" s="24" t="n">
        <v>1022.364</v>
      </c>
      <c r="T20" s="24" t="n">
        <v>0</v>
      </c>
      <c r="U20" s="24" t="n">
        <v>19.909</v>
      </c>
      <c r="V20" s="24" t="n">
        <v>0</v>
      </c>
      <c r="W20" s="24" t="n">
        <v>119.833</v>
      </c>
      <c r="X20" s="24" t="n">
        <v>0.091</v>
      </c>
      <c r="Y20" s="24" t="n">
        <v>2.582</v>
      </c>
      <c r="Z20" s="24" t="n">
        <v>120.54</v>
      </c>
    </row>
    <row r="21" customFormat="false" ht="15" hidden="false" customHeight="false" outlineLevel="0" collapsed="false">
      <c r="A21" s="4" t="n">
        <v>2035</v>
      </c>
      <c r="B21" s="24" t="n">
        <v>0</v>
      </c>
      <c r="C21" s="24" t="n">
        <v>0</v>
      </c>
      <c r="D21" s="24" t="n">
        <v>4.77</v>
      </c>
      <c r="E21" s="24" t="n">
        <v>95.889</v>
      </c>
      <c r="F21" s="24" t="n">
        <v>0.368</v>
      </c>
      <c r="G21" s="24" t="n">
        <v>14.249</v>
      </c>
      <c r="H21" s="24" t="n">
        <v>0</v>
      </c>
      <c r="I21" s="24" t="n">
        <v>183.879</v>
      </c>
      <c r="J21" s="24" t="n">
        <v>215.76</v>
      </c>
      <c r="K21" s="24" t="n">
        <v>0</v>
      </c>
      <c r="L21" s="24" t="n">
        <v>87.634</v>
      </c>
      <c r="M21" s="24" t="n">
        <v>0.96</v>
      </c>
      <c r="N21" s="24" t="n">
        <v>158.001</v>
      </c>
      <c r="O21" s="24" t="n">
        <v>14.966</v>
      </c>
      <c r="P21" s="24" t="n">
        <v>47.053</v>
      </c>
      <c r="Q21" s="24" t="n">
        <v>95.491</v>
      </c>
      <c r="R21" s="24" t="n">
        <v>0</v>
      </c>
      <c r="S21" s="24" t="n">
        <v>1707.432</v>
      </c>
      <c r="T21" s="24" t="n">
        <v>0</v>
      </c>
      <c r="U21" s="24" t="n">
        <v>17.688</v>
      </c>
      <c r="V21" s="24" t="n">
        <v>0</v>
      </c>
      <c r="W21" s="24" t="n">
        <v>131.452</v>
      </c>
      <c r="X21" s="24" t="n">
        <v>0.092</v>
      </c>
      <c r="Y21" s="24" t="n">
        <v>1.067</v>
      </c>
      <c r="Z21" s="24" t="n">
        <v>131.452</v>
      </c>
    </row>
    <row r="22" customFormat="false" ht="15" hidden="false" customHeight="false" outlineLevel="0" collapsed="false">
      <c r="A22" s="4" t="n">
        <v>2036</v>
      </c>
      <c r="B22" s="24" t="n">
        <v>0</v>
      </c>
      <c r="C22" s="24" t="n">
        <v>0</v>
      </c>
      <c r="D22" s="24" t="n">
        <v>4.893</v>
      </c>
      <c r="E22" s="24" t="n">
        <v>75.585</v>
      </c>
      <c r="F22" s="24" t="n">
        <v>0.341</v>
      </c>
      <c r="G22" s="24" t="n">
        <v>13.192</v>
      </c>
      <c r="H22" s="24" t="n">
        <v>0</v>
      </c>
      <c r="I22" s="24" t="n">
        <v>174.676</v>
      </c>
      <c r="J22" s="24" t="n">
        <v>227.019</v>
      </c>
      <c r="K22" s="24" t="n">
        <v>0</v>
      </c>
      <c r="L22" s="24" t="n">
        <v>83.051</v>
      </c>
      <c r="M22" s="24" t="n">
        <v>0.96</v>
      </c>
      <c r="N22" s="24" t="n">
        <v>127.903</v>
      </c>
      <c r="O22" s="24" t="n">
        <v>17.181</v>
      </c>
      <c r="P22" s="24" t="n">
        <v>47.47</v>
      </c>
      <c r="Q22" s="24" t="n">
        <v>95.391</v>
      </c>
      <c r="R22" s="24" t="n">
        <v>0</v>
      </c>
      <c r="S22" s="24" t="n">
        <v>1780.8</v>
      </c>
      <c r="T22" s="24" t="n">
        <v>0</v>
      </c>
      <c r="U22" s="24" t="n">
        <v>16.422</v>
      </c>
      <c r="V22" s="24" t="n">
        <v>0</v>
      </c>
      <c r="W22" s="24" t="n">
        <v>137.844</v>
      </c>
      <c r="X22" s="24" t="n">
        <v>0.094</v>
      </c>
      <c r="Y22" s="24" t="n">
        <v>1.157</v>
      </c>
      <c r="Z22" s="24" t="n">
        <v>137.844</v>
      </c>
    </row>
    <row r="23" customFormat="false" ht="15" hidden="false" customHeight="false" outlineLevel="0" collapsed="false">
      <c r="A23" s="4" t="n">
        <v>2037</v>
      </c>
      <c r="B23" s="24" t="n">
        <v>0</v>
      </c>
      <c r="C23" s="24" t="n">
        <v>0</v>
      </c>
      <c r="D23" s="24" t="n">
        <v>5.018</v>
      </c>
      <c r="E23" s="24" t="n">
        <v>52.222</v>
      </c>
      <c r="F23" s="24" t="n">
        <v>0.315</v>
      </c>
      <c r="G23" s="24" t="n">
        <v>12.174</v>
      </c>
      <c r="H23" s="24" t="n">
        <v>0</v>
      </c>
      <c r="I23" s="24" t="n">
        <v>165.103</v>
      </c>
      <c r="J23" s="24" t="n">
        <v>239.3</v>
      </c>
      <c r="K23" s="24" t="n">
        <v>0</v>
      </c>
      <c r="L23" s="24" t="n">
        <v>78.249</v>
      </c>
      <c r="M23" s="24" t="n">
        <v>0.96</v>
      </c>
      <c r="N23" s="24" t="n">
        <v>91.1</v>
      </c>
      <c r="O23" s="24" t="n">
        <v>19.348</v>
      </c>
      <c r="P23" s="24" t="n">
        <v>47.856</v>
      </c>
      <c r="Q23" s="24" t="n">
        <v>95.294</v>
      </c>
      <c r="R23" s="24" t="n">
        <v>0</v>
      </c>
      <c r="S23" s="24" t="n">
        <v>1857.566</v>
      </c>
      <c r="T23" s="24" t="n">
        <v>0</v>
      </c>
      <c r="U23" s="24" t="n">
        <v>15.197</v>
      </c>
      <c r="V23" s="24" t="n">
        <v>0</v>
      </c>
      <c r="W23" s="24" t="n">
        <v>144.783</v>
      </c>
      <c r="X23" s="24" t="n">
        <v>0.096</v>
      </c>
      <c r="Y23" s="24" t="n">
        <v>1.18</v>
      </c>
      <c r="Z23" s="24" t="n">
        <v>144.783</v>
      </c>
    </row>
    <row r="24" customFormat="false" ht="15" hidden="false" customHeight="false" outlineLevel="0" collapsed="false">
      <c r="A24" s="4" t="n">
        <v>2038</v>
      </c>
      <c r="B24" s="24" t="n">
        <v>0</v>
      </c>
      <c r="C24" s="24" t="n">
        <v>0</v>
      </c>
      <c r="D24" s="24" t="n">
        <v>5.145</v>
      </c>
      <c r="E24" s="24" t="n">
        <v>33.377</v>
      </c>
      <c r="F24" s="24" t="n">
        <v>0.29</v>
      </c>
      <c r="G24" s="24" t="n">
        <v>11.197</v>
      </c>
      <c r="H24" s="24" t="n">
        <v>0</v>
      </c>
      <c r="I24" s="24" t="n">
        <v>155.173</v>
      </c>
      <c r="J24" s="24" t="n">
        <v>251.258</v>
      </c>
      <c r="K24" s="24" t="n">
        <v>0</v>
      </c>
      <c r="L24" s="24" t="n">
        <v>73.235</v>
      </c>
      <c r="M24" s="24" t="n">
        <v>0.96</v>
      </c>
      <c r="N24" s="24" t="n">
        <v>59.272</v>
      </c>
      <c r="O24" s="24" t="n">
        <v>21.465</v>
      </c>
      <c r="P24" s="24" t="n">
        <v>48.21</v>
      </c>
      <c r="Q24" s="24" t="n">
        <v>95.201</v>
      </c>
      <c r="R24" s="24" t="n">
        <v>0</v>
      </c>
      <c r="S24" s="24" t="n">
        <v>1932.069</v>
      </c>
      <c r="T24" s="24" t="n">
        <v>0</v>
      </c>
      <c r="U24" s="24" t="n">
        <v>14.015</v>
      </c>
      <c r="V24" s="24" t="n">
        <v>0</v>
      </c>
      <c r="W24" s="24" t="n">
        <v>151.45</v>
      </c>
      <c r="X24" s="24" t="n">
        <v>0.098</v>
      </c>
      <c r="Y24" s="24" t="n">
        <v>1.216</v>
      </c>
      <c r="Z24" s="24" t="n">
        <v>151.45</v>
      </c>
    </row>
    <row r="25" customFormat="false" ht="15" hidden="false" customHeight="false" outlineLevel="0" collapsed="false">
      <c r="A25" s="4" t="n">
        <v>2039</v>
      </c>
      <c r="B25" s="24" t="n">
        <v>0</v>
      </c>
      <c r="C25" s="24" t="n">
        <v>0</v>
      </c>
      <c r="D25" s="24" t="n">
        <v>5.274</v>
      </c>
      <c r="E25" s="24" t="n">
        <v>22.134</v>
      </c>
      <c r="F25" s="24" t="n">
        <v>0.265</v>
      </c>
      <c r="G25" s="24" t="n">
        <v>10.261</v>
      </c>
      <c r="H25" s="24" t="n">
        <v>0</v>
      </c>
      <c r="I25" s="24" t="n">
        <v>144.898</v>
      </c>
      <c r="J25" s="24" t="n">
        <v>262.001</v>
      </c>
      <c r="K25" s="24" t="n">
        <v>0</v>
      </c>
      <c r="L25" s="24" t="n">
        <v>68.017</v>
      </c>
      <c r="M25" s="24" t="n">
        <v>0.96</v>
      </c>
      <c r="N25" s="24" t="n">
        <v>38.85</v>
      </c>
      <c r="O25" s="24" t="n">
        <v>23.531</v>
      </c>
      <c r="P25" s="24" t="n">
        <v>48.53</v>
      </c>
      <c r="Q25" s="24" t="n">
        <v>95.11</v>
      </c>
      <c r="R25" s="24" t="n">
        <v>0</v>
      </c>
      <c r="S25" s="24" t="n">
        <v>2003.158</v>
      </c>
      <c r="T25" s="24" t="n">
        <v>0</v>
      </c>
      <c r="U25" s="24" t="n">
        <v>12.876</v>
      </c>
      <c r="V25" s="24" t="n">
        <v>0</v>
      </c>
      <c r="W25" s="24" t="n">
        <v>157.503</v>
      </c>
      <c r="X25" s="24" t="n">
        <v>0.099</v>
      </c>
      <c r="Y25" s="24" t="n">
        <v>1.173</v>
      </c>
      <c r="Z25" s="24" t="n">
        <v>157.503</v>
      </c>
    </row>
    <row r="26" customFormat="false" ht="15" hidden="false" customHeight="false" outlineLevel="0" collapsed="false">
      <c r="A26" s="4" t="n">
        <v>2040</v>
      </c>
      <c r="B26" s="24" t="n">
        <v>0</v>
      </c>
      <c r="C26" s="24" t="n">
        <v>0</v>
      </c>
      <c r="D26" s="24" t="n">
        <v>5.404</v>
      </c>
      <c r="E26" s="24" t="n">
        <v>16.16</v>
      </c>
      <c r="F26" s="24" t="n">
        <v>0.242</v>
      </c>
      <c r="G26" s="24" t="n">
        <v>9.364</v>
      </c>
      <c r="H26" s="24" t="n">
        <v>0</v>
      </c>
      <c r="I26" s="24" t="n">
        <v>134.294</v>
      </c>
      <c r="J26" s="24" t="n">
        <v>271.656</v>
      </c>
      <c r="K26" s="24" t="n">
        <v>0</v>
      </c>
      <c r="L26" s="24" t="n">
        <v>62.601</v>
      </c>
      <c r="M26" s="24" t="n">
        <v>0.96</v>
      </c>
      <c r="N26" s="24" t="n">
        <v>27.831</v>
      </c>
      <c r="O26" s="24" t="n">
        <v>25.545</v>
      </c>
      <c r="P26" s="24" t="n">
        <v>48.814</v>
      </c>
      <c r="Q26" s="24" t="n">
        <v>95.023</v>
      </c>
      <c r="R26" s="24" t="n">
        <v>0</v>
      </c>
      <c r="S26" s="24" t="n">
        <v>2063.709</v>
      </c>
      <c r="T26" s="24" t="n">
        <v>0</v>
      </c>
      <c r="U26" s="24" t="n">
        <v>11.78</v>
      </c>
      <c r="V26" s="24" t="n">
        <v>0</v>
      </c>
      <c r="W26" s="24" t="n">
        <v>162.415</v>
      </c>
      <c r="X26" s="24" t="n">
        <v>0.101</v>
      </c>
      <c r="Y26" s="24" t="n">
        <v>1.204</v>
      </c>
      <c r="Z26" s="24" t="n">
        <v>162.415</v>
      </c>
    </row>
    <row r="27" customFormat="false" ht="15" hidden="false" customHeight="false" outlineLevel="0" collapsed="false">
      <c r="A27" s="4" t="n">
        <v>2041</v>
      </c>
      <c r="B27" s="24" t="n">
        <v>0</v>
      </c>
      <c r="C27" s="24" t="n">
        <v>0</v>
      </c>
      <c r="D27" s="24" t="n">
        <v>5.537</v>
      </c>
      <c r="E27" s="24" t="n">
        <v>13.096</v>
      </c>
      <c r="F27" s="24" t="n">
        <v>0.22</v>
      </c>
      <c r="G27" s="24" t="n">
        <v>8.505</v>
      </c>
      <c r="H27" s="24" t="n">
        <v>0</v>
      </c>
      <c r="I27" s="24" t="n">
        <v>123.433</v>
      </c>
      <c r="J27" s="24" t="n">
        <v>280.746</v>
      </c>
      <c r="K27" s="24" t="n">
        <v>0</v>
      </c>
      <c r="L27" s="24" t="n">
        <v>57.027</v>
      </c>
      <c r="M27" s="24" t="n">
        <v>0.96</v>
      </c>
      <c r="N27" s="24" t="n">
        <v>22.113</v>
      </c>
      <c r="O27" s="24" t="n">
        <v>27.511</v>
      </c>
      <c r="P27" s="24" t="n">
        <v>49.085</v>
      </c>
      <c r="Q27" s="24" t="n">
        <v>94.939</v>
      </c>
      <c r="R27" s="24" t="n">
        <v>0</v>
      </c>
      <c r="S27" s="24" t="n">
        <v>2143.297</v>
      </c>
      <c r="T27" s="24" t="n">
        <v>0</v>
      </c>
      <c r="U27" s="24" t="n">
        <v>10.727</v>
      </c>
      <c r="V27" s="24" t="n">
        <v>0</v>
      </c>
      <c r="W27" s="24" t="n">
        <v>168.638</v>
      </c>
      <c r="X27" s="24" t="n">
        <v>0.103</v>
      </c>
      <c r="Y27" s="24" t="n">
        <v>1.287</v>
      </c>
      <c r="Z27" s="24" t="n">
        <v>168.638</v>
      </c>
    </row>
    <row r="28" customFormat="false" ht="15" hidden="false" customHeight="false" outlineLevel="0" collapsed="false">
      <c r="A28" s="4" t="n">
        <v>2042</v>
      </c>
      <c r="B28" s="24" t="n">
        <v>0</v>
      </c>
      <c r="C28" s="24" t="n">
        <v>0</v>
      </c>
      <c r="D28" s="24" t="n">
        <v>5.673</v>
      </c>
      <c r="E28" s="24" t="n">
        <v>11.416</v>
      </c>
      <c r="F28" s="24" t="n">
        <v>0.199</v>
      </c>
      <c r="G28" s="24" t="n">
        <v>7.684</v>
      </c>
      <c r="H28" s="24" t="n">
        <v>0</v>
      </c>
      <c r="I28" s="24" t="n">
        <v>112.318</v>
      </c>
      <c r="J28" s="24" t="n">
        <v>289.61</v>
      </c>
      <c r="K28" s="24" t="n">
        <v>0</v>
      </c>
      <c r="L28" s="24" t="n">
        <v>51.296</v>
      </c>
      <c r="M28" s="24" t="n">
        <v>0.96</v>
      </c>
      <c r="N28" s="24" t="n">
        <v>18.902</v>
      </c>
      <c r="O28" s="24" t="n">
        <v>29.43</v>
      </c>
      <c r="P28" s="24" t="n">
        <v>49.342</v>
      </c>
      <c r="Q28" s="24" t="n">
        <v>94.859</v>
      </c>
      <c r="R28" s="24" t="n">
        <v>0</v>
      </c>
      <c r="S28" s="24" t="n">
        <v>2203.577</v>
      </c>
      <c r="T28" s="24" t="n">
        <v>0</v>
      </c>
      <c r="U28" s="24" t="n">
        <v>9.713</v>
      </c>
      <c r="V28" s="24" t="n">
        <v>0</v>
      </c>
      <c r="W28" s="24" t="n">
        <v>173.245</v>
      </c>
      <c r="X28" s="24" t="n">
        <v>0.105</v>
      </c>
      <c r="Y28" s="24" t="n">
        <v>1.335</v>
      </c>
      <c r="Z28" s="24" t="n">
        <v>173.245</v>
      </c>
    </row>
    <row r="29" customFormat="false" ht="15" hidden="false" customHeight="false" outlineLevel="0" collapsed="false">
      <c r="A29" s="4" t="n">
        <v>2043</v>
      </c>
      <c r="B29" s="24" t="n">
        <v>0</v>
      </c>
      <c r="C29" s="24" t="n">
        <v>0</v>
      </c>
      <c r="D29" s="24" t="n">
        <v>5.81</v>
      </c>
      <c r="E29" s="24" t="n">
        <v>10.335</v>
      </c>
      <c r="F29" s="24" t="n">
        <v>0.178</v>
      </c>
      <c r="G29" s="24" t="n">
        <v>6.897</v>
      </c>
      <c r="H29" s="24" t="n">
        <v>0</v>
      </c>
      <c r="I29" s="24" t="n">
        <v>100.951</v>
      </c>
      <c r="J29" s="24" t="n">
        <v>298.424</v>
      </c>
      <c r="K29" s="24" t="n">
        <v>0</v>
      </c>
      <c r="L29" s="24" t="n">
        <v>45.41</v>
      </c>
      <c r="M29" s="24" t="n">
        <v>0.96</v>
      </c>
      <c r="N29" s="24" t="n">
        <v>16.787</v>
      </c>
      <c r="O29" s="24" t="n">
        <v>31.302</v>
      </c>
      <c r="P29" s="24" t="n">
        <v>49.583</v>
      </c>
      <c r="Q29" s="24" t="n">
        <v>94.781</v>
      </c>
      <c r="R29" s="24" t="n">
        <v>0</v>
      </c>
      <c r="S29" s="24" t="n">
        <v>2240.299</v>
      </c>
      <c r="T29" s="24" t="n">
        <v>0</v>
      </c>
      <c r="U29" s="24" t="n">
        <v>8.739</v>
      </c>
      <c r="V29" s="24" t="n">
        <v>0</v>
      </c>
      <c r="W29" s="24" t="n">
        <v>175.977</v>
      </c>
      <c r="X29" s="24" t="n">
        <v>0.108</v>
      </c>
      <c r="Y29" s="24" t="n">
        <v>1.344</v>
      </c>
      <c r="Z29" s="24" t="n">
        <v>175.977</v>
      </c>
    </row>
    <row r="30" customFormat="false" ht="15" hidden="false" customHeight="false" outlineLevel="0" collapsed="false">
      <c r="A30" s="4" t="n">
        <v>2044</v>
      </c>
      <c r="B30" s="24" t="n">
        <v>0</v>
      </c>
      <c r="C30" s="24" t="n">
        <v>0</v>
      </c>
      <c r="D30" s="24" t="n">
        <v>5.95</v>
      </c>
      <c r="E30" s="24" t="n">
        <v>9.352</v>
      </c>
      <c r="F30" s="24" t="n">
        <v>0.159</v>
      </c>
      <c r="G30" s="24" t="n">
        <v>6.144</v>
      </c>
      <c r="H30" s="24" t="n">
        <v>0</v>
      </c>
      <c r="I30" s="24" t="n">
        <v>89.337</v>
      </c>
      <c r="J30" s="24" t="n">
        <v>307.267</v>
      </c>
      <c r="K30" s="24" t="n">
        <v>0</v>
      </c>
      <c r="L30" s="24" t="n">
        <v>39.374</v>
      </c>
      <c r="M30" s="24" t="n">
        <v>0.96</v>
      </c>
      <c r="N30" s="24" t="n">
        <v>15.132</v>
      </c>
      <c r="O30" s="24" t="n">
        <v>33.126</v>
      </c>
      <c r="P30" s="24" t="n">
        <v>49.807</v>
      </c>
      <c r="Q30" s="24" t="n">
        <v>94.706</v>
      </c>
      <c r="R30" s="24" t="n">
        <v>0</v>
      </c>
      <c r="S30" s="24" t="n">
        <v>2300.419</v>
      </c>
      <c r="T30" s="24" t="n">
        <v>0</v>
      </c>
      <c r="U30" s="24" t="n">
        <v>7.802</v>
      </c>
      <c r="V30" s="24" t="n">
        <v>0</v>
      </c>
      <c r="W30" s="24" t="n">
        <v>180.521</v>
      </c>
      <c r="X30" s="24" t="n">
        <v>0.11</v>
      </c>
      <c r="Y30" s="24" t="n">
        <v>1.449</v>
      </c>
      <c r="Z30" s="24" t="n">
        <v>180.521</v>
      </c>
    </row>
    <row r="31" customFormat="false" ht="15" hidden="false" customHeight="false" outlineLevel="0" collapsed="false">
      <c r="A31" s="4" t="n">
        <v>2045</v>
      </c>
      <c r="B31" s="24" t="n">
        <v>0</v>
      </c>
      <c r="C31" s="24" t="n">
        <v>0</v>
      </c>
      <c r="D31" s="24" t="n">
        <v>6.093</v>
      </c>
      <c r="E31" s="24" t="n">
        <v>8.975</v>
      </c>
      <c r="F31" s="24" t="n">
        <v>0.14</v>
      </c>
      <c r="G31" s="24" t="n">
        <v>5.423</v>
      </c>
      <c r="H31" s="24" t="n">
        <v>0</v>
      </c>
      <c r="I31" s="24" t="n">
        <v>77.483</v>
      </c>
      <c r="J31" s="24" t="n">
        <v>315.962</v>
      </c>
      <c r="K31" s="24" t="n">
        <v>0</v>
      </c>
      <c r="L31" s="24" t="n">
        <v>33.19</v>
      </c>
      <c r="M31" s="24" t="n">
        <v>0.96</v>
      </c>
      <c r="N31" s="24" t="n">
        <v>15.011</v>
      </c>
      <c r="O31" s="24" t="n">
        <v>34.901</v>
      </c>
      <c r="P31" s="24" t="n">
        <v>50.012</v>
      </c>
      <c r="Q31" s="24" t="n">
        <v>94.634</v>
      </c>
      <c r="R31" s="24" t="n">
        <v>0</v>
      </c>
      <c r="S31" s="24" t="n">
        <v>2359.917</v>
      </c>
      <c r="T31" s="24" t="n">
        <v>0</v>
      </c>
      <c r="U31" s="24" t="n">
        <v>6.903</v>
      </c>
      <c r="V31" s="24" t="n">
        <v>0</v>
      </c>
      <c r="W31" s="24" t="n">
        <v>184.939</v>
      </c>
      <c r="X31" s="24" t="n">
        <v>0.113</v>
      </c>
      <c r="Y31" s="24" t="n">
        <v>1.665</v>
      </c>
      <c r="Z31" s="24" t="n">
        <v>184.939</v>
      </c>
    </row>
    <row r="32" customFormat="false" ht="15" hidden="false" customHeight="false" outlineLevel="0" collapsed="false">
      <c r="A32" s="4" t="n">
        <v>2046</v>
      </c>
      <c r="B32" s="24" t="n">
        <v>0</v>
      </c>
      <c r="C32" s="24" t="n">
        <v>0</v>
      </c>
      <c r="D32" s="24" t="n">
        <v>6.24</v>
      </c>
      <c r="E32" s="24" t="n">
        <v>9.059</v>
      </c>
      <c r="F32" s="24" t="n">
        <v>0.122</v>
      </c>
      <c r="G32" s="24" t="n">
        <v>4.735</v>
      </c>
      <c r="H32" s="24" t="n">
        <v>0</v>
      </c>
      <c r="I32" s="24" t="n">
        <v>65.396</v>
      </c>
      <c r="J32" s="24" t="n">
        <v>325.074</v>
      </c>
      <c r="K32" s="24" t="n">
        <v>0</v>
      </c>
      <c r="L32" s="24" t="n">
        <v>26.865</v>
      </c>
      <c r="M32" s="24" t="n">
        <v>0.96</v>
      </c>
      <c r="N32" s="24" t="n">
        <v>14.961</v>
      </c>
      <c r="O32" s="24" t="n">
        <v>36.628</v>
      </c>
      <c r="P32" s="24" t="n">
        <v>50.197</v>
      </c>
      <c r="Q32" s="24" t="n">
        <v>94.565</v>
      </c>
      <c r="R32" s="24" t="n">
        <v>0</v>
      </c>
      <c r="S32" s="24" t="n">
        <v>2420.76</v>
      </c>
      <c r="T32" s="24" t="n">
        <v>0</v>
      </c>
      <c r="U32" s="24" t="n">
        <v>6.039</v>
      </c>
      <c r="V32" s="24" t="n">
        <v>0</v>
      </c>
      <c r="W32" s="24" t="n">
        <v>189.54</v>
      </c>
      <c r="X32" s="24" t="n">
        <v>0.115</v>
      </c>
      <c r="Y32" s="24" t="n">
        <v>1.709</v>
      </c>
      <c r="Z32" s="24" t="n">
        <v>189.54</v>
      </c>
    </row>
    <row r="33" customFormat="false" ht="15" hidden="false" customHeight="false" outlineLevel="0" collapsed="false">
      <c r="A33" s="4" t="n">
        <v>2047</v>
      </c>
      <c r="B33" s="24" t="n">
        <v>0</v>
      </c>
      <c r="C33" s="24" t="n">
        <v>0</v>
      </c>
      <c r="D33" s="24" t="n">
        <v>6.391</v>
      </c>
      <c r="E33" s="24" t="n">
        <v>9.154</v>
      </c>
      <c r="F33" s="24" t="n">
        <v>0.105</v>
      </c>
      <c r="G33" s="24" t="n">
        <v>4.077</v>
      </c>
      <c r="H33" s="24" t="n">
        <v>0</v>
      </c>
      <c r="I33" s="24" t="n">
        <v>53.084</v>
      </c>
      <c r="J33" s="24" t="n">
        <v>334.21</v>
      </c>
      <c r="K33" s="24" t="n">
        <v>0</v>
      </c>
      <c r="L33" s="24" t="n">
        <v>20.403</v>
      </c>
      <c r="M33" s="24" t="n">
        <v>0.96</v>
      </c>
      <c r="N33" s="24" t="n">
        <v>14.91</v>
      </c>
      <c r="O33" s="24" t="n">
        <v>38.305</v>
      </c>
      <c r="P33" s="24" t="n">
        <v>50.359</v>
      </c>
      <c r="Q33" s="24" t="n">
        <v>94.499</v>
      </c>
      <c r="R33" s="24" t="n">
        <v>0</v>
      </c>
      <c r="S33" s="24" t="n">
        <v>2480.642</v>
      </c>
      <c r="T33" s="24" t="n">
        <v>0</v>
      </c>
      <c r="U33" s="24" t="n">
        <v>5.211</v>
      </c>
      <c r="V33" s="24" t="n">
        <v>0</v>
      </c>
      <c r="W33" s="24" t="n">
        <v>194.035</v>
      </c>
      <c r="X33" s="24" t="n">
        <v>0.118</v>
      </c>
      <c r="Y33" s="24" t="n">
        <v>1.75</v>
      </c>
      <c r="Z33" s="24" t="n">
        <v>194.035</v>
      </c>
    </row>
    <row r="34" customFormat="false" ht="15" hidden="false" customHeight="false" outlineLevel="0" collapsed="false">
      <c r="A34" s="4" t="n">
        <v>2048</v>
      </c>
      <c r="B34" s="24" t="n">
        <v>0</v>
      </c>
      <c r="C34" s="24" t="n">
        <v>0</v>
      </c>
      <c r="D34" s="24" t="n">
        <v>6.545</v>
      </c>
      <c r="E34" s="24" t="n">
        <v>9.259</v>
      </c>
      <c r="F34" s="24" t="n">
        <v>0.089</v>
      </c>
      <c r="G34" s="24" t="n">
        <v>3.45</v>
      </c>
      <c r="H34" s="24" t="n">
        <v>0</v>
      </c>
      <c r="I34" s="24" t="n">
        <v>40.559</v>
      </c>
      <c r="J34" s="24" t="n">
        <v>343.367</v>
      </c>
      <c r="K34" s="24" t="n">
        <v>0</v>
      </c>
      <c r="L34" s="24" t="n">
        <v>13.812</v>
      </c>
      <c r="M34" s="24" t="n">
        <v>0.96</v>
      </c>
      <c r="N34" s="24" t="n">
        <v>14.859</v>
      </c>
      <c r="O34" s="24" t="n">
        <v>39.931</v>
      </c>
      <c r="P34" s="24" t="n">
        <v>50.498</v>
      </c>
      <c r="Q34" s="24" t="n">
        <v>94.435</v>
      </c>
      <c r="R34" s="24" t="n">
        <v>0</v>
      </c>
      <c r="S34" s="24" t="n">
        <v>2540.03</v>
      </c>
      <c r="T34" s="24" t="n">
        <v>0</v>
      </c>
      <c r="U34" s="24" t="n">
        <v>4.418</v>
      </c>
      <c r="V34" s="24" t="n">
        <v>0</v>
      </c>
      <c r="W34" s="24" t="n">
        <v>198.457</v>
      </c>
      <c r="X34" s="24" t="n">
        <v>0.121</v>
      </c>
      <c r="Y34" s="24" t="n">
        <v>1.788</v>
      </c>
      <c r="Z34" s="24" t="n">
        <v>198.457</v>
      </c>
    </row>
    <row r="35" customFormat="false" ht="15" hidden="false" customHeight="false" outlineLevel="0" collapsed="false">
      <c r="A35" s="4" t="n">
        <v>2049</v>
      </c>
      <c r="B35" s="24" t="n">
        <v>0</v>
      </c>
      <c r="C35" s="24" t="n">
        <v>0</v>
      </c>
      <c r="D35" s="24" t="n">
        <v>6.704</v>
      </c>
      <c r="E35" s="24" t="n">
        <v>9.376</v>
      </c>
      <c r="F35" s="24" t="n">
        <v>0.074</v>
      </c>
      <c r="G35" s="24" t="n">
        <v>2.853</v>
      </c>
      <c r="H35" s="24" t="n">
        <v>0</v>
      </c>
      <c r="I35" s="24" t="n">
        <v>27.832</v>
      </c>
      <c r="J35" s="24" t="n">
        <v>352.6</v>
      </c>
      <c r="K35" s="24" t="n">
        <v>0</v>
      </c>
      <c r="L35" s="24" t="n">
        <v>7.099</v>
      </c>
      <c r="M35" s="24" t="n">
        <v>0.96</v>
      </c>
      <c r="N35" s="24" t="n">
        <v>14.807</v>
      </c>
      <c r="O35" s="24" t="n">
        <v>41.504</v>
      </c>
      <c r="P35" s="24" t="n">
        <v>50.612</v>
      </c>
      <c r="Q35" s="24" t="n">
        <v>94.375</v>
      </c>
      <c r="R35" s="24" t="n">
        <v>0</v>
      </c>
      <c r="S35" s="24" t="n">
        <v>2598.166</v>
      </c>
      <c r="T35" s="24" t="n">
        <v>0</v>
      </c>
      <c r="U35" s="24" t="n">
        <v>3.661</v>
      </c>
      <c r="V35" s="24" t="n">
        <v>0</v>
      </c>
      <c r="W35" s="24" t="n">
        <v>202.761</v>
      </c>
      <c r="X35" s="24" t="n">
        <v>0.124</v>
      </c>
      <c r="Y35" s="24" t="n">
        <v>1.823</v>
      </c>
      <c r="Z35" s="24" t="n">
        <v>202.761</v>
      </c>
    </row>
    <row r="36" customFormat="false" ht="15" hidden="false" customHeight="false" outlineLevel="0" collapsed="false">
      <c r="A36" s="4" t="n">
        <v>2050</v>
      </c>
      <c r="B36" s="24" t="n">
        <v>0</v>
      </c>
      <c r="C36" s="24" t="n">
        <v>0</v>
      </c>
      <c r="D36" s="24" t="n">
        <v>6.866</v>
      </c>
      <c r="E36" s="24" t="n">
        <v>9.503</v>
      </c>
      <c r="F36" s="24" t="n">
        <v>0.059</v>
      </c>
      <c r="G36" s="24" t="n">
        <v>2.284</v>
      </c>
      <c r="H36" s="24" t="n">
        <v>0</v>
      </c>
      <c r="I36" s="24" t="n">
        <v>14.918</v>
      </c>
      <c r="J36" s="24" t="n">
        <v>361.853</v>
      </c>
      <c r="K36" s="24" t="n">
        <v>0</v>
      </c>
      <c r="L36" s="24" t="n">
        <v>0.274</v>
      </c>
      <c r="M36" s="24" t="n">
        <v>0.96</v>
      </c>
      <c r="N36" s="24" t="n">
        <v>14.755</v>
      </c>
      <c r="O36" s="24" t="n">
        <v>43.023</v>
      </c>
      <c r="P36" s="24" t="n">
        <v>50.699</v>
      </c>
      <c r="Q36" s="24" t="n">
        <v>94.316</v>
      </c>
      <c r="R36" s="24" t="n">
        <v>0</v>
      </c>
      <c r="S36" s="24" t="n">
        <v>2656.329</v>
      </c>
      <c r="T36" s="24" t="n">
        <v>0</v>
      </c>
      <c r="U36" s="24" t="n">
        <v>2.936</v>
      </c>
      <c r="V36" s="24" t="n">
        <v>0</v>
      </c>
      <c r="W36" s="24" t="n">
        <v>207.032</v>
      </c>
      <c r="X36" s="24" t="n">
        <v>0.127</v>
      </c>
      <c r="Y36" s="24" t="n">
        <v>1.855</v>
      </c>
      <c r="Z36" s="24" t="n">
        <v>207.032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3" t="s">
        <v>266</v>
      </c>
    </row>
    <row r="2" customFormat="false" ht="15" hidden="false" customHeight="false" outlineLevel="0" collapsed="false">
      <c r="A2" s="22" t="s">
        <v>267</v>
      </c>
    </row>
    <row r="3" customFormat="false" ht="15" hidden="false" customHeight="false" outlineLevel="0" collapsed="false">
      <c r="A3" s="22" t="s">
        <v>268</v>
      </c>
    </row>
    <row r="5" customFormat="false" ht="26.85" hidden="false" customHeight="false" outlineLevel="0" collapsed="false">
      <c r="A5" s="3" t="s">
        <v>269</v>
      </c>
      <c r="B5" s="3" t="s">
        <v>270</v>
      </c>
      <c r="C5" s="3" t="s">
        <v>271</v>
      </c>
      <c r="D5" s="3" t="s">
        <v>272</v>
      </c>
    </row>
    <row r="6" customFormat="false" ht="15" hidden="false" customHeight="false" outlineLevel="0" collapsed="false">
      <c r="A6" s="4" t="s">
        <v>273</v>
      </c>
      <c r="B6" s="25" t="n">
        <v>372</v>
      </c>
      <c r="C6" s="8" t="n">
        <f aca="false">B6/B$10</f>
        <v>0.145142411236832</v>
      </c>
      <c r="D6" s="26" t="n">
        <f aca="false">C6*500</f>
        <v>72.5712056184159</v>
      </c>
    </row>
    <row r="7" customFormat="false" ht="15" hidden="false" customHeight="false" outlineLevel="0" collapsed="false">
      <c r="A7" s="4" t="s">
        <v>274</v>
      </c>
      <c r="B7" s="25" t="n">
        <v>339</v>
      </c>
      <c r="C7" s="8" t="n">
        <f aca="false">B7/B$10</f>
        <v>0.132266874756145</v>
      </c>
      <c r="D7" s="26" t="n">
        <f aca="false">C7*500</f>
        <v>66.1334373780726</v>
      </c>
    </row>
    <row r="8" customFormat="false" ht="15" hidden="false" customHeight="false" outlineLevel="0" collapsed="false">
      <c r="A8" s="4" t="s">
        <v>275</v>
      </c>
      <c r="B8" s="25" t="n">
        <v>862</v>
      </c>
      <c r="C8" s="8" t="n">
        <f aca="false">B8/B$10</f>
        <v>0.336324619586422</v>
      </c>
      <c r="D8" s="26" t="n">
        <f aca="false">C8*500</f>
        <v>168.162309793211</v>
      </c>
    </row>
    <row r="9" customFormat="false" ht="15" hidden="false" customHeight="false" outlineLevel="0" collapsed="false">
      <c r="A9" s="4" t="s">
        <v>276</v>
      </c>
      <c r="B9" s="25" t="n">
        <v>990</v>
      </c>
      <c r="C9" s="8" t="n">
        <f aca="false">B9/B$10</f>
        <v>0.386266094420601</v>
      </c>
      <c r="D9" s="26" t="n">
        <f aca="false">C9*500</f>
        <v>193.1330472103</v>
      </c>
    </row>
    <row r="10" customFormat="false" ht="15" hidden="false" customHeight="false" outlineLevel="0" collapsed="false">
      <c r="A10" s="10" t="s">
        <v>277</v>
      </c>
      <c r="B10" s="10" t="n">
        <f aca="false">SUM(B6:B9)</f>
        <v>2563</v>
      </c>
      <c r="C10" s="12"/>
      <c r="D10" s="27" t="n">
        <f aca="false">SUM(D6:D9)</f>
        <v>500</v>
      </c>
    </row>
    <row r="12" customFormat="false" ht="15" hidden="false" customHeight="false" outlineLevel="0" collapsed="false">
      <c r="A12" s="13" t="s">
        <v>278</v>
      </c>
    </row>
    <row r="13" customFormat="false" ht="15" hidden="false" customHeight="false" outlineLevel="0" collapsed="false">
      <c r="A13" s="4" t="s">
        <v>279</v>
      </c>
      <c r="B13" s="28" t="n">
        <v>299</v>
      </c>
      <c r="C13" s="29" t="s">
        <v>280</v>
      </c>
    </row>
    <row r="14" customFormat="false" ht="15" hidden="false" customHeight="false" outlineLevel="0" collapsed="false">
      <c r="A14" s="4" t="s">
        <v>281</v>
      </c>
      <c r="B14" s="28" t="n">
        <v>152</v>
      </c>
      <c r="C14" s="29" t="s">
        <v>280</v>
      </c>
    </row>
    <row r="16" customFormat="false" ht="15" hidden="false" customHeight="false" outlineLevel="0" collapsed="false">
      <c r="A16" s="30" t="s">
        <v>282</v>
      </c>
    </row>
    <row r="17" customFormat="false" ht="15" hidden="false" customHeight="false" outlineLevel="0" collapsed="false">
      <c r="A17" s="22" t="s">
        <v>283</v>
      </c>
    </row>
    <row r="18" customFormat="false" ht="15" hidden="false" customHeight="false" outlineLevel="0" collapsed="false">
      <c r="A18" s="22" t="s">
        <v>284</v>
      </c>
    </row>
    <row r="19" customFormat="false" ht="15" hidden="false" customHeight="false" outlineLevel="0" collapsed="false">
      <c r="A19" s="22"/>
    </row>
    <row r="20" customFormat="false" ht="15" hidden="false" customHeight="false" outlineLevel="0" collapsed="false">
      <c r="A20" s="22" t="s">
        <v>285</v>
      </c>
    </row>
    <row r="21" customFormat="false" ht="15" hidden="false" customHeight="false" outlineLevel="0" collapsed="false">
      <c r="A21" s="22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287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1" t="s">
        <v>288</v>
      </c>
    </row>
    <row r="4" customFormat="false" ht="15" hidden="false" customHeight="false" outlineLevel="0" collapsed="false">
      <c r="A4" s="2" t="s">
        <v>289</v>
      </c>
    </row>
    <row r="5" customFormat="false" ht="15" hidden="false" customHeight="false" outlineLevel="0" collapsed="false">
      <c r="A5" s="2" t="s">
        <v>290</v>
      </c>
    </row>
    <row r="6" customFormat="false" ht="15" hidden="false" customHeight="false" outlineLevel="0" collapsed="false">
      <c r="A6" s="2" t="s">
        <v>291</v>
      </c>
    </row>
    <row r="7" customFormat="false" ht="15" hidden="false" customHeight="false" outlineLevel="0" collapsed="false">
      <c r="A7" s="2" t="s">
        <v>292</v>
      </c>
    </row>
    <row r="8" customFormat="false" ht="15" hidden="false" customHeight="false" outlineLevel="0" collapsed="false">
      <c r="A8" s="2" t="s">
        <v>293</v>
      </c>
    </row>
    <row r="9" customFormat="false" ht="15" hidden="false" customHeight="false" outlineLevel="0" collapsed="false">
      <c r="A9" s="2" t="s">
        <v>294</v>
      </c>
    </row>
    <row r="10" customFormat="false" ht="15" hidden="false" customHeight="false" outlineLevel="0" collapsed="false">
      <c r="A10" s="2" t="s">
        <v>295</v>
      </c>
    </row>
    <row r="11" customFormat="false" ht="15" hidden="false" customHeight="false" outlineLevel="0" collapsed="false">
      <c r="A11" s="2" t="s">
        <v>296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297</v>
      </c>
    </row>
    <row r="14" customFormat="false" ht="15" hidden="false" customHeight="false" outlineLevel="0" collapsed="false">
      <c r="A14" s="2" t="s">
        <v>298</v>
      </c>
    </row>
    <row r="15" customFormat="false" ht="15" hidden="false" customHeight="false" outlineLevel="0" collapsed="false">
      <c r="A15" s="2" t="s">
        <v>299</v>
      </c>
    </row>
    <row r="16" customFormat="false" ht="15" hidden="false" customHeight="false" outlineLevel="0" collapsed="false">
      <c r="A16" s="2" t="s">
        <v>300</v>
      </c>
    </row>
    <row r="17" customFormat="false" ht="15" hidden="false" customHeight="false" outlineLevel="0" collapsed="false">
      <c r="A17" s="2" t="s">
        <v>301</v>
      </c>
    </row>
    <row r="18" customFormat="false" ht="15" hidden="false" customHeight="false" outlineLevel="0" collapsed="false">
      <c r="A18" s="2" t="s">
        <v>302</v>
      </c>
    </row>
    <row r="19" customFormat="false" ht="15" hidden="false" customHeight="false" outlineLevel="0" collapsed="false">
      <c r="A19" s="2" t="s">
        <v>303</v>
      </c>
    </row>
    <row r="20" customFormat="false" ht="15" hidden="false" customHeight="false" outlineLevel="0" collapsed="false">
      <c r="A20" s="2" t="s">
        <v>304</v>
      </c>
    </row>
    <row r="21" customFormat="false" ht="15" hidden="false" customHeight="false" outlineLevel="0" collapsed="false">
      <c r="A21" s="2" t="s">
        <v>305</v>
      </c>
    </row>
    <row r="22" customFormat="false" ht="15" hidden="false" customHeight="false" outlineLevel="0" collapsed="false">
      <c r="A22" s="2" t="s">
        <v>306</v>
      </c>
    </row>
    <row r="23" customFormat="false" ht="15" hidden="false" customHeight="false" outlineLevel="0" collapsed="false">
      <c r="A23" s="2" t="s">
        <v>307</v>
      </c>
    </row>
    <row r="24" customFormat="false" ht="15" hidden="false" customHeight="false" outlineLevel="0" collapsed="false">
      <c r="A24" s="2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58"/>
  </cols>
  <sheetData>
    <row r="1" customFormat="false" ht="15" hidden="false" customHeight="false" outlineLevel="0" collapsed="false">
      <c r="A1" s="13" t="s">
        <v>309</v>
      </c>
    </row>
    <row r="2" customFormat="false" ht="15" hidden="false" customHeight="false" outlineLevel="0" collapsed="false">
      <c r="A2" s="22" t="s">
        <v>310</v>
      </c>
    </row>
    <row r="3" customFormat="false" ht="15" hidden="false" customHeight="false" outlineLevel="0" collapsed="false">
      <c r="A3" s="31" t="s">
        <v>311</v>
      </c>
    </row>
    <row r="5" customFormat="false" ht="26.85" hidden="false" customHeight="false" outlineLevel="0" collapsed="false">
      <c r="A5" s="3" t="s">
        <v>169</v>
      </c>
      <c r="B5" s="3" t="s">
        <v>312</v>
      </c>
      <c r="C5" s="3" t="s">
        <v>313</v>
      </c>
      <c r="D5" s="3" t="s">
        <v>314</v>
      </c>
      <c r="E5" s="3" t="s">
        <v>315</v>
      </c>
      <c r="F5" s="3" t="s">
        <v>316</v>
      </c>
    </row>
    <row r="6" customFormat="false" ht="15" hidden="false" customHeight="false" outlineLevel="0" collapsed="false">
      <c r="A6" s="4" t="s">
        <v>182</v>
      </c>
      <c r="B6" s="7" t="n">
        <v>24.539</v>
      </c>
      <c r="C6" s="7" t="n">
        <v>409.433</v>
      </c>
      <c r="D6" s="7" t="n">
        <v>384.893</v>
      </c>
      <c r="E6" s="32" t="s">
        <v>317</v>
      </c>
      <c r="F6" s="33" t="s">
        <v>318</v>
      </c>
    </row>
    <row r="7" customFormat="false" ht="15" hidden="false" customHeight="false" outlineLevel="0" collapsed="false">
      <c r="A7" s="4" t="s">
        <v>200</v>
      </c>
      <c r="B7" s="7" t="n">
        <v>0</v>
      </c>
      <c r="C7" s="7" t="n">
        <v>167.066</v>
      </c>
      <c r="D7" s="7" t="n">
        <v>167.066</v>
      </c>
      <c r="E7" s="32" t="s">
        <v>317</v>
      </c>
      <c r="F7" s="33" t="s">
        <v>319</v>
      </c>
    </row>
    <row r="8" customFormat="false" ht="15" hidden="false" customHeight="false" outlineLevel="0" collapsed="false">
      <c r="A8" s="4" t="s">
        <v>179</v>
      </c>
      <c r="B8" s="7" t="n">
        <v>0</v>
      </c>
      <c r="C8" s="7" t="n">
        <v>64.759</v>
      </c>
      <c r="D8" s="7" t="n">
        <v>64.759</v>
      </c>
      <c r="E8" s="32" t="s">
        <v>317</v>
      </c>
      <c r="F8" s="33" t="s">
        <v>319</v>
      </c>
    </row>
    <row r="9" customFormat="false" ht="15" hidden="false" customHeight="false" outlineLevel="0" collapsed="false">
      <c r="A9" s="4" t="s">
        <v>188</v>
      </c>
      <c r="B9" s="7" t="n">
        <v>6.297</v>
      </c>
      <c r="C9" s="7" t="n">
        <v>46.288</v>
      </c>
      <c r="D9" s="7" t="n">
        <v>39.991</v>
      </c>
      <c r="E9" s="32" t="s">
        <v>317</v>
      </c>
      <c r="F9" s="33" t="s">
        <v>318</v>
      </c>
    </row>
    <row r="10" customFormat="false" ht="15" hidden="false" customHeight="false" outlineLevel="0" collapsed="false">
      <c r="A10" s="4" t="s">
        <v>206</v>
      </c>
      <c r="B10" s="7" t="n">
        <v>0</v>
      </c>
      <c r="C10" s="7" t="n">
        <v>32.758</v>
      </c>
      <c r="D10" s="7" t="n">
        <v>32.758</v>
      </c>
      <c r="E10" s="32" t="s">
        <v>317</v>
      </c>
      <c r="F10" s="33" t="s">
        <v>319</v>
      </c>
    </row>
    <row r="11" customFormat="false" ht="15" hidden="false" customHeight="false" outlineLevel="0" collapsed="false">
      <c r="A11" s="4" t="s">
        <v>191</v>
      </c>
      <c r="B11" s="7" t="n">
        <v>0</v>
      </c>
      <c r="C11" s="7" t="n">
        <v>32.59</v>
      </c>
      <c r="D11" s="7" t="n">
        <v>32.59</v>
      </c>
      <c r="E11" s="32" t="s">
        <v>317</v>
      </c>
      <c r="F11" s="33" t="s">
        <v>319</v>
      </c>
    </row>
    <row r="12" customFormat="false" ht="15" hidden="false" customHeight="false" outlineLevel="0" collapsed="false">
      <c r="A12" s="4" t="s">
        <v>203</v>
      </c>
      <c r="B12" s="7" t="n">
        <v>0</v>
      </c>
      <c r="C12" s="7" t="n">
        <v>25.855</v>
      </c>
      <c r="D12" s="7" t="n">
        <v>25.855</v>
      </c>
      <c r="E12" s="32" t="s">
        <v>317</v>
      </c>
      <c r="F12" s="33" t="s">
        <v>319</v>
      </c>
    </row>
    <row r="13" customFormat="false" ht="15" hidden="false" customHeight="false" outlineLevel="0" collapsed="false">
      <c r="A13" s="4" t="s">
        <v>176</v>
      </c>
      <c r="B13" s="7" t="n">
        <v>0</v>
      </c>
      <c r="C13" s="7" t="n">
        <v>25.694</v>
      </c>
      <c r="D13" s="7" t="n">
        <v>25.694</v>
      </c>
      <c r="E13" s="32" t="s">
        <v>317</v>
      </c>
      <c r="F13" s="33" t="s">
        <v>318</v>
      </c>
    </row>
    <row r="14" customFormat="false" ht="15" hidden="false" customHeight="false" outlineLevel="0" collapsed="false">
      <c r="A14" s="4" t="s">
        <v>320</v>
      </c>
      <c r="B14" s="7" t="n">
        <v>0</v>
      </c>
      <c r="C14" s="7" t="n">
        <v>17.427</v>
      </c>
      <c r="D14" s="7" t="n">
        <v>17.427</v>
      </c>
      <c r="E14" s="32" t="s">
        <v>317</v>
      </c>
      <c r="F14" s="33" t="s">
        <v>318</v>
      </c>
    </row>
    <row r="15" customFormat="false" ht="15" hidden="false" customHeight="false" outlineLevel="0" collapsed="false">
      <c r="A15" s="4" t="s">
        <v>197</v>
      </c>
      <c r="B15" s="7" t="n">
        <v>0</v>
      </c>
      <c r="C15" s="7" t="n">
        <v>12.106</v>
      </c>
      <c r="D15" s="7" t="n">
        <v>12.106</v>
      </c>
      <c r="E15" s="32" t="s">
        <v>317</v>
      </c>
      <c r="F15" s="33" t="s">
        <v>319</v>
      </c>
    </row>
    <row r="16" customFormat="false" ht="15" hidden="false" customHeight="false" outlineLevel="0" collapsed="false">
      <c r="A16" s="4" t="s">
        <v>185</v>
      </c>
      <c r="B16" s="7" t="n">
        <v>13.629</v>
      </c>
      <c r="C16" s="7" t="n">
        <v>9.762</v>
      </c>
      <c r="D16" s="7" t="n">
        <v>-3.867</v>
      </c>
      <c r="E16" s="32" t="s">
        <v>317</v>
      </c>
      <c r="F16" s="33" t="s">
        <v>318</v>
      </c>
    </row>
    <row r="17" customFormat="false" ht="15" hidden="false" customHeight="false" outlineLevel="0" collapsed="false">
      <c r="A17" s="4" t="s">
        <v>321</v>
      </c>
      <c r="B17" s="7" t="n">
        <v>0</v>
      </c>
      <c r="C17" s="7" t="n">
        <v>8.135</v>
      </c>
      <c r="D17" s="7" t="n">
        <v>8.135</v>
      </c>
      <c r="E17" s="32" t="s">
        <v>317</v>
      </c>
      <c r="F17" s="33" t="s">
        <v>319</v>
      </c>
    </row>
    <row r="18" customFormat="false" ht="15" hidden="false" customHeight="false" outlineLevel="0" collapsed="false">
      <c r="A18" s="4" t="s">
        <v>322</v>
      </c>
      <c r="B18" s="7" t="n">
        <v>0</v>
      </c>
      <c r="C18" s="7" t="n">
        <v>4.795</v>
      </c>
      <c r="D18" s="7" t="n">
        <v>4.795</v>
      </c>
      <c r="E18" s="32" t="s">
        <v>317</v>
      </c>
      <c r="F18" s="33" t="s">
        <v>319</v>
      </c>
    </row>
    <row r="19" customFormat="false" ht="15" hidden="false" customHeight="false" outlineLevel="0" collapsed="false">
      <c r="A19" s="4" t="s">
        <v>173</v>
      </c>
      <c r="B19" s="7" t="n">
        <v>0</v>
      </c>
      <c r="C19" s="7" t="n">
        <v>3.193</v>
      </c>
      <c r="D19" s="7" t="n">
        <v>3.193</v>
      </c>
      <c r="E19" s="32" t="s">
        <v>317</v>
      </c>
      <c r="F19" s="33" t="s">
        <v>319</v>
      </c>
    </row>
    <row r="20" customFormat="false" ht="15" hidden="false" customHeight="false" outlineLevel="0" collapsed="false">
      <c r="A20" s="4" t="s">
        <v>323</v>
      </c>
      <c r="B20" s="7" t="n">
        <v>0</v>
      </c>
      <c r="C20" s="7" t="n">
        <v>0.047</v>
      </c>
      <c r="D20" s="7" t="n">
        <v>0.047</v>
      </c>
      <c r="E20" s="32" t="s">
        <v>317</v>
      </c>
      <c r="F20" s="33" t="s">
        <v>324</v>
      </c>
    </row>
    <row r="21" customFormat="false" ht="15" hidden="false" customHeight="false" outlineLevel="0" collapsed="false">
      <c r="A21" s="4" t="s">
        <v>194</v>
      </c>
      <c r="B21" s="7" t="n">
        <v>0</v>
      </c>
      <c r="C21" s="7" t="n">
        <v>-3.401</v>
      </c>
      <c r="D21" s="7" t="n">
        <v>-3.401</v>
      </c>
      <c r="E21" s="32" t="s">
        <v>317</v>
      </c>
      <c r="F21" s="33" t="s">
        <v>319</v>
      </c>
    </row>
    <row r="23" customFormat="false" ht="15" hidden="false" customHeight="false" outlineLevel="0" collapsed="false">
      <c r="A23" s="30" t="s">
        <v>325</v>
      </c>
    </row>
    <row r="24" customFormat="false" ht="15" hidden="false" customHeight="false" outlineLevel="0" collapsed="false">
      <c r="A24" s="21" t="s">
        <v>326</v>
      </c>
    </row>
    <row r="25" customFormat="false" ht="15" hidden="false" customHeight="false" outlineLevel="0" collapsed="false">
      <c r="A25" s="21" t="s">
        <v>327</v>
      </c>
    </row>
    <row r="26" customFormat="false" ht="15" hidden="false" customHeight="false" outlineLevel="0" collapsed="false">
      <c r="A26" s="21" t="s">
        <v>328</v>
      </c>
    </row>
    <row r="27" customFormat="false" ht="15" hidden="false" customHeight="false" outlineLevel="0" collapsed="false">
      <c r="A27" s="21" t="s">
        <v>329</v>
      </c>
    </row>
    <row r="28" customFormat="false" ht="15" hidden="false" customHeight="false" outlineLevel="0" collapsed="false">
      <c r="A28" s="21" t="s">
        <v>330</v>
      </c>
    </row>
    <row r="29" customFormat="false" ht="15" hidden="false" customHeight="false" outlineLevel="0" collapsed="false">
      <c r="A29" s="21" t="s">
        <v>331</v>
      </c>
    </row>
    <row r="30" customFormat="false" ht="15" hidden="false" customHeight="false" outlineLevel="0" collapsed="false">
      <c r="A30" s="21"/>
    </row>
    <row r="31" customFormat="false" ht="15" hidden="false" customHeight="false" outlineLevel="0" collapsed="false">
      <c r="A31" s="21" t="s">
        <v>332</v>
      </c>
    </row>
    <row r="32" customFormat="false" ht="15" hidden="false" customHeight="false" outlineLevel="0" collapsed="false">
      <c r="A32" s="21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2026-07-24T23:50:57Z</dcterms:created>
  <dc:creator>openpyxl</dc:creator>
  <dc:description/>
  <dc:language>en-US</dc:language>
  <cp:lastModifiedBy/>
  <dcterms:modified xsi:type="dcterms:W3CDTF">2026-07-24T23:50:58Z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