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Vs_chart" sheetId="12" state="visible" r:id="rId14"/>
    <sheet name="T4_elec_generation" sheetId="13" state="visible" r:id="rId15"/>
    <sheet name="T4_energy_by_fuel" sheetId="14" state="visible" r:id="rId16"/>
    <sheet name="T5_ecosystem_split" sheetId="15" state="visible" r:id="rId17"/>
    <sheet name="T5_memo" sheetId="16" state="visible" r:id="rId18"/>
    <sheet name="T7_pct_change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<sst xmlns="http://schemas.openxmlformats.org/spreadsheetml/2006/main" count="679" uniqueCount="346">
  <si>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</si>
  <si>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</si>
  <si>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</si>
  <si>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</si>
  <si>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</si>
  <si>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</si>
  <si>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</si>
  <si>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</si>
  <si>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</si>
  <si>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</si>
  <si>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</si>
  <si>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</si>
  <si>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</si>
  <si>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</si>
  <si>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</si>
  <si>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</si>
  <si>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</si>
  <si>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</si>
  <si>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</si>
  <si>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</si>
  <si>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</si>
  <si>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</si>
  <si>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</si>
  <si>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</si>
  <si>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</si>
  <si>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</si>
  <si>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</si>
  <si>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</si>
  <si>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</si>
  <si>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</si>
  <si>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</si>
  <si>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</si>
  <si>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</si>
  <si>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</si>
  <si>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</si>
  <si>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</si>
  <si>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</si>
  <si>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</si>
  <si>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</si>
  <si>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</si>
  <si>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</si>
  <si>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</si>
  <si>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</si>
  <si>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</si>
  <si>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</si>
  <si>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</si>
  <si>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</si>
  <si>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</si>
  <si>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</si>
  <si>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</si>
  <si>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</si>
  <si>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</si>
  <si>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</si>
  <si>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</si>
  <si>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</si>
  <si>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</si>
  <si>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</si>
  <si>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</si>
  <si>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</si>
  <si>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</si>
  <si>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</si>
  <si>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</si>
  <si>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</si>
  <si>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</si>
  <si>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</si>
  <si>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</si>
  <si>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</si>
  <si>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</si>
  <si>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</si>
  <si>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</si>
  <si>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</si>
  <si>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</si>
  <si>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</si>
  <si>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</si>
  <si>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</si>
  <si>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</si>
  <si>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</si>
  <si>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</si>
  <si>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</si>
  <si>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</si>
  <si>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</si>
  <si>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</si>
  <si>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</si>
  <si>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</si>
  <si>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</si>
  <si>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</si>
  <si>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</si>
  <si>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</si>
  <si>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</si>
  <si>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</si>
  <si>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</si>
  <si>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</si>
  <si>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</si>
  <si>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</si>
  <si>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</si>
  <si>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</si>
  <si>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</si>
  <si>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</si>
  <si>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</si>
  <si>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</si>
  <si>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</si>
  <si>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</si>
  <si>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</si>
  <si>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</si>
  <si>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</si>
  <si>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</si>
  <si>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</si>
  <si>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</si>
  <si>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</si>
  <si>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</si>
  <si>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</si>
  <si>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</si>
  <si>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</si>
  <si>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</si>
  <si>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</si>
  <si>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</si>
  <si>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</si>
  <si>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</si>
  <si>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</si>
  <si>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</si>
  <si>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</si>
  <si>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</si>
  <si>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</si>
  <si>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</si>
  <si>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</si>
  <si>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</si>
  <si>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</si>
  <si>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</si>
  <si>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</si>
  <si>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</si>
  <si>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</si>
  <si>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</si>
  <si>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</si>
  <si>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</si>
  <si>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</si>
  <si>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</si>
  <si>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</si>
  <si>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</si>
  <si>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</si>
  <si>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</si>
  <si>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</si>
  <si>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</si>
  <si>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</si>
  <si>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</si>
  <si>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</si>
  <si>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</si>
  <si>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</si>
  <si>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</si>
  <si>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</si>
  <si>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</si>
  <si>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</si>
  <si>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</si>
  <si>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</si>
  <si>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</si>
  <si>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</si>
  <si>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</si>
  <si>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</si>
  <si>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</si>
  <si>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</si>
  <si>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</si>
  <si>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</si>
  <si>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</si>
  <si>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</si>
  <si>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</si>
  <si>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</si>
  <si>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</si>
  <si>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</si>
  <si>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</si>
  <si>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</si>
  <si>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</si>
  <si>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</si>
  <si>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</si>
  <si>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</si>
  <si>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</si>
  <si>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</si>
  <si>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</si>
  <si>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</si>
  <si>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</si>
  <si>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</si>
  <si>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</si>
  <si>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</si>
  <si>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</si>
  <si>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</si>
  <si>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</si>
  <si>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</si>
  <si>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</si>
  <si>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</si>
  <si>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</si>
  <si>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</si>
  <si>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</si>
  <si>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</si>
  <si>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</si>
  <si>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</si>
  <si>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</si>
  <si>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</si>
  <si>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</si>
  <si>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</si>
  <si>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</si>
  <si>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</si>
  <si>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</si>
  <si>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</si>
  <si>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</si>
  <si>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</si>
  <si>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</si>
  <si>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</si>
  <si>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</si>
  <si>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</si>
  <si>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</si>
  <si>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</si>
  <si>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</si>
  <si>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</si>
  <si>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</si>
  <si>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</si>
  <si>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</si>
  <si>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</si>
  <si>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</si>
  <si>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</si>
  <si>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</si>
  <si>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</si>
  <si>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</si>
  <si>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</si>
  <si>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</si>
  <si>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</si>
  <si>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</si>
  <si>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</si>
  <si>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</si>
  <si>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</si>
  <si>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</si>
  <si>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</si>
  <si>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</si>
  <si>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</si>
  <si>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</si>
  <si>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</si>
  <si>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</si>
  <si>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</si>
  <si>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</si>
  <si>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</si>
  <si>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</si>
  <si>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</si>
  <si>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</si>
  <si>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</si>
  <si>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Task 4 — Number of private light vehicles (road_light) by fuel, per strategy</t>
  </si>
  <si>
    <t xml:space="preserve">Stacked area of the ESTIMATION blocks in T4_vehicles (vehicles = VKM / 12,000). Reproduces the Tableau 'EVs-Private' view; note the full shift to Electricity under LTS.</t>
  </si>
  <si>
    <t xml:space="preserve">Task 4 — Electricity generation by technology (LEDS)</t>
  </si>
  <si>
    <t xml:space="preserve">NemoMod Production by Technology, from the Tableau 'drivers' datasource. Storage (st_*) shown separately below. Units: model output units (PJ/GWh as in dashboard).</t>
  </si>
  <si>
    <t xml:space="preserve">pp_biomass</t>
  </si>
  <si>
    <t xml:space="preserve">Storage (st_*) — discharge, listed separately from generation</t>
  </si>
  <si>
    <t xml:space="preserve">st_batteries</t>
  </si>
  <si>
    <t xml:space="preserve">st_compressed_air</t>
  </si>
  <si>
    <t xml:space="preserve">st_flywheels</t>
  </si>
  <si>
    <t xml:space="preserve">st_pumped_hydro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</si>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</sst>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0066CC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8064A2"/>
      <rgbColor rgb="FF878787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T4_vehicles!B108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T4_vehicles!$B$109:$B$136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T4_vehicles!C108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T4_vehicles!$C$109:$C$136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T4_vehicles!D108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T4_vehicles!$D$109:$D$136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T4_vehicles!E108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T4_vehicles!$E$109:$E$136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39273979"/>
        <c:axId val="74128500"/>
      </c:areaChart>
      <c:catAx>
        <c:axId val="392739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128500"/>
        <c:crosses val="autoZero"/>
        <c:auto val="1"/>
        <c:lblAlgn val="ctr"/>
        <c:lblOffset val="100"/>
        <c:noMultiLvlLbl val="0"/>
      </c:catAx>
      <c:valAx>
        <c:axId val="741285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27397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T4_vehicles!B140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T4_vehicles!$B$141:$B$168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T4_vehicles!C140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T4_vehicles!$C$141:$C$168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T4_vehicles!D140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T4_vehicles!$D$141:$D$168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T4_vehicles!E140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T4_vehicles!$E$141:$E$168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8647565"/>
        <c:axId val="9580921"/>
      </c:areaChart>
      <c:catAx>
        <c:axId val="86475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80921"/>
        <c:crosses val="autoZero"/>
        <c:auto val="1"/>
        <c:lblAlgn val="ctr"/>
        <c:lblOffset val="100"/>
        <c:noMultiLvlLbl val="0"/>
      </c:catAx>
      <c:valAx>
        <c:axId val="95809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47565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T4_vehicles!B172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T4_vehicles!$B$173:$B$200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375972.965433333</c:v>
                </c:pt>
                <c:pt idx="11">
                  <c:v>770920.946308333</c:v>
                </c:pt>
                <c:pt idx="12">
                  <c:v>1184684.495</c:v>
                </c:pt>
                <c:pt idx="13">
                  <c:v>1617020.74556667</c:v>
                </c:pt>
                <c:pt idx="14">
                  <c:v>2067597.85555833</c:v>
                </c:pt>
                <c:pt idx="15">
                  <c:v>2535990.72701667</c:v>
                </c:pt>
                <c:pt idx="16">
                  <c:v>3021674.89160833</c:v>
                </c:pt>
                <c:pt idx="17">
                  <c:v>3524022.16181667</c:v>
                </c:pt>
                <c:pt idx="18">
                  <c:v>4044318.88785833</c:v>
                </c:pt>
                <c:pt idx="19">
                  <c:v>4582518.2008</c:v>
                </c:pt>
                <c:pt idx="20">
                  <c:v>5138503.68083333</c:v>
                </c:pt>
                <c:pt idx="21">
                  <c:v>5712077.432625</c:v>
                </c:pt>
                <c:pt idx="22">
                  <c:v>6302954.20100833</c:v>
                </c:pt>
                <c:pt idx="23">
                  <c:v>6910753.13135</c:v>
                </c:pt>
                <c:pt idx="24">
                  <c:v>7535005.72820833</c:v>
                </c:pt>
                <c:pt idx="25">
                  <c:v>8175126.10176667</c:v>
                </c:pt>
                <c:pt idx="26">
                  <c:v>8830408.88801667</c:v>
                </c:pt>
                <c:pt idx="27">
                  <c:v>9500024.569625</c:v>
                </c:pt>
              </c:numCache>
            </c:numRef>
          </c:val>
        </c:ser>
        <c:ser>
          <c:idx val="1"/>
          <c:order val="1"/>
          <c:tx>
            <c:strRef>
              <c:f>T4_vehicles!C172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T4_vehicles!$C$173:$C$200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2401135.43943333</c:v>
                </c:pt>
                <c:pt idx="4">
                  <c:v>2470914.22331667</c:v>
                </c:pt>
                <c:pt idx="5">
                  <c:v>2541710.740625</c:v>
                </c:pt>
                <c:pt idx="6">
                  <c:v>2615096.32235</c:v>
                </c:pt>
                <c:pt idx="7">
                  <c:v>2688741.28571667</c:v>
                </c:pt>
                <c:pt idx="8">
                  <c:v>2762530.086925</c:v>
                </c:pt>
                <c:pt idx="9">
                  <c:v>2836338.07925</c:v>
                </c:pt>
                <c:pt idx="10">
                  <c:v>2748362.377325</c:v>
                </c:pt>
                <c:pt idx="11">
                  <c:v>2651968.05529167</c:v>
                </c:pt>
                <c:pt idx="12">
                  <c:v>2547071.66425</c:v>
                </c:pt>
                <c:pt idx="13">
                  <c:v>2433616.222075</c:v>
                </c:pt>
                <c:pt idx="14">
                  <c:v>2311574.40250833</c:v>
                </c:pt>
                <c:pt idx="15">
                  <c:v>2180952.02523333</c:v>
                </c:pt>
                <c:pt idx="16">
                  <c:v>2041788.89104167</c:v>
                </c:pt>
                <c:pt idx="17">
                  <c:v>1894161.911975</c:v>
                </c:pt>
                <c:pt idx="18">
                  <c:v>1739057.12178333</c:v>
                </c:pt>
                <c:pt idx="19">
                  <c:v>1576386.261075</c:v>
                </c:pt>
                <c:pt idx="20">
                  <c:v>1406081.46175833</c:v>
                </c:pt>
                <c:pt idx="21">
                  <c:v>1228096.64801667</c:v>
                </c:pt>
                <c:pt idx="22">
                  <c:v>1042411.65631667</c:v>
                </c:pt>
                <c:pt idx="23">
                  <c:v>849035.384708333</c:v>
                </c:pt>
                <c:pt idx="24">
                  <c:v>648010.492625</c:v>
                </c:pt>
                <c:pt idx="25">
                  <c:v>439413.027966667</c:v>
                </c:pt>
                <c:pt idx="26">
                  <c:v>223357.401283333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T4_vehicles!D172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T4_vehicles!$D$173:$D$200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3071219.74810833</c:v>
                </c:pt>
                <c:pt idx="4">
                  <c:v>3160471.68098333</c:v>
                </c:pt>
                <c:pt idx="5">
                  <c:v>3251025.36591667</c:v>
                </c:pt>
                <c:pt idx="6">
                  <c:v>3344890.64486667</c:v>
                </c:pt>
                <c:pt idx="7">
                  <c:v>3439087.69103333</c:v>
                </c:pt>
                <c:pt idx="8">
                  <c:v>3533468.71583333</c:v>
                </c:pt>
                <c:pt idx="9">
                  <c:v>3627874.28740833</c:v>
                </c:pt>
                <c:pt idx="10">
                  <c:v>3515347.22681667</c:v>
                </c:pt>
                <c:pt idx="11">
                  <c:v>3392052.16375</c:v>
                </c:pt>
                <c:pt idx="12">
                  <c:v>3257882.36125</c:v>
                </c:pt>
                <c:pt idx="13">
                  <c:v>3112764.93520833</c:v>
                </c:pt>
                <c:pt idx="14">
                  <c:v>2956664.93344167</c:v>
                </c:pt>
                <c:pt idx="15">
                  <c:v>2789589.79971667</c:v>
                </c:pt>
                <c:pt idx="16">
                  <c:v>2611590.44203333</c:v>
                </c:pt>
                <c:pt idx="17">
                  <c:v>2422765.23625</c:v>
                </c:pt>
                <c:pt idx="18">
                  <c:v>2224375.388325</c:v>
                </c:pt>
                <c:pt idx="19">
                  <c:v>2016308.00835</c:v>
                </c:pt>
                <c:pt idx="20">
                  <c:v>1798476.28829167</c:v>
                </c:pt>
                <c:pt idx="21">
                  <c:v>1570821.293975</c:v>
                </c:pt>
                <c:pt idx="22">
                  <c:v>1333317.234825</c:v>
                </c:pt>
                <c:pt idx="23">
                  <c:v>1085975.49206667</c:v>
                </c:pt>
                <c:pt idx="24">
                  <c:v>828850.6301</c:v>
                </c:pt>
                <c:pt idx="25">
                  <c:v>562039.9195</c:v>
                </c:pt>
                <c:pt idx="26">
                  <c:v>285689.699316667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T4_vehicles!E172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T4_vehicles!$E$173:$E$200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111680.718116667</c:v>
                </c:pt>
                <c:pt idx="4">
                  <c:v>114926.242941667</c:v>
                </c:pt>
                <c:pt idx="5">
                  <c:v>118219.104216667</c:v>
                </c:pt>
                <c:pt idx="6">
                  <c:v>121632.387083333</c:v>
                </c:pt>
                <c:pt idx="7">
                  <c:v>125057.734216667</c:v>
                </c:pt>
                <c:pt idx="8">
                  <c:v>128489.771483333</c:v>
                </c:pt>
                <c:pt idx="9">
                  <c:v>131922.701358333</c:v>
                </c:pt>
                <c:pt idx="10">
                  <c:v>127830.80825</c:v>
                </c:pt>
                <c:pt idx="11">
                  <c:v>123347.351408333</c:v>
                </c:pt>
                <c:pt idx="12">
                  <c:v>118468.4495</c:v>
                </c:pt>
                <c:pt idx="13">
                  <c:v>113191.452191667</c:v>
                </c:pt>
                <c:pt idx="14">
                  <c:v>107515.088491667</c:v>
                </c:pt>
                <c:pt idx="15">
                  <c:v>101439.629083333</c:v>
                </c:pt>
                <c:pt idx="16">
                  <c:v>94966.9251666667</c:v>
                </c:pt>
                <c:pt idx="17">
                  <c:v>88100.5540416667</c:v>
                </c:pt>
                <c:pt idx="18">
                  <c:v>80886.3777583333</c:v>
                </c:pt>
                <c:pt idx="19">
                  <c:v>73320.2912166667</c:v>
                </c:pt>
                <c:pt idx="20">
                  <c:v>65399.1377583333</c:v>
                </c:pt>
                <c:pt idx="21">
                  <c:v>57120.774325</c:v>
                </c:pt>
                <c:pt idx="22">
                  <c:v>48484.2630833333</c:v>
                </c:pt>
                <c:pt idx="23">
                  <c:v>39490.0178916667</c:v>
                </c:pt>
                <c:pt idx="24">
                  <c:v>30140.0229166667</c:v>
                </c:pt>
                <c:pt idx="25">
                  <c:v>20437.8152583333</c:v>
                </c:pt>
                <c:pt idx="26">
                  <c:v>10388.7163416667</c:v>
                </c:pt>
                <c:pt idx="27">
                  <c:v>0</c:v>
                </c:pt>
              </c:numCache>
            </c:numRef>
          </c:val>
        </c:ser>
        <c:axId val="70532649"/>
        <c:axId val="95786717"/>
      </c:areaChart>
      <c:catAx>
        <c:axId val="705326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786717"/>
        <c:crosses val="autoZero"/>
        <c:auto val="1"/>
        <c:lblAlgn val="ctr"/>
        <c:lblOffset val="100"/>
        <c:noMultiLvlLbl val="0"/>
      </c:catAx>
      <c:valAx>
        <c:axId val="957867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53264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11</xdr:col>
      <xdr:colOff>473040</xdr:colOff>
      <xdr:row>19</xdr:row>
      <xdr:rowOff>11880</xdr:rowOff>
    </xdr:to>
    <xdr:graphicFrame>
      <xdr:nvGraphicFramePr>
        <xdr:cNvPr id="1" name="Chart 1"/>
        <xdr:cNvGraphicFramePr/>
      </xdr:nvGraphicFramePr>
      <xdr:xfrm>
        <a:off x="0" y="571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21</xdr:row>
      <xdr:rowOff>0</xdr:rowOff>
    </xdr:from>
    <xdr:to>
      <xdr:col>11</xdr:col>
      <xdr:colOff>473040</xdr:colOff>
      <xdr:row>37</xdr:row>
      <xdr:rowOff>11880</xdr:rowOff>
    </xdr:to>
    <xdr:graphicFrame>
      <xdr:nvGraphicFramePr>
        <xdr:cNvPr id="2" name="Chart 2"/>
        <xdr:cNvGraphicFramePr/>
      </xdr:nvGraphicFramePr>
      <xdr:xfrm>
        <a:off x="0" y="4000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39</xdr:row>
      <xdr:rowOff>0</xdr:rowOff>
    </xdr:from>
    <xdr:to>
      <xdr:col>11</xdr:col>
      <xdr:colOff>473040</xdr:colOff>
      <xdr:row>55</xdr:row>
      <xdr:rowOff>11880</xdr:rowOff>
    </xdr:to>
    <xdr:graphicFrame>
      <xdr:nvGraphicFramePr>
        <xdr:cNvPr id="3" name="Chart 3"/>
        <xdr:cNvGraphicFramePr/>
      </xdr:nvGraphicFramePr>
      <xdr:xfrm>
        <a:off x="0" y="7429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241</v>
      </c>
    </row>
    <row r="2" customFormat="false" ht="15" hidden="false" customHeight="false" outlineLevel="0" collapsed="false">
      <c r="A2" s="2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15"/>
  </cols>
  <sheetData>
    <row r="1" customFormat="false" ht="15" hidden="false" customHeight="false" outlineLevel="0" collapsed="false">
      <c r="A1" s="13" t="s">
        <v>243</v>
      </c>
    </row>
    <row r="2" customFormat="false" ht="15" hidden="false" customHeight="false" outlineLevel="0" collapsed="false">
      <c r="A2" s="22" t="s">
        <v>244</v>
      </c>
    </row>
    <row r="3" customFormat="false" ht="26.85" hidden="false" customHeight="false" outlineLevel="0" collapsed="false">
      <c r="A3" s="3" t="s">
        <v>113</v>
      </c>
      <c r="B3" s="3" t="s">
        <v>137</v>
      </c>
      <c r="C3" s="3" t="s">
        <v>245</v>
      </c>
      <c r="D3" s="3" t="s">
        <v>136</v>
      </c>
      <c r="E3" s="3" t="s">
        <v>138</v>
      </c>
      <c r="F3" s="3" t="s">
        <v>141</v>
      </c>
      <c r="G3" s="3" t="s">
        <v>140</v>
      </c>
      <c r="H3" s="3" t="s">
        <v>139</v>
      </c>
      <c r="I3" s="3" t="s">
        <v>135</v>
      </c>
      <c r="J3" s="3" t="s">
        <v>142</v>
      </c>
      <c r="K3" s="3" t="s">
        <v>134</v>
      </c>
    </row>
    <row r="4" customFormat="false" ht="15" hidden="false" customHeight="false" outlineLevel="0" collapsed="false">
      <c r="A4" s="4" t="n">
        <v>2018</v>
      </c>
      <c r="B4" s="27" t="n">
        <v>0.002</v>
      </c>
      <c r="C4" s="27" t="n">
        <v>0.416</v>
      </c>
      <c r="D4" s="27" t="n">
        <v>88.131</v>
      </c>
      <c r="E4" s="27" t="n">
        <v>14.215</v>
      </c>
      <c r="F4" s="27" t="n">
        <v>2.843</v>
      </c>
      <c r="G4" s="27" t="n">
        <v>1.421</v>
      </c>
      <c r="H4" s="27" t="n">
        <v>7.107</v>
      </c>
      <c r="I4" s="27" t="n">
        <v>6.325</v>
      </c>
      <c r="J4" s="27" t="n">
        <v>0.013</v>
      </c>
      <c r="K4" s="27" t="n">
        <v>21.688</v>
      </c>
    </row>
    <row r="5" customFormat="false" ht="15" hidden="false" customHeight="false" outlineLevel="0" collapsed="false">
      <c r="A5" s="4" t="n">
        <v>2019</v>
      </c>
      <c r="B5" s="27" t="n">
        <v>0.004</v>
      </c>
      <c r="C5" s="27" t="n">
        <v>0.715</v>
      </c>
      <c r="D5" s="27" t="n">
        <v>101.254</v>
      </c>
      <c r="E5" s="27" t="n">
        <v>16.331</v>
      </c>
      <c r="F5" s="27" t="n">
        <v>3.266</v>
      </c>
      <c r="G5" s="27" t="n">
        <v>1.633</v>
      </c>
      <c r="H5" s="27" t="n">
        <v>8.166</v>
      </c>
      <c r="I5" s="27" t="n">
        <v>6.533</v>
      </c>
      <c r="J5" s="27" t="n">
        <v>0.02</v>
      </c>
      <c r="K5" s="27" t="n">
        <v>25.415</v>
      </c>
    </row>
    <row r="6" customFormat="false" ht="15" hidden="false" customHeight="false" outlineLevel="0" collapsed="false">
      <c r="A6" s="4" t="n">
        <v>2020</v>
      </c>
      <c r="B6" s="27" t="n">
        <v>0.005</v>
      </c>
      <c r="C6" s="27" t="n">
        <v>0.123</v>
      </c>
      <c r="D6" s="27" t="n">
        <v>97.353</v>
      </c>
      <c r="E6" s="27" t="n">
        <v>15.702</v>
      </c>
      <c r="F6" s="27" t="n">
        <v>3.14</v>
      </c>
      <c r="G6" s="27" t="n">
        <v>1.57</v>
      </c>
      <c r="H6" s="27" t="n">
        <v>7.851</v>
      </c>
      <c r="I6" s="27" t="n">
        <v>7.142</v>
      </c>
      <c r="J6" s="27" t="n">
        <v>0.026</v>
      </c>
      <c r="K6" s="27" t="n">
        <v>24.139</v>
      </c>
    </row>
    <row r="7" customFormat="false" ht="15" hidden="false" customHeight="false" outlineLevel="0" collapsed="false">
      <c r="A7" s="4" t="n">
        <v>2021</v>
      </c>
      <c r="B7" s="27" t="n">
        <v>0.008</v>
      </c>
      <c r="C7" s="27" t="n">
        <v>1.006</v>
      </c>
      <c r="D7" s="27" t="n">
        <v>103.496</v>
      </c>
      <c r="E7" s="27" t="n">
        <v>16.693</v>
      </c>
      <c r="F7" s="27" t="n">
        <v>3.339</v>
      </c>
      <c r="G7" s="27" t="n">
        <v>1.669</v>
      </c>
      <c r="H7" s="27" t="n">
        <v>8.346</v>
      </c>
      <c r="I7" s="27" t="n">
        <v>7.341</v>
      </c>
      <c r="J7" s="27" t="n">
        <v>0.034</v>
      </c>
      <c r="K7" s="27" t="n">
        <v>25.039</v>
      </c>
    </row>
    <row r="8" customFormat="false" ht="15" hidden="false" customHeight="false" outlineLevel="0" collapsed="false">
      <c r="A8" s="4" t="n">
        <v>2022</v>
      </c>
      <c r="B8" s="27" t="n">
        <v>0.01</v>
      </c>
      <c r="C8" s="27" t="n">
        <v>1.157</v>
      </c>
      <c r="D8" s="27" t="n">
        <v>105.117</v>
      </c>
      <c r="E8" s="27" t="n">
        <v>16.954</v>
      </c>
      <c r="F8" s="27" t="n">
        <v>3.391</v>
      </c>
      <c r="G8" s="27" t="n">
        <v>1.695</v>
      </c>
      <c r="H8" s="27" t="n">
        <v>8.477</v>
      </c>
      <c r="I8" s="27" t="n">
        <v>7.321</v>
      </c>
      <c r="J8" s="27" t="n">
        <v>0.034</v>
      </c>
      <c r="K8" s="27" t="n">
        <v>25.431</v>
      </c>
    </row>
    <row r="9" customFormat="false" ht="15" hidden="false" customHeight="false" outlineLevel="0" collapsed="false">
      <c r="A9" s="4" t="n">
        <v>2023</v>
      </c>
      <c r="B9" s="27" t="n">
        <v>0.012</v>
      </c>
      <c r="C9" s="27" t="n">
        <v>1.744</v>
      </c>
      <c r="D9" s="27" t="n">
        <v>111.274</v>
      </c>
      <c r="E9" s="27" t="n">
        <v>17.947</v>
      </c>
      <c r="F9" s="27" t="n">
        <v>3.589</v>
      </c>
      <c r="G9" s="27" t="n">
        <v>1.795</v>
      </c>
      <c r="H9" s="27" t="n">
        <v>8.974</v>
      </c>
      <c r="I9" s="27" t="n">
        <v>7.23</v>
      </c>
      <c r="J9" s="27" t="n">
        <v>0.034</v>
      </c>
      <c r="K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0.016</v>
      </c>
      <c r="C10" s="27" t="n">
        <v>1.762</v>
      </c>
      <c r="D10" s="27" t="n">
        <v>113.453</v>
      </c>
      <c r="E10" s="27" t="n">
        <v>18.299</v>
      </c>
      <c r="F10" s="27" t="n">
        <v>3.66</v>
      </c>
      <c r="G10" s="27" t="n">
        <v>1.94</v>
      </c>
      <c r="H10" s="27" t="n">
        <v>9.149</v>
      </c>
      <c r="I10" s="27" t="n">
        <v>9.68</v>
      </c>
      <c r="J10" s="27" t="n">
        <v>0.034</v>
      </c>
      <c r="K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0.02</v>
      </c>
      <c r="C11" s="27" t="n">
        <v>1.601</v>
      </c>
      <c r="D11" s="27" t="n">
        <v>113.763</v>
      </c>
      <c r="E11" s="27" t="n">
        <v>18.349</v>
      </c>
      <c r="F11" s="27" t="n">
        <v>3.67</v>
      </c>
      <c r="G11" s="27" t="n">
        <v>1.938</v>
      </c>
      <c r="H11" s="27" t="n">
        <v>9.174</v>
      </c>
      <c r="I11" s="27" t="n">
        <v>12.385</v>
      </c>
      <c r="J11" s="27" t="n">
        <v>0.034</v>
      </c>
      <c r="K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0.108</v>
      </c>
      <c r="C12" s="27" t="n">
        <v>1.963</v>
      </c>
      <c r="D12" s="27" t="n">
        <v>111.073</v>
      </c>
      <c r="E12" s="27" t="n">
        <v>17.915</v>
      </c>
      <c r="F12" s="27" t="n">
        <v>3.583</v>
      </c>
      <c r="G12" s="27" t="n">
        <v>1.963</v>
      </c>
      <c r="H12" s="27" t="n">
        <v>8.957</v>
      </c>
      <c r="I12" s="27" t="n">
        <v>15.569</v>
      </c>
      <c r="J12" s="27" t="n">
        <v>0.034</v>
      </c>
      <c r="K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0.209</v>
      </c>
      <c r="C13" s="27" t="n">
        <v>0.884</v>
      </c>
      <c r="D13" s="27" t="n">
        <v>104.94</v>
      </c>
      <c r="E13" s="27" t="n">
        <v>16.926</v>
      </c>
      <c r="F13" s="27" t="n">
        <v>3.385</v>
      </c>
      <c r="G13" s="27" t="n">
        <v>1.98</v>
      </c>
      <c r="H13" s="27" t="n">
        <v>8.463</v>
      </c>
      <c r="I13" s="27" t="n">
        <v>20.867</v>
      </c>
      <c r="J13" s="27" t="n">
        <v>0.034</v>
      </c>
      <c r="K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0.323</v>
      </c>
      <c r="C14" s="27" t="n">
        <v>0.541</v>
      </c>
      <c r="D14" s="27" t="n">
        <v>90.413</v>
      </c>
      <c r="E14" s="27" t="n">
        <v>14.583</v>
      </c>
      <c r="F14" s="27" t="n">
        <v>4.376</v>
      </c>
      <c r="G14" s="27" t="n">
        <v>2</v>
      </c>
      <c r="H14" s="27" t="n">
        <v>7.291</v>
      </c>
      <c r="I14" s="27" t="n">
        <v>32.381</v>
      </c>
      <c r="J14" s="27" t="n">
        <v>0.034</v>
      </c>
      <c r="K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0.452</v>
      </c>
      <c r="C15" s="27" t="n">
        <v>0</v>
      </c>
      <c r="D15" s="27" t="n">
        <v>62.627</v>
      </c>
      <c r="E15" s="27" t="n">
        <v>10.101</v>
      </c>
      <c r="F15" s="27" t="n">
        <v>4.042</v>
      </c>
      <c r="G15" s="27" t="n">
        <v>2.02</v>
      </c>
      <c r="H15" s="27" t="n">
        <v>5.051</v>
      </c>
      <c r="I15" s="27" t="n">
        <v>53.536</v>
      </c>
      <c r="J15" s="27" t="n">
        <v>0.034</v>
      </c>
      <c r="K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0.597</v>
      </c>
      <c r="C16" s="27" t="n">
        <v>0</v>
      </c>
      <c r="D16" s="27" t="n">
        <v>34.62</v>
      </c>
      <c r="E16" s="27" t="n">
        <v>5.584</v>
      </c>
      <c r="F16" s="27" t="n">
        <v>3.186</v>
      </c>
      <c r="G16" s="27" t="n">
        <v>2.061</v>
      </c>
      <c r="H16" s="27" t="n">
        <v>2.792</v>
      </c>
      <c r="I16" s="27" t="n">
        <v>75.878</v>
      </c>
      <c r="J16" s="27" t="n">
        <v>0.034</v>
      </c>
      <c r="K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0.758</v>
      </c>
      <c r="C17" s="27" t="n">
        <v>0</v>
      </c>
      <c r="D17" s="27" t="n">
        <v>19.424</v>
      </c>
      <c r="E17" s="27" t="n">
        <v>3.133</v>
      </c>
      <c r="F17" s="27" t="n">
        <v>2.823</v>
      </c>
      <c r="G17" s="27" t="n">
        <v>2.157</v>
      </c>
      <c r="H17" s="27" t="n">
        <v>1.566</v>
      </c>
      <c r="I17" s="27" t="n">
        <v>91.574</v>
      </c>
      <c r="J17" s="27" t="n">
        <v>0.035</v>
      </c>
      <c r="K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0.938</v>
      </c>
      <c r="C18" s="27" t="n">
        <v>0</v>
      </c>
      <c r="D18" s="27" t="n">
        <v>12.019</v>
      </c>
      <c r="E18" s="27" t="n">
        <v>1.938</v>
      </c>
      <c r="F18" s="27" t="n">
        <v>2.675</v>
      </c>
      <c r="G18" s="27" t="n">
        <v>2.219</v>
      </c>
      <c r="H18" s="27" t="n">
        <v>0.969</v>
      </c>
      <c r="I18" s="27" t="n">
        <v>100.001</v>
      </c>
      <c r="J18" s="27" t="n">
        <v>0.035</v>
      </c>
      <c r="K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1.137</v>
      </c>
      <c r="C19" s="27" t="n">
        <v>0</v>
      </c>
      <c r="D19" s="27" t="n">
        <v>7.755</v>
      </c>
      <c r="E19" s="27" t="n">
        <v>1.251</v>
      </c>
      <c r="F19" s="27" t="n">
        <v>2.73</v>
      </c>
      <c r="G19" s="27" t="n">
        <v>2.354</v>
      </c>
      <c r="H19" s="27" t="n">
        <v>0.625</v>
      </c>
      <c r="I19" s="27" t="n">
        <v>109.724</v>
      </c>
      <c r="J19" s="27" t="n">
        <v>0.036</v>
      </c>
      <c r="K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1.356</v>
      </c>
      <c r="C20" s="27" t="n">
        <v>0</v>
      </c>
      <c r="D20" s="27" t="n">
        <v>3.984</v>
      </c>
      <c r="E20" s="27" t="n">
        <v>0.643</v>
      </c>
      <c r="F20" s="27" t="n">
        <v>2.582</v>
      </c>
      <c r="G20" s="27" t="n">
        <v>2.76</v>
      </c>
      <c r="H20" s="27" t="n">
        <v>0.321</v>
      </c>
      <c r="I20" s="27" t="n">
        <v>119.833</v>
      </c>
      <c r="J20" s="27" t="n">
        <v>0.036</v>
      </c>
      <c r="K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1.598</v>
      </c>
      <c r="C21" s="27" t="n">
        <v>0</v>
      </c>
      <c r="D21" s="27" t="n">
        <v>0</v>
      </c>
      <c r="E21" s="27" t="n">
        <v>0</v>
      </c>
      <c r="F21" s="27" t="n">
        <v>1.067</v>
      </c>
      <c r="G21" s="27" t="n">
        <v>4.61</v>
      </c>
      <c r="H21" s="27" t="n">
        <v>0</v>
      </c>
      <c r="I21" s="27" t="n">
        <v>131.452</v>
      </c>
      <c r="J21" s="27" t="n">
        <v>0.037</v>
      </c>
      <c r="K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1.639</v>
      </c>
      <c r="C22" s="27" t="n">
        <v>0</v>
      </c>
      <c r="D22" s="27" t="n">
        <v>0</v>
      </c>
      <c r="E22" s="27" t="n">
        <v>0</v>
      </c>
      <c r="F22" s="27" t="n">
        <v>1.156</v>
      </c>
      <c r="G22" s="27" t="n">
        <v>4.808</v>
      </c>
      <c r="H22" s="27" t="n">
        <v>0</v>
      </c>
      <c r="I22" s="27" t="n">
        <v>137.844</v>
      </c>
      <c r="J22" s="27" t="n">
        <v>0.038</v>
      </c>
      <c r="K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1.681</v>
      </c>
      <c r="C23" s="27" t="n">
        <v>0.077</v>
      </c>
      <c r="D23" s="27" t="n">
        <v>0</v>
      </c>
      <c r="E23" s="27" t="n">
        <v>0</v>
      </c>
      <c r="F23" s="27" t="n">
        <v>1.179</v>
      </c>
      <c r="G23" s="27" t="n">
        <v>5.015</v>
      </c>
      <c r="H23" s="27" t="n">
        <v>0</v>
      </c>
      <c r="I23" s="27" t="n">
        <v>144.783</v>
      </c>
      <c r="J23" s="27" t="n">
        <v>0.038</v>
      </c>
      <c r="K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1.724</v>
      </c>
      <c r="C24" s="27" t="n">
        <v>0.134</v>
      </c>
      <c r="D24" s="27" t="n">
        <v>0</v>
      </c>
      <c r="E24" s="27" t="n">
        <v>0</v>
      </c>
      <c r="F24" s="27" t="n">
        <v>1.216</v>
      </c>
      <c r="G24" s="27" t="n">
        <v>5.217</v>
      </c>
      <c r="H24" s="27" t="n">
        <v>0</v>
      </c>
      <c r="I24" s="27" t="n">
        <v>151.45</v>
      </c>
      <c r="J24" s="27" t="n">
        <v>0.039</v>
      </c>
      <c r="K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1.767</v>
      </c>
      <c r="C25" s="27" t="n">
        <v>0.257</v>
      </c>
      <c r="D25" s="27" t="n">
        <v>0</v>
      </c>
      <c r="E25" s="27" t="n">
        <v>0</v>
      </c>
      <c r="F25" s="27" t="n">
        <v>1.173</v>
      </c>
      <c r="G25" s="27" t="n">
        <v>5.409</v>
      </c>
      <c r="H25" s="27" t="n">
        <v>0</v>
      </c>
      <c r="I25" s="27" t="n">
        <v>157.503</v>
      </c>
      <c r="J25" s="27" t="n">
        <v>0.04</v>
      </c>
      <c r="K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1.81</v>
      </c>
      <c r="C26" s="27" t="n">
        <v>0.283</v>
      </c>
      <c r="D26" s="27" t="n">
        <v>0</v>
      </c>
      <c r="E26" s="27" t="n">
        <v>0</v>
      </c>
      <c r="F26" s="27" t="n">
        <v>1.204</v>
      </c>
      <c r="G26" s="27" t="n">
        <v>5.572</v>
      </c>
      <c r="H26" s="27" t="n">
        <v>0</v>
      </c>
      <c r="I26" s="27" t="n">
        <v>162.415</v>
      </c>
      <c r="J26" s="27" t="n">
        <v>0.041</v>
      </c>
      <c r="K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1.855</v>
      </c>
      <c r="C27" s="27" t="n">
        <v>0.283</v>
      </c>
      <c r="D27" s="27" t="n">
        <v>0</v>
      </c>
      <c r="E27" s="27" t="n">
        <v>0</v>
      </c>
      <c r="F27" s="27" t="n">
        <v>1.287</v>
      </c>
      <c r="G27" s="27" t="n">
        <v>5.787</v>
      </c>
      <c r="H27" s="27" t="n">
        <v>0</v>
      </c>
      <c r="I27" s="27" t="n">
        <v>168.638</v>
      </c>
      <c r="J27" s="27" t="n">
        <v>0.041</v>
      </c>
      <c r="K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1.9</v>
      </c>
      <c r="C28" s="27" t="n">
        <v>0.283</v>
      </c>
      <c r="D28" s="27" t="n">
        <v>0</v>
      </c>
      <c r="E28" s="27" t="n">
        <v>0</v>
      </c>
      <c r="F28" s="27" t="n">
        <v>1.335</v>
      </c>
      <c r="G28" s="27" t="n">
        <v>5.95</v>
      </c>
      <c r="H28" s="27" t="n">
        <v>0</v>
      </c>
      <c r="I28" s="27" t="n">
        <v>173.245</v>
      </c>
      <c r="J28" s="27" t="n">
        <v>0.042</v>
      </c>
      <c r="K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1.946</v>
      </c>
      <c r="C29" s="27" t="n">
        <v>0.283</v>
      </c>
      <c r="D29" s="27" t="n">
        <v>0</v>
      </c>
      <c r="E29" s="27" t="n">
        <v>0</v>
      </c>
      <c r="F29" s="27" t="n">
        <v>1.344</v>
      </c>
      <c r="G29" s="27" t="n">
        <v>6.049</v>
      </c>
      <c r="H29" s="27" t="n">
        <v>0</v>
      </c>
      <c r="I29" s="27" t="n">
        <v>175.977</v>
      </c>
      <c r="J29" s="27" t="n">
        <v>0.043</v>
      </c>
      <c r="K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1.993</v>
      </c>
      <c r="C30" s="27" t="n">
        <v>0.223</v>
      </c>
      <c r="D30" s="27" t="n">
        <v>0</v>
      </c>
      <c r="E30" s="27" t="n">
        <v>0</v>
      </c>
      <c r="F30" s="27" t="n">
        <v>1.449</v>
      </c>
      <c r="G30" s="27" t="n">
        <v>6.211</v>
      </c>
      <c r="H30" s="27" t="n">
        <v>0</v>
      </c>
      <c r="I30" s="27" t="n">
        <v>180.521</v>
      </c>
      <c r="J30" s="27" t="n">
        <v>0.044</v>
      </c>
      <c r="K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2.041</v>
      </c>
      <c r="C31" s="27" t="n">
        <v>0.049</v>
      </c>
      <c r="D31" s="27" t="n">
        <v>0</v>
      </c>
      <c r="E31" s="27" t="n">
        <v>0</v>
      </c>
      <c r="F31" s="27" t="n">
        <v>1.665</v>
      </c>
      <c r="G31" s="27" t="n">
        <v>6.372</v>
      </c>
      <c r="H31" s="27" t="n">
        <v>0</v>
      </c>
      <c r="I31" s="27" t="n">
        <v>184.939</v>
      </c>
      <c r="J31" s="27" t="n">
        <v>0.045</v>
      </c>
      <c r="K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2.091</v>
      </c>
      <c r="C32" s="27" t="n">
        <v>0.049</v>
      </c>
      <c r="D32" s="27" t="n">
        <v>0</v>
      </c>
      <c r="E32" s="27" t="n">
        <v>0</v>
      </c>
      <c r="F32" s="27" t="n">
        <v>1.709</v>
      </c>
      <c r="G32" s="27" t="n">
        <v>6.536</v>
      </c>
      <c r="H32" s="27" t="n">
        <v>0</v>
      </c>
      <c r="I32" s="27" t="n">
        <v>189.54</v>
      </c>
      <c r="J32" s="27" t="n">
        <v>0.046</v>
      </c>
      <c r="K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2.141</v>
      </c>
      <c r="C33" s="27" t="n">
        <v>0.049</v>
      </c>
      <c r="D33" s="27" t="n">
        <v>0</v>
      </c>
      <c r="E33" s="27" t="n">
        <v>0</v>
      </c>
      <c r="F33" s="27" t="n">
        <v>1.75</v>
      </c>
      <c r="G33" s="27" t="n">
        <v>6.698</v>
      </c>
      <c r="H33" s="27" t="n">
        <v>0</v>
      </c>
      <c r="I33" s="27" t="n">
        <v>194.035</v>
      </c>
      <c r="J33" s="27" t="n">
        <v>0.047</v>
      </c>
      <c r="K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2.193</v>
      </c>
      <c r="C34" s="27" t="n">
        <v>0.049</v>
      </c>
      <c r="D34" s="27" t="n">
        <v>0</v>
      </c>
      <c r="E34" s="27" t="n">
        <v>0</v>
      </c>
      <c r="F34" s="27" t="n">
        <v>1.788</v>
      </c>
      <c r="G34" s="27" t="n">
        <v>6.858</v>
      </c>
      <c r="H34" s="27" t="n">
        <v>0</v>
      </c>
      <c r="I34" s="27" t="n">
        <v>198.457</v>
      </c>
      <c r="J34" s="27" t="n">
        <v>0.048</v>
      </c>
      <c r="K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2.246</v>
      </c>
      <c r="C35" s="27" t="n">
        <v>0.049</v>
      </c>
      <c r="D35" s="27" t="n">
        <v>0</v>
      </c>
      <c r="E35" s="27" t="n">
        <v>0</v>
      </c>
      <c r="F35" s="27" t="n">
        <v>1.822</v>
      </c>
      <c r="G35" s="27" t="n">
        <v>7.015</v>
      </c>
      <c r="H35" s="27" t="n">
        <v>0</v>
      </c>
      <c r="I35" s="27" t="n">
        <v>202.761</v>
      </c>
      <c r="J35" s="27" t="n">
        <v>0.05</v>
      </c>
      <c r="K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2.3</v>
      </c>
      <c r="C36" s="27" t="n">
        <v>0.049</v>
      </c>
      <c r="D36" s="27" t="n">
        <v>0</v>
      </c>
      <c r="E36" s="27" t="n">
        <v>0</v>
      </c>
      <c r="F36" s="27" t="n">
        <v>1.855</v>
      </c>
      <c r="G36" s="27" t="n">
        <v>7.172</v>
      </c>
      <c r="H36" s="27" t="n">
        <v>0</v>
      </c>
      <c r="I36" s="27" t="n">
        <v>207.032</v>
      </c>
      <c r="J36" s="27" t="n">
        <v>0.051</v>
      </c>
      <c r="K36" s="27" t="n">
        <v>207.032</v>
      </c>
    </row>
    <row r="38" customFormat="false" ht="15" hidden="false" customHeight="false" outlineLevel="0" collapsed="false">
      <c r="A38" s="13" t="s">
        <v>246</v>
      </c>
    </row>
    <row r="39" customFormat="false" ht="26.85" hidden="false" customHeight="false" outlineLevel="0" collapsed="false">
      <c r="A39" s="3" t="s">
        <v>113</v>
      </c>
      <c r="B39" s="3" t="s">
        <v>247</v>
      </c>
      <c r="C39" s="3" t="s">
        <v>248</v>
      </c>
      <c r="D39" s="3" t="s">
        <v>249</v>
      </c>
      <c r="E39" s="3" t="s">
        <v>250</v>
      </c>
    </row>
    <row r="40" customFormat="false" ht="15" hidden="false" customHeight="false" outlineLevel="0" collapsed="false">
      <c r="A40" s="4" t="n">
        <v>2018</v>
      </c>
      <c r="B40" s="27" t="n">
        <v>0</v>
      </c>
      <c r="C40" s="27" t="n">
        <v>0</v>
      </c>
      <c r="D40" s="27" t="n">
        <v>0</v>
      </c>
      <c r="E40" s="27" t="n">
        <v>0</v>
      </c>
    </row>
    <row r="41" customFormat="false" ht="15" hidden="false" customHeight="false" outlineLevel="0" collapsed="false">
      <c r="A41" s="4" t="n">
        <v>2019</v>
      </c>
      <c r="B41" s="27" t="n">
        <v>0</v>
      </c>
      <c r="C41" s="27" t="n">
        <v>0</v>
      </c>
      <c r="D41" s="27" t="n">
        <v>0</v>
      </c>
      <c r="E41" s="27" t="n">
        <v>0</v>
      </c>
    </row>
    <row r="42" customFormat="false" ht="15" hidden="false" customHeight="false" outlineLevel="0" collapsed="false">
      <c r="A42" s="4" t="n">
        <v>2020</v>
      </c>
      <c r="B42" s="27" t="n">
        <v>0</v>
      </c>
      <c r="C42" s="27" t="n">
        <v>0</v>
      </c>
      <c r="D42" s="27" t="n">
        <v>0</v>
      </c>
      <c r="E42" s="27" t="n">
        <v>0</v>
      </c>
    </row>
    <row r="43" customFormat="false" ht="15" hidden="false" customHeight="false" outlineLevel="0" collapsed="false">
      <c r="A43" s="4" t="n">
        <v>2021</v>
      </c>
      <c r="B43" s="27" t="n">
        <v>0</v>
      </c>
      <c r="C43" s="27" t="n">
        <v>0</v>
      </c>
      <c r="D43" s="27" t="n">
        <v>0</v>
      </c>
      <c r="E43" s="27" t="n">
        <v>0</v>
      </c>
    </row>
    <row r="44" customFormat="false" ht="15" hidden="false" customHeight="false" outlineLevel="0" collapsed="false">
      <c r="A44" s="4" t="n">
        <v>2022</v>
      </c>
      <c r="B44" s="27" t="n">
        <v>0</v>
      </c>
      <c r="C44" s="27" t="n">
        <v>0</v>
      </c>
      <c r="D44" s="27" t="n">
        <v>0</v>
      </c>
      <c r="E44" s="27" t="n">
        <v>0</v>
      </c>
    </row>
    <row r="45" customFormat="false" ht="15" hidden="false" customHeight="false" outlineLevel="0" collapsed="false">
      <c r="A45" s="4" t="n">
        <v>2023</v>
      </c>
      <c r="B45" s="27" t="n">
        <v>0</v>
      </c>
      <c r="C45" s="27" t="n">
        <v>0</v>
      </c>
      <c r="D45" s="27" t="n">
        <v>0</v>
      </c>
      <c r="E45" s="27" t="n">
        <v>0</v>
      </c>
    </row>
    <row r="46" customFormat="false" ht="15" hidden="false" customHeight="false" outlineLevel="0" collapsed="false">
      <c r="A46" s="4" t="n">
        <v>2024</v>
      </c>
      <c r="B46" s="27" t="n">
        <v>0</v>
      </c>
      <c r="C46" s="27" t="n">
        <v>0</v>
      </c>
      <c r="D46" s="27" t="n">
        <v>0</v>
      </c>
      <c r="E46" s="27" t="n">
        <v>0</v>
      </c>
    </row>
    <row r="47" customFormat="false" ht="15" hidden="false" customHeight="false" outlineLevel="0" collapsed="false">
      <c r="A47" s="4" t="n">
        <v>2025</v>
      </c>
      <c r="B47" s="27" t="n">
        <v>0.002</v>
      </c>
      <c r="C47" s="27" t="n">
        <v>0</v>
      </c>
      <c r="D47" s="27" t="n">
        <v>0</v>
      </c>
      <c r="E47" s="27" t="n">
        <v>0</v>
      </c>
    </row>
    <row r="48" customFormat="false" ht="15" hidden="false" customHeight="false" outlineLevel="0" collapsed="false">
      <c r="A48" s="4" t="n">
        <v>2026</v>
      </c>
      <c r="B48" s="27" t="n">
        <v>0.14</v>
      </c>
      <c r="C48" s="27" t="n">
        <v>0</v>
      </c>
      <c r="D48" s="27" t="n">
        <v>0</v>
      </c>
      <c r="E48" s="27" t="n">
        <v>0</v>
      </c>
    </row>
    <row r="49" customFormat="false" ht="15" hidden="false" customHeight="false" outlineLevel="0" collapsed="false">
      <c r="A49" s="4" t="n">
        <v>2027</v>
      </c>
      <c r="B49" s="27" t="n">
        <v>0</v>
      </c>
      <c r="C49" s="27" t="n">
        <v>0</v>
      </c>
      <c r="D49" s="27" t="n">
        <v>0</v>
      </c>
      <c r="E49" s="27" t="n">
        <v>0</v>
      </c>
    </row>
    <row r="50" customFormat="false" ht="15" hidden="false" customHeight="false" outlineLevel="0" collapsed="false">
      <c r="A50" s="4" t="n">
        <v>2028</v>
      </c>
      <c r="B50" s="27" t="n">
        <v>0</v>
      </c>
      <c r="C50" s="27" t="n">
        <v>0</v>
      </c>
      <c r="D50" s="27" t="n">
        <v>0</v>
      </c>
      <c r="E50" s="27" t="n">
        <v>0</v>
      </c>
    </row>
    <row r="51" customFormat="false" ht="15" hidden="false" customHeight="false" outlineLevel="0" collapsed="false">
      <c r="A51" s="4" t="n">
        <v>2029</v>
      </c>
      <c r="B51" s="27" t="n">
        <v>0</v>
      </c>
      <c r="C51" s="27" t="n">
        <v>0</v>
      </c>
      <c r="D51" s="27" t="n">
        <v>0</v>
      </c>
      <c r="E51" s="27" t="n">
        <v>0</v>
      </c>
    </row>
    <row r="52" customFormat="false" ht="15" hidden="false" customHeight="false" outlineLevel="0" collapsed="false">
      <c r="A52" s="4" t="n">
        <v>2030</v>
      </c>
      <c r="B52" s="27" t="n">
        <v>0</v>
      </c>
      <c r="C52" s="27" t="n">
        <v>0</v>
      </c>
      <c r="D52" s="27" t="n">
        <v>0</v>
      </c>
      <c r="E52" s="27" t="n">
        <v>0</v>
      </c>
    </row>
    <row r="53" customFormat="false" ht="15" hidden="false" customHeight="false" outlineLevel="0" collapsed="false">
      <c r="A53" s="4" t="n">
        <v>2031</v>
      </c>
      <c r="B53" s="27" t="n">
        <v>0</v>
      </c>
      <c r="C53" s="27" t="n">
        <v>0</v>
      </c>
      <c r="D53" s="27" t="n">
        <v>0</v>
      </c>
      <c r="E53" s="27" t="n">
        <v>0</v>
      </c>
    </row>
    <row r="54" customFormat="false" ht="15" hidden="false" customHeight="false" outlineLevel="0" collapsed="false">
      <c r="A54" s="4" t="n">
        <v>2032</v>
      </c>
      <c r="B54" s="27" t="n">
        <v>5.044</v>
      </c>
      <c r="C54" s="27" t="n">
        <v>0</v>
      </c>
      <c r="D54" s="27" t="n">
        <v>0</v>
      </c>
      <c r="E54" s="27" t="n">
        <v>0</v>
      </c>
    </row>
    <row r="55" customFormat="false" ht="15" hidden="false" customHeight="false" outlineLevel="0" collapsed="false">
      <c r="A55" s="4" t="n">
        <v>2033</v>
      </c>
      <c r="B55" s="27" t="n">
        <v>15.847</v>
      </c>
      <c r="C55" s="27" t="n">
        <v>0</v>
      </c>
      <c r="D55" s="27" t="n">
        <v>0</v>
      </c>
      <c r="E55" s="27" t="n">
        <v>0</v>
      </c>
    </row>
    <row r="56" customFormat="false" ht="15" hidden="false" customHeight="false" outlineLevel="0" collapsed="false">
      <c r="A56" s="4" t="n">
        <v>2034</v>
      </c>
      <c r="B56" s="27" t="n">
        <v>24.987</v>
      </c>
      <c r="C56" s="27" t="n">
        <v>3.399</v>
      </c>
      <c r="D56" s="27" t="n">
        <v>0</v>
      </c>
      <c r="E56" s="27" t="n">
        <v>0</v>
      </c>
    </row>
    <row r="57" customFormat="false" ht="15" hidden="false" customHeight="false" outlineLevel="0" collapsed="false">
      <c r="A57" s="4" t="n">
        <v>2035</v>
      </c>
      <c r="B57" s="27" t="n">
        <v>25.292</v>
      </c>
      <c r="C57" s="27" t="n">
        <v>16.172</v>
      </c>
      <c r="D57" s="27" t="n">
        <v>0</v>
      </c>
      <c r="E57" s="27" t="n">
        <v>1.365</v>
      </c>
    </row>
    <row r="58" customFormat="false" ht="15" hidden="false" customHeight="false" outlineLevel="0" collapsed="false">
      <c r="A58" s="4" t="n">
        <v>2036</v>
      </c>
      <c r="B58" s="27" t="n">
        <v>25.58</v>
      </c>
      <c r="C58" s="27" t="n">
        <v>17.025</v>
      </c>
      <c r="D58" s="27" t="n">
        <v>0</v>
      </c>
      <c r="E58" s="27" t="n">
        <v>2.561</v>
      </c>
    </row>
    <row r="59" customFormat="false" ht="15" hidden="false" customHeight="false" outlineLevel="0" collapsed="false">
      <c r="A59" s="4" t="n">
        <v>2037</v>
      </c>
      <c r="B59" s="27" t="n">
        <v>25.992</v>
      </c>
      <c r="C59" s="27" t="n">
        <v>17.522</v>
      </c>
      <c r="D59" s="27" t="n">
        <v>0</v>
      </c>
      <c r="E59" s="27" t="n">
        <v>4.1</v>
      </c>
    </row>
    <row r="60" customFormat="false" ht="15" hidden="false" customHeight="false" outlineLevel="0" collapsed="false">
      <c r="A60" s="4" t="n">
        <v>2038</v>
      </c>
      <c r="B60" s="27" t="n">
        <v>26.484</v>
      </c>
      <c r="C60" s="27" t="n">
        <v>17.791</v>
      </c>
      <c r="D60" s="27" t="n">
        <v>0</v>
      </c>
      <c r="E60" s="27" t="n">
        <v>5.663</v>
      </c>
    </row>
    <row r="61" customFormat="false" ht="15" hidden="false" customHeight="false" outlineLevel="0" collapsed="false">
      <c r="A61" s="4" t="n">
        <v>2039</v>
      </c>
      <c r="B61" s="27" t="n">
        <v>26.384</v>
      </c>
      <c r="C61" s="27" t="n">
        <v>19.847</v>
      </c>
      <c r="D61" s="27" t="n">
        <v>0</v>
      </c>
      <c r="E61" s="27" t="n">
        <v>6.398</v>
      </c>
    </row>
    <row r="62" customFormat="false" ht="15" hidden="false" customHeight="false" outlineLevel="0" collapsed="false">
      <c r="A62" s="4" t="n">
        <v>2040</v>
      </c>
      <c r="B62" s="27" t="n">
        <v>26.317</v>
      </c>
      <c r="C62" s="27" t="n">
        <v>20.608</v>
      </c>
      <c r="D62" s="27" t="n">
        <v>0</v>
      </c>
      <c r="E62" s="27" t="n">
        <v>6.468</v>
      </c>
    </row>
    <row r="63" customFormat="false" ht="15" hidden="false" customHeight="false" outlineLevel="0" collapsed="false">
      <c r="A63" s="4" t="n">
        <v>2041</v>
      </c>
      <c r="B63" s="27" t="n">
        <v>26.229</v>
      </c>
      <c r="C63" s="27" t="n">
        <v>21.033</v>
      </c>
      <c r="D63" s="27" t="n">
        <v>0</v>
      </c>
      <c r="E63" s="27" t="n">
        <v>6.989</v>
      </c>
    </row>
    <row r="64" customFormat="false" ht="15" hidden="false" customHeight="false" outlineLevel="0" collapsed="false">
      <c r="A64" s="4" t="n">
        <v>2042</v>
      </c>
      <c r="B64" s="27" t="n">
        <v>26.159</v>
      </c>
      <c r="C64" s="27" t="n">
        <v>21.666</v>
      </c>
      <c r="D64" s="27" t="n">
        <v>0</v>
      </c>
      <c r="E64" s="27" t="n">
        <v>7.934</v>
      </c>
    </row>
    <row r="65" customFormat="false" ht="15" hidden="false" customHeight="false" outlineLevel="0" collapsed="false">
      <c r="A65" s="4" t="n">
        <v>2043</v>
      </c>
      <c r="B65" s="27" t="n">
        <v>26.191</v>
      </c>
      <c r="C65" s="27" t="n">
        <v>22.042</v>
      </c>
      <c r="D65" s="27" t="n">
        <v>0</v>
      </c>
      <c r="E65" s="27" t="n">
        <v>8.53</v>
      </c>
    </row>
    <row r="66" customFormat="false" ht="15" hidden="false" customHeight="false" outlineLevel="0" collapsed="false">
      <c r="A66" s="4" t="n">
        <v>2044</v>
      </c>
      <c r="B66" s="27" t="n">
        <v>26.361</v>
      </c>
      <c r="C66" s="27" t="n">
        <v>22.653</v>
      </c>
      <c r="D66" s="27" t="n">
        <v>0</v>
      </c>
      <c r="E66" s="27" t="n">
        <v>9.476</v>
      </c>
    </row>
    <row r="67" customFormat="false" ht="15" hidden="false" customHeight="false" outlineLevel="0" collapsed="false">
      <c r="A67" s="4" t="n">
        <v>2045</v>
      </c>
      <c r="B67" s="27" t="n">
        <v>26.529</v>
      </c>
      <c r="C67" s="27" t="n">
        <v>23.184</v>
      </c>
      <c r="D67" s="27" t="n">
        <v>0</v>
      </c>
      <c r="E67" s="27" t="n">
        <v>10.471</v>
      </c>
    </row>
    <row r="68" customFormat="false" ht="15" hidden="false" customHeight="false" outlineLevel="0" collapsed="false">
      <c r="A68" s="4" t="n">
        <v>2046</v>
      </c>
      <c r="B68" s="27" t="n">
        <v>26.735</v>
      </c>
      <c r="C68" s="27" t="n">
        <v>23.568</v>
      </c>
      <c r="D68" s="27" t="n">
        <v>0</v>
      </c>
      <c r="E68" s="27" t="n">
        <v>11.548</v>
      </c>
    </row>
    <row r="69" customFormat="false" ht="15" hidden="false" customHeight="false" outlineLevel="0" collapsed="false">
      <c r="A69" s="4" t="n">
        <v>2047</v>
      </c>
      <c r="B69" s="27" t="n">
        <v>26.832</v>
      </c>
      <c r="C69" s="27" t="n">
        <v>23.946</v>
      </c>
      <c r="D69" s="27" t="n">
        <v>0</v>
      </c>
      <c r="E69" s="27" t="n">
        <v>12.361</v>
      </c>
    </row>
    <row r="70" customFormat="false" ht="15" hidden="false" customHeight="false" outlineLevel="0" collapsed="false">
      <c r="A70" s="4" t="n">
        <v>2048</v>
      </c>
      <c r="B70" s="27" t="n">
        <v>26.865</v>
      </c>
      <c r="C70" s="27" t="n">
        <v>24.232</v>
      </c>
      <c r="D70" s="27" t="n">
        <v>0</v>
      </c>
      <c r="E70" s="27" t="n">
        <v>13.101</v>
      </c>
    </row>
    <row r="71" customFormat="false" ht="15" hidden="false" customHeight="false" outlineLevel="0" collapsed="false">
      <c r="A71" s="4" t="n">
        <v>2049</v>
      </c>
      <c r="B71" s="27" t="n">
        <v>26.955</v>
      </c>
      <c r="C71" s="27" t="n">
        <v>24.68</v>
      </c>
      <c r="D71" s="27" t="n">
        <v>0</v>
      </c>
      <c r="E71" s="27" t="n">
        <v>13.091</v>
      </c>
    </row>
    <row r="72" customFormat="false" ht="15" hidden="false" customHeight="false" outlineLevel="0" collapsed="false">
      <c r="A72" s="4" t="n">
        <v>2050</v>
      </c>
      <c r="B72" s="27" t="n">
        <v>27.097</v>
      </c>
      <c r="C72" s="27" t="n">
        <v>24.75</v>
      </c>
      <c r="D72" s="27" t="n">
        <v>0</v>
      </c>
      <c r="E72" s="27" t="n">
        <v>13.424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251</v>
      </c>
    </row>
    <row r="2" customFormat="false" ht="15" hidden="false" customHeight="false" outlineLevel="0" collapsed="false">
      <c r="A2" s="22" t="s">
        <v>252</v>
      </c>
    </row>
    <row r="3" customFormat="false" ht="39.55" hidden="false" customHeight="false" outlineLevel="0" collapsed="false">
      <c r="A3" s="3" t="s">
        <v>113</v>
      </c>
      <c r="B3" s="3" t="s">
        <v>253</v>
      </c>
      <c r="C3" s="3" t="s">
        <v>254</v>
      </c>
      <c r="D3" s="3" t="s">
        <v>255</v>
      </c>
      <c r="E3" s="3" t="s">
        <v>256</v>
      </c>
      <c r="F3" s="3" t="s">
        <v>257</v>
      </c>
      <c r="G3" s="3" t="s">
        <v>258</v>
      </c>
      <c r="H3" s="3" t="s">
        <v>259</v>
      </c>
      <c r="I3" s="3" t="s">
        <v>260</v>
      </c>
      <c r="J3" s="3" t="s">
        <v>261</v>
      </c>
      <c r="K3" s="3" t="s">
        <v>262</v>
      </c>
      <c r="L3" s="3" t="s">
        <v>263</v>
      </c>
      <c r="M3" s="3" t="s">
        <v>264</v>
      </c>
      <c r="N3" s="3" t="s">
        <v>265</v>
      </c>
      <c r="O3" s="3" t="s">
        <v>266</v>
      </c>
      <c r="P3" s="3" t="s">
        <v>267</v>
      </c>
      <c r="Q3" s="3" t="s">
        <v>268</v>
      </c>
      <c r="R3" s="3" t="s">
        <v>269</v>
      </c>
      <c r="S3" s="3" t="s">
        <v>270</v>
      </c>
      <c r="T3" s="3" t="s">
        <v>271</v>
      </c>
      <c r="U3" s="3" t="s">
        <v>272</v>
      </c>
      <c r="V3" s="3" t="s">
        <v>273</v>
      </c>
      <c r="W3" s="3" t="s">
        <v>274</v>
      </c>
      <c r="X3" s="3" t="s">
        <v>275</v>
      </c>
      <c r="Y3" s="3" t="s">
        <v>276</v>
      </c>
      <c r="Z3" s="3" t="s">
        <v>277</v>
      </c>
    </row>
    <row r="4" customFormat="false" ht="15" hidden="false" customHeight="false" outlineLevel="0" collapsed="false">
      <c r="A4" s="4" t="n">
        <v>2018</v>
      </c>
      <c r="B4" s="27" t="n">
        <v>0</v>
      </c>
      <c r="C4" s="27" t="n">
        <v>0</v>
      </c>
      <c r="D4" s="27" t="n">
        <v>0.007</v>
      </c>
      <c r="E4" s="27" t="n">
        <v>81.009</v>
      </c>
      <c r="F4" s="27" t="n">
        <v>401.216</v>
      </c>
      <c r="G4" s="27" t="n">
        <v>24.016</v>
      </c>
      <c r="H4" s="27" t="n">
        <v>0</v>
      </c>
      <c r="I4" s="27" t="n">
        <v>171.17</v>
      </c>
      <c r="J4" s="27" t="n">
        <v>118.686</v>
      </c>
      <c r="K4" s="27" t="n">
        <v>0</v>
      </c>
      <c r="L4" s="27" t="n">
        <v>77.367</v>
      </c>
      <c r="M4" s="27" t="n">
        <v>0</v>
      </c>
      <c r="N4" s="27" t="n">
        <v>156.208</v>
      </c>
      <c r="O4" s="27" t="n">
        <v>0</v>
      </c>
      <c r="P4" s="27" t="n">
        <v>42.804</v>
      </c>
      <c r="Q4" s="27" t="n">
        <v>33.868</v>
      </c>
      <c r="R4" s="27" t="n">
        <v>0</v>
      </c>
      <c r="S4" s="27" t="n">
        <v>526.469</v>
      </c>
      <c r="T4" s="27" t="n">
        <v>0</v>
      </c>
      <c r="U4" s="27" t="n">
        <v>49.126</v>
      </c>
      <c r="V4" s="27" t="n">
        <v>0</v>
      </c>
      <c r="W4" s="27" t="n">
        <v>6.325</v>
      </c>
      <c r="X4" s="27" t="n">
        <v>0.033</v>
      </c>
      <c r="Y4" s="27" t="n">
        <v>2.843</v>
      </c>
      <c r="Z4" s="27" t="n">
        <v>21.688</v>
      </c>
    </row>
    <row r="5" customFormat="false" ht="15" hidden="false" customHeight="false" outlineLevel="0" collapsed="false">
      <c r="A5" s="4" t="n">
        <v>2019</v>
      </c>
      <c r="B5" s="27" t="n">
        <v>0</v>
      </c>
      <c r="C5" s="27" t="n">
        <v>0</v>
      </c>
      <c r="D5" s="27" t="n">
        <v>0.011</v>
      </c>
      <c r="E5" s="27" t="n">
        <v>100.036</v>
      </c>
      <c r="F5" s="27" t="n">
        <v>460.873</v>
      </c>
      <c r="G5" s="27" t="n">
        <v>24.229</v>
      </c>
      <c r="H5" s="27" t="n">
        <v>0</v>
      </c>
      <c r="I5" s="27" t="n">
        <v>175.819</v>
      </c>
      <c r="J5" s="27" t="n">
        <v>136.364</v>
      </c>
      <c r="K5" s="27" t="n">
        <v>0</v>
      </c>
      <c r="L5" s="27" t="n">
        <v>79.152</v>
      </c>
      <c r="M5" s="27" t="n">
        <v>0</v>
      </c>
      <c r="N5" s="27" t="n">
        <v>191.231</v>
      </c>
      <c r="O5" s="27" t="n">
        <v>0</v>
      </c>
      <c r="P5" s="27" t="n">
        <v>44.783</v>
      </c>
      <c r="Q5" s="27" t="n">
        <v>38.592</v>
      </c>
      <c r="R5" s="27" t="n">
        <v>0</v>
      </c>
      <c r="S5" s="27" t="n">
        <v>604.864</v>
      </c>
      <c r="T5" s="27" t="n">
        <v>0</v>
      </c>
      <c r="U5" s="27" t="n">
        <v>52.405</v>
      </c>
      <c r="V5" s="27" t="n">
        <v>0</v>
      </c>
      <c r="W5" s="27" t="n">
        <v>6.533</v>
      </c>
      <c r="X5" s="27" t="n">
        <v>0.051</v>
      </c>
      <c r="Y5" s="27" t="n">
        <v>3.266</v>
      </c>
      <c r="Z5" s="27" t="n">
        <v>25.415</v>
      </c>
    </row>
    <row r="6" customFormat="false" ht="15" hidden="false" customHeight="false" outlineLevel="0" collapsed="false">
      <c r="A6" s="4" t="n">
        <v>2020</v>
      </c>
      <c r="B6" s="27" t="n">
        <v>0</v>
      </c>
      <c r="C6" s="27" t="n">
        <v>0</v>
      </c>
      <c r="D6" s="27" t="n">
        <v>0.014</v>
      </c>
      <c r="E6" s="27" t="n">
        <v>92.374</v>
      </c>
      <c r="F6" s="27" t="n">
        <v>443.125</v>
      </c>
      <c r="G6" s="27" t="n">
        <v>23.611</v>
      </c>
      <c r="H6" s="27" t="n">
        <v>0</v>
      </c>
      <c r="I6" s="27" t="n">
        <v>170.575</v>
      </c>
      <c r="J6" s="27" t="n">
        <v>131.117</v>
      </c>
      <c r="K6" s="27" t="n">
        <v>0</v>
      </c>
      <c r="L6" s="27" t="n">
        <v>78.768</v>
      </c>
      <c r="M6" s="27" t="n">
        <v>0</v>
      </c>
      <c r="N6" s="27" t="n">
        <v>190.542</v>
      </c>
      <c r="O6" s="27" t="n">
        <v>0</v>
      </c>
      <c r="P6" s="27" t="n">
        <v>23.348</v>
      </c>
      <c r="Q6" s="27" t="n">
        <v>37.135</v>
      </c>
      <c r="R6" s="27" t="n">
        <v>0</v>
      </c>
      <c r="S6" s="27" t="n">
        <v>581.56</v>
      </c>
      <c r="T6" s="27" t="n">
        <v>0</v>
      </c>
      <c r="U6" s="27" t="n">
        <v>50.765</v>
      </c>
      <c r="V6" s="27" t="n">
        <v>0</v>
      </c>
      <c r="W6" s="27" t="n">
        <v>7.142</v>
      </c>
      <c r="X6" s="27" t="n">
        <v>0.065</v>
      </c>
      <c r="Y6" s="27" t="n">
        <v>3.14</v>
      </c>
      <c r="Z6" s="27" t="n">
        <v>24.139</v>
      </c>
    </row>
    <row r="7" customFormat="false" ht="15" hidden="false" customHeight="false" outlineLevel="0" collapsed="false">
      <c r="A7" s="4" t="n">
        <v>2021</v>
      </c>
      <c r="B7" s="27" t="n">
        <v>0</v>
      </c>
      <c r="C7" s="27" t="n">
        <v>0</v>
      </c>
      <c r="D7" s="27" t="n">
        <v>0.023</v>
      </c>
      <c r="E7" s="27" t="n">
        <v>102.802</v>
      </c>
      <c r="F7" s="27" t="n">
        <v>471.064</v>
      </c>
      <c r="G7" s="27" t="n">
        <v>24.343</v>
      </c>
      <c r="H7" s="27" t="n">
        <v>0</v>
      </c>
      <c r="I7" s="27" t="n">
        <v>175.385</v>
      </c>
      <c r="J7" s="27" t="n">
        <v>139.397</v>
      </c>
      <c r="K7" s="27" t="n">
        <v>0</v>
      </c>
      <c r="L7" s="27" t="n">
        <v>80.774</v>
      </c>
      <c r="M7" s="27" t="n">
        <v>0</v>
      </c>
      <c r="N7" s="27" t="n">
        <v>201.678</v>
      </c>
      <c r="O7" s="27" t="n">
        <v>0</v>
      </c>
      <c r="P7" s="27" t="n">
        <v>38.951</v>
      </c>
      <c r="Q7" s="27" t="n">
        <v>39.406</v>
      </c>
      <c r="R7" s="27" t="n">
        <v>0</v>
      </c>
      <c r="S7" s="27" t="n">
        <v>618.254</v>
      </c>
      <c r="T7" s="27" t="n">
        <v>0</v>
      </c>
      <c r="U7" s="27" t="n">
        <v>53.059</v>
      </c>
      <c r="V7" s="27" t="n">
        <v>0</v>
      </c>
      <c r="W7" s="27" t="n">
        <v>7.341</v>
      </c>
      <c r="X7" s="27" t="n">
        <v>0.085</v>
      </c>
      <c r="Y7" s="27" t="n">
        <v>3.339</v>
      </c>
      <c r="Z7" s="27" t="n">
        <v>25.039</v>
      </c>
    </row>
    <row r="8" customFormat="false" ht="15" hidden="false" customHeight="false" outlineLevel="0" collapsed="false">
      <c r="A8" s="4" t="n">
        <v>2022</v>
      </c>
      <c r="B8" s="27" t="n">
        <v>0</v>
      </c>
      <c r="C8" s="27" t="n">
        <v>0</v>
      </c>
      <c r="D8" s="27" t="n">
        <v>0.03</v>
      </c>
      <c r="E8" s="27" t="n">
        <v>101.79</v>
      </c>
      <c r="F8" s="27" t="n">
        <v>478.433</v>
      </c>
      <c r="G8" s="27" t="n">
        <v>24.359</v>
      </c>
      <c r="H8" s="27" t="n">
        <v>0</v>
      </c>
      <c r="I8" s="27" t="n">
        <v>175.937</v>
      </c>
      <c r="J8" s="27" t="n">
        <v>141.581</v>
      </c>
      <c r="K8" s="27" t="n">
        <v>0</v>
      </c>
      <c r="L8" s="27" t="n">
        <v>81.088</v>
      </c>
      <c r="M8" s="27" t="n">
        <v>0.145</v>
      </c>
      <c r="N8" s="27" t="n">
        <v>198.616</v>
      </c>
      <c r="O8" s="27" t="n">
        <v>0.145</v>
      </c>
      <c r="P8" s="27" t="n">
        <v>39.099</v>
      </c>
      <c r="Q8" s="27" t="n">
        <v>54.366</v>
      </c>
      <c r="R8" s="27" t="n">
        <v>0</v>
      </c>
      <c r="S8" s="27" t="n">
        <v>627.937</v>
      </c>
      <c r="T8" s="27" t="n">
        <v>0</v>
      </c>
      <c r="U8" s="27" t="n">
        <v>53.451</v>
      </c>
      <c r="V8" s="27" t="n">
        <v>0</v>
      </c>
      <c r="W8" s="27" t="n">
        <v>7.321</v>
      </c>
      <c r="X8" s="27" t="n">
        <v>0.085</v>
      </c>
      <c r="Y8" s="27" t="n">
        <v>3.391</v>
      </c>
      <c r="Z8" s="27" t="n">
        <v>25.431</v>
      </c>
    </row>
    <row r="9" customFormat="false" ht="15" hidden="false" customHeight="false" outlineLevel="0" collapsed="false">
      <c r="A9" s="4" t="n">
        <v>2023</v>
      </c>
      <c r="B9" s="27" t="n">
        <v>0</v>
      </c>
      <c r="C9" s="27" t="n">
        <v>0</v>
      </c>
      <c r="D9" s="27" t="n">
        <v>0.037</v>
      </c>
      <c r="E9" s="27" t="n">
        <v>107.162</v>
      </c>
      <c r="F9" s="27" t="n">
        <v>506.427</v>
      </c>
      <c r="G9" s="27" t="n">
        <v>24.528</v>
      </c>
      <c r="H9" s="27" t="n">
        <v>0</v>
      </c>
      <c r="I9" s="27" t="n">
        <v>177.955</v>
      </c>
      <c r="J9" s="27" t="n">
        <v>149.875</v>
      </c>
      <c r="K9" s="27" t="n">
        <v>0</v>
      </c>
      <c r="L9" s="27" t="n">
        <v>81.968</v>
      </c>
      <c r="M9" s="27" t="n">
        <v>0.348</v>
      </c>
      <c r="N9" s="27" t="n">
        <v>201.806</v>
      </c>
      <c r="O9" s="27" t="n">
        <v>0.358</v>
      </c>
      <c r="P9" s="27" t="n">
        <v>39.351</v>
      </c>
      <c r="Q9" s="27" t="n">
        <v>76.835</v>
      </c>
      <c r="R9" s="27" t="n">
        <v>0</v>
      </c>
      <c r="S9" s="27" t="n">
        <v>664.722</v>
      </c>
      <c r="T9" s="27" t="n">
        <v>0</v>
      </c>
      <c r="U9" s="27" t="n">
        <v>55.073</v>
      </c>
      <c r="V9" s="27" t="n">
        <v>0</v>
      </c>
      <c r="W9" s="27" t="n">
        <v>7.23</v>
      </c>
      <c r="X9" s="27" t="n">
        <v>0.084</v>
      </c>
      <c r="Y9" s="27" t="n">
        <v>3.589</v>
      </c>
      <c r="Z9" s="27" t="n">
        <v>26.921</v>
      </c>
    </row>
    <row r="10" customFormat="false" ht="15" hidden="false" customHeight="false" outlineLevel="0" collapsed="false">
      <c r="A10" s="4" t="n">
        <v>2024</v>
      </c>
      <c r="B10" s="27" t="n">
        <v>0</v>
      </c>
      <c r="C10" s="27" t="n">
        <v>0</v>
      </c>
      <c r="D10" s="27" t="n">
        <v>0.047</v>
      </c>
      <c r="E10" s="27" t="n">
        <v>109.158</v>
      </c>
      <c r="F10" s="27" t="n">
        <v>516.343</v>
      </c>
      <c r="G10" s="27" t="n">
        <v>25.064</v>
      </c>
      <c r="H10" s="27" t="n">
        <v>0</v>
      </c>
      <c r="I10" s="27" t="n">
        <v>183.4</v>
      </c>
      <c r="J10" s="27" t="n">
        <v>156.832</v>
      </c>
      <c r="K10" s="27" t="n">
        <v>0</v>
      </c>
      <c r="L10" s="27" t="n">
        <v>84.656</v>
      </c>
      <c r="M10" s="27" t="n">
        <v>0.538</v>
      </c>
      <c r="N10" s="27" t="n">
        <v>202.821</v>
      </c>
      <c r="O10" s="27" t="n">
        <v>0.556</v>
      </c>
      <c r="P10" s="27" t="n">
        <v>40.444</v>
      </c>
      <c r="Q10" s="27" t="n">
        <v>96.466</v>
      </c>
      <c r="R10" s="27" t="n">
        <v>0</v>
      </c>
      <c r="S10" s="27" t="n">
        <v>718.378</v>
      </c>
      <c r="T10" s="27" t="n">
        <v>0</v>
      </c>
      <c r="U10" s="27" t="n">
        <v>56.218</v>
      </c>
      <c r="V10" s="27" t="n">
        <v>0</v>
      </c>
      <c r="W10" s="27" t="n">
        <v>9.68</v>
      </c>
      <c r="X10" s="27" t="n">
        <v>0.084</v>
      </c>
      <c r="Y10" s="27" t="n">
        <v>3.66</v>
      </c>
      <c r="Z10" s="27" t="n">
        <v>29.864</v>
      </c>
    </row>
    <row r="11" customFormat="false" ht="15" hidden="false" customHeight="false" outlineLevel="0" collapsed="false">
      <c r="A11" s="4" t="n">
        <v>2025</v>
      </c>
      <c r="B11" s="27" t="n">
        <v>0</v>
      </c>
      <c r="C11" s="27" t="n">
        <v>0</v>
      </c>
      <c r="D11" s="27" t="n">
        <v>0.059</v>
      </c>
      <c r="E11" s="27" t="n">
        <v>110.864</v>
      </c>
      <c r="F11" s="27" t="n">
        <v>517.76</v>
      </c>
      <c r="G11" s="27" t="n">
        <v>25.388</v>
      </c>
      <c r="H11" s="27" t="n">
        <v>0</v>
      </c>
      <c r="I11" s="27" t="n">
        <v>189.261</v>
      </c>
      <c r="J11" s="27" t="n">
        <v>161.829</v>
      </c>
      <c r="K11" s="27" t="n">
        <v>0</v>
      </c>
      <c r="L11" s="27" t="n">
        <v>87.604</v>
      </c>
      <c r="M11" s="27" t="n">
        <v>0.659</v>
      </c>
      <c r="N11" s="27" t="n">
        <v>204.006</v>
      </c>
      <c r="O11" s="27" t="n">
        <v>0.688</v>
      </c>
      <c r="P11" s="27" t="n">
        <v>41.641</v>
      </c>
      <c r="Q11" s="27" t="n">
        <v>108.714</v>
      </c>
      <c r="R11" s="27" t="n">
        <v>0</v>
      </c>
      <c r="S11" s="27" t="n">
        <v>717.72</v>
      </c>
      <c r="T11" s="27" t="n">
        <v>0</v>
      </c>
      <c r="U11" s="27" t="n">
        <v>56.678</v>
      </c>
      <c r="V11" s="27" t="n">
        <v>0</v>
      </c>
      <c r="W11" s="27" t="n">
        <v>12.385</v>
      </c>
      <c r="X11" s="27" t="n">
        <v>0.085</v>
      </c>
      <c r="Y11" s="27" t="n">
        <v>3.67</v>
      </c>
      <c r="Z11" s="27" t="n">
        <v>32.905</v>
      </c>
    </row>
    <row r="12" customFormat="false" ht="15" hidden="false" customHeight="false" outlineLevel="0" collapsed="false">
      <c r="A12" s="4" t="n">
        <v>2026</v>
      </c>
      <c r="B12" s="27" t="n">
        <v>0</v>
      </c>
      <c r="C12" s="27" t="n">
        <v>0</v>
      </c>
      <c r="D12" s="27" t="n">
        <v>0.321</v>
      </c>
      <c r="E12" s="27" t="n">
        <v>113.447</v>
      </c>
      <c r="F12" s="27" t="n">
        <v>507.001</v>
      </c>
      <c r="G12" s="27" t="n">
        <v>24.748</v>
      </c>
      <c r="H12" s="27" t="n">
        <v>0</v>
      </c>
      <c r="I12" s="27" t="n">
        <v>192.325</v>
      </c>
      <c r="J12" s="27" t="n">
        <v>164.533</v>
      </c>
      <c r="K12" s="27" t="n">
        <v>0</v>
      </c>
      <c r="L12" s="27" t="n">
        <v>89.367</v>
      </c>
      <c r="M12" s="27" t="n">
        <v>0.731</v>
      </c>
      <c r="N12" s="27" t="n">
        <v>202.67</v>
      </c>
      <c r="O12" s="27" t="n">
        <v>0.77</v>
      </c>
      <c r="P12" s="27" t="n">
        <v>42.247</v>
      </c>
      <c r="Q12" s="27" t="n">
        <v>113.765</v>
      </c>
      <c r="R12" s="27" t="n">
        <v>0</v>
      </c>
      <c r="S12" s="27" t="n">
        <v>727.032</v>
      </c>
      <c r="T12" s="27" t="n">
        <v>0</v>
      </c>
      <c r="U12" s="27" t="n">
        <v>55.407</v>
      </c>
      <c r="V12" s="27" t="n">
        <v>0</v>
      </c>
      <c r="W12" s="27" t="n">
        <v>15.569</v>
      </c>
      <c r="X12" s="27" t="n">
        <v>0.084</v>
      </c>
      <c r="Y12" s="27" t="n">
        <v>3.583</v>
      </c>
      <c r="Z12" s="27" t="n">
        <v>35.276</v>
      </c>
    </row>
    <row r="13" customFormat="false" ht="15" hidden="false" customHeight="false" outlineLevel="0" collapsed="false">
      <c r="A13" s="4" t="n">
        <v>2027</v>
      </c>
      <c r="B13" s="27" t="n">
        <v>0</v>
      </c>
      <c r="C13" s="27" t="n">
        <v>0</v>
      </c>
      <c r="D13" s="27" t="n">
        <v>0.622</v>
      </c>
      <c r="E13" s="27" t="n">
        <v>112.579</v>
      </c>
      <c r="F13" s="27" t="n">
        <v>479.194</v>
      </c>
      <c r="G13" s="27" t="n">
        <v>24.138</v>
      </c>
      <c r="H13" s="27" t="n">
        <v>0</v>
      </c>
      <c r="I13" s="27" t="n">
        <v>195.459</v>
      </c>
      <c r="J13" s="27" t="n">
        <v>166.719</v>
      </c>
      <c r="K13" s="27" t="n">
        <v>0</v>
      </c>
      <c r="L13" s="27" t="n">
        <v>91.167</v>
      </c>
      <c r="M13" s="27" t="n">
        <v>0.779</v>
      </c>
      <c r="N13" s="27" t="n">
        <v>201.541</v>
      </c>
      <c r="O13" s="27" t="n">
        <v>0.829</v>
      </c>
      <c r="P13" s="27" t="n">
        <v>42.863</v>
      </c>
      <c r="Q13" s="27" t="n">
        <v>116.231</v>
      </c>
      <c r="R13" s="27" t="n">
        <v>0</v>
      </c>
      <c r="S13" s="27" t="n">
        <v>733.433</v>
      </c>
      <c r="T13" s="27" t="n">
        <v>0</v>
      </c>
      <c r="U13" s="27" t="n">
        <v>53.37</v>
      </c>
      <c r="V13" s="27" t="n">
        <v>0</v>
      </c>
      <c r="W13" s="27" t="n">
        <v>20.867</v>
      </c>
      <c r="X13" s="27" t="n">
        <v>0.084</v>
      </c>
      <c r="Y13" s="27" t="n">
        <v>3.385</v>
      </c>
      <c r="Z13" s="27" t="n">
        <v>40.581</v>
      </c>
    </row>
    <row r="14" customFormat="false" ht="15" hidden="false" customHeight="false" outlineLevel="0" collapsed="false">
      <c r="A14" s="4" t="n">
        <v>2028</v>
      </c>
      <c r="B14" s="27" t="n">
        <v>0</v>
      </c>
      <c r="C14" s="27" t="n">
        <v>0</v>
      </c>
      <c r="D14" s="27" t="n">
        <v>0.964</v>
      </c>
      <c r="E14" s="27" t="n">
        <v>113.537</v>
      </c>
      <c r="F14" s="27" t="n">
        <v>413.854</v>
      </c>
      <c r="G14" s="27" t="n">
        <v>22.735</v>
      </c>
      <c r="H14" s="27" t="n">
        <v>0</v>
      </c>
      <c r="I14" s="27" t="n">
        <v>198.167</v>
      </c>
      <c r="J14" s="27" t="n">
        <v>169.083</v>
      </c>
      <c r="K14" s="27" t="n">
        <v>0</v>
      </c>
      <c r="L14" s="27" t="n">
        <v>92.923</v>
      </c>
      <c r="M14" s="27" t="n">
        <v>0.818</v>
      </c>
      <c r="N14" s="27" t="n">
        <v>200.568</v>
      </c>
      <c r="O14" s="27" t="n">
        <v>2.42</v>
      </c>
      <c r="P14" s="27" t="n">
        <v>43.425</v>
      </c>
      <c r="Q14" s="27" t="n">
        <v>116.231</v>
      </c>
      <c r="R14" s="27" t="n">
        <v>0</v>
      </c>
      <c r="S14" s="27" t="n">
        <v>740.766</v>
      </c>
      <c r="T14" s="27" t="n">
        <v>0</v>
      </c>
      <c r="U14" s="27" t="n">
        <v>48.426</v>
      </c>
      <c r="V14" s="27" t="n">
        <v>0</v>
      </c>
      <c r="W14" s="27" t="n">
        <v>32.381</v>
      </c>
      <c r="X14" s="27" t="n">
        <v>0.084</v>
      </c>
      <c r="Y14" s="27" t="n">
        <v>4.376</v>
      </c>
      <c r="Z14" s="27" t="n">
        <v>48.422</v>
      </c>
    </row>
    <row r="15" customFormat="false" ht="15" hidden="false" customHeight="false" outlineLevel="0" collapsed="false">
      <c r="A15" s="4" t="n">
        <v>2029</v>
      </c>
      <c r="B15" s="27" t="n">
        <v>0</v>
      </c>
      <c r="C15" s="27" t="n">
        <v>0</v>
      </c>
      <c r="D15" s="27" t="n">
        <v>1.35</v>
      </c>
      <c r="E15" s="27" t="n">
        <v>114.172</v>
      </c>
      <c r="F15" s="27" t="n">
        <v>285.22</v>
      </c>
      <c r="G15" s="27" t="n">
        <v>21.391</v>
      </c>
      <c r="H15" s="27" t="n">
        <v>0</v>
      </c>
      <c r="I15" s="27" t="n">
        <v>200.998</v>
      </c>
      <c r="J15" s="27" t="n">
        <v>171.501</v>
      </c>
      <c r="K15" s="27" t="n">
        <v>0</v>
      </c>
      <c r="L15" s="27" t="n">
        <v>94.739</v>
      </c>
      <c r="M15" s="27" t="n">
        <v>0.855</v>
      </c>
      <c r="N15" s="27" t="n">
        <v>199.817</v>
      </c>
      <c r="O15" s="27" t="n">
        <v>3.936</v>
      </c>
      <c r="P15" s="27" t="n">
        <v>44.008</v>
      </c>
      <c r="Q15" s="27" t="n">
        <v>113.041</v>
      </c>
      <c r="R15" s="27" t="n">
        <v>0</v>
      </c>
      <c r="S15" s="27" t="n">
        <v>748.229</v>
      </c>
      <c r="T15" s="27" t="n">
        <v>0</v>
      </c>
      <c r="U15" s="27" t="n">
        <v>40.485</v>
      </c>
      <c r="V15" s="27" t="n">
        <v>0</v>
      </c>
      <c r="W15" s="27" t="n">
        <v>53.536</v>
      </c>
      <c r="X15" s="27" t="n">
        <v>0.085</v>
      </c>
      <c r="Y15" s="27" t="n">
        <v>4.042</v>
      </c>
      <c r="Z15" s="27" t="n">
        <v>64.647</v>
      </c>
    </row>
    <row r="16" customFormat="false" ht="15" hidden="false" customHeight="false" outlineLevel="0" collapsed="false">
      <c r="A16" s="4" t="n">
        <v>2030</v>
      </c>
      <c r="B16" s="27" t="n">
        <v>0</v>
      </c>
      <c r="C16" s="27" t="n">
        <v>0</v>
      </c>
      <c r="D16" s="27" t="n">
        <v>1.781</v>
      </c>
      <c r="E16" s="27" t="n">
        <v>115.054</v>
      </c>
      <c r="F16" s="27" t="n">
        <v>157.885</v>
      </c>
      <c r="G16" s="27" t="n">
        <v>20.096</v>
      </c>
      <c r="H16" s="27" t="n">
        <v>0</v>
      </c>
      <c r="I16" s="27" t="n">
        <v>203.781</v>
      </c>
      <c r="J16" s="27" t="n">
        <v>175.734</v>
      </c>
      <c r="K16" s="27" t="n">
        <v>0</v>
      </c>
      <c r="L16" s="27" t="n">
        <v>96.53</v>
      </c>
      <c r="M16" s="27" t="n">
        <v>0.89</v>
      </c>
      <c r="N16" s="27" t="n">
        <v>197.65</v>
      </c>
      <c r="O16" s="27" t="n">
        <v>5.378</v>
      </c>
      <c r="P16" s="27" t="n">
        <v>44.572</v>
      </c>
      <c r="Q16" s="27" t="n">
        <v>106.358</v>
      </c>
      <c r="R16" s="27" t="n">
        <v>0</v>
      </c>
      <c r="S16" s="27" t="n">
        <v>763.457</v>
      </c>
      <c r="T16" s="27" t="n">
        <v>0</v>
      </c>
      <c r="U16" s="27" t="n">
        <v>32.539</v>
      </c>
      <c r="V16" s="27" t="n">
        <v>0</v>
      </c>
      <c r="W16" s="27" t="n">
        <v>75.878</v>
      </c>
      <c r="X16" s="27" t="n">
        <v>0.086</v>
      </c>
      <c r="Y16" s="27" t="n">
        <v>3.186</v>
      </c>
      <c r="Z16" s="27" t="n">
        <v>82.02</v>
      </c>
    </row>
    <row r="17" customFormat="false" ht="15" hidden="false" customHeight="false" outlineLevel="0" collapsed="false">
      <c r="A17" s="4" t="n">
        <v>2031</v>
      </c>
      <c r="B17" s="27" t="n">
        <v>0</v>
      </c>
      <c r="C17" s="27" t="n">
        <v>0</v>
      </c>
      <c r="D17" s="27" t="n">
        <v>2.263</v>
      </c>
      <c r="E17" s="27" t="n">
        <v>115.686</v>
      </c>
      <c r="F17" s="27" t="n">
        <v>88.78</v>
      </c>
      <c r="G17" s="27" t="n">
        <v>18.847</v>
      </c>
      <c r="H17" s="27" t="n">
        <v>0</v>
      </c>
      <c r="I17" s="27" t="n">
        <v>206.509</v>
      </c>
      <c r="J17" s="27" t="n">
        <v>184.644</v>
      </c>
      <c r="K17" s="27" t="n">
        <v>0</v>
      </c>
      <c r="L17" s="27" t="n">
        <v>98.293</v>
      </c>
      <c r="M17" s="27" t="n">
        <v>0.925</v>
      </c>
      <c r="N17" s="27" t="n">
        <v>195.251</v>
      </c>
      <c r="O17" s="27" t="n">
        <v>6.747</v>
      </c>
      <c r="P17" s="27" t="n">
        <v>45.116</v>
      </c>
      <c r="Q17" s="27" t="n">
        <v>99.453</v>
      </c>
      <c r="R17" s="27" t="n">
        <v>0</v>
      </c>
      <c r="S17" s="27" t="n">
        <v>798.736</v>
      </c>
      <c r="T17" s="27" t="n">
        <v>0</v>
      </c>
      <c r="U17" s="27" t="n">
        <v>27.587</v>
      </c>
      <c r="V17" s="27" t="n">
        <v>0</v>
      </c>
      <c r="W17" s="27" t="n">
        <v>91.574</v>
      </c>
      <c r="X17" s="27" t="n">
        <v>0.087</v>
      </c>
      <c r="Y17" s="27" t="n">
        <v>2.823</v>
      </c>
      <c r="Z17" s="27" t="n">
        <v>95.021</v>
      </c>
    </row>
    <row r="18" customFormat="false" ht="15" hidden="false" customHeight="false" outlineLevel="0" collapsed="false">
      <c r="A18" s="4" t="n">
        <v>2032</v>
      </c>
      <c r="B18" s="27" t="n">
        <v>0</v>
      </c>
      <c r="C18" s="27" t="n">
        <v>0</v>
      </c>
      <c r="D18" s="27" t="n">
        <v>2.799</v>
      </c>
      <c r="E18" s="27" t="n">
        <v>115.611</v>
      </c>
      <c r="F18" s="27" t="n">
        <v>55.086</v>
      </c>
      <c r="G18" s="27" t="n">
        <v>17.641</v>
      </c>
      <c r="H18" s="27" t="n">
        <v>0</v>
      </c>
      <c r="I18" s="27" t="n">
        <v>209.173</v>
      </c>
      <c r="J18" s="27" t="n">
        <v>188.814</v>
      </c>
      <c r="K18" s="27" t="n">
        <v>0</v>
      </c>
      <c r="L18" s="27" t="n">
        <v>100.023</v>
      </c>
      <c r="M18" s="27" t="n">
        <v>0.96</v>
      </c>
      <c r="N18" s="27" t="n">
        <v>192.067</v>
      </c>
      <c r="O18" s="27" t="n">
        <v>8.045</v>
      </c>
      <c r="P18" s="27" t="n">
        <v>45.637</v>
      </c>
      <c r="Q18" s="27" t="n">
        <v>100.115</v>
      </c>
      <c r="R18" s="27" t="n">
        <v>0</v>
      </c>
      <c r="S18" s="27" t="n">
        <v>821.797</v>
      </c>
      <c r="T18" s="27" t="n">
        <v>0</v>
      </c>
      <c r="U18" s="27" t="n">
        <v>24.471</v>
      </c>
      <c r="V18" s="27" t="n">
        <v>0</v>
      </c>
      <c r="W18" s="27" t="n">
        <v>100.001</v>
      </c>
      <c r="X18" s="27" t="n">
        <v>0.088</v>
      </c>
      <c r="Y18" s="27" t="n">
        <v>2.675</v>
      </c>
      <c r="Z18" s="27" t="n">
        <v>102.133</v>
      </c>
    </row>
    <row r="19" customFormat="false" ht="15" hidden="false" customHeight="false" outlineLevel="0" collapsed="false">
      <c r="A19" s="4" t="n">
        <v>2033</v>
      </c>
      <c r="B19" s="27" t="n">
        <v>0</v>
      </c>
      <c r="C19" s="27" t="n">
        <v>0</v>
      </c>
      <c r="D19" s="27" t="n">
        <v>3.393</v>
      </c>
      <c r="E19" s="27" t="n">
        <v>113.799</v>
      </c>
      <c r="F19" s="27" t="n">
        <v>35.675</v>
      </c>
      <c r="G19" s="27" t="n">
        <v>16.474</v>
      </c>
      <c r="H19" s="27" t="n">
        <v>0</v>
      </c>
      <c r="I19" s="27" t="n">
        <v>201.135</v>
      </c>
      <c r="J19" s="27" t="n">
        <v>197.108</v>
      </c>
      <c r="K19" s="27" t="n">
        <v>0</v>
      </c>
      <c r="L19" s="27" t="n">
        <v>96.124</v>
      </c>
      <c r="M19" s="27" t="n">
        <v>0.96</v>
      </c>
      <c r="N19" s="27" t="n">
        <v>186.634</v>
      </c>
      <c r="O19" s="27" t="n">
        <v>10.397</v>
      </c>
      <c r="P19" s="27" t="n">
        <v>46.136</v>
      </c>
      <c r="Q19" s="27" t="n">
        <v>98.479</v>
      </c>
      <c r="R19" s="27" t="n">
        <v>0</v>
      </c>
      <c r="S19" s="27" t="n">
        <v>871.904</v>
      </c>
      <c r="T19" s="27" t="n">
        <v>0</v>
      </c>
      <c r="U19" s="27" t="n">
        <v>22.116</v>
      </c>
      <c r="V19" s="27" t="n">
        <v>0</v>
      </c>
      <c r="W19" s="27" t="n">
        <v>109.724</v>
      </c>
      <c r="X19" s="27" t="n">
        <v>0.089</v>
      </c>
      <c r="Y19" s="27" t="n">
        <v>2.731</v>
      </c>
      <c r="Z19" s="27" t="n">
        <v>111.1</v>
      </c>
    </row>
    <row r="20" customFormat="false" ht="15" hidden="false" customHeight="false" outlineLevel="0" collapsed="false">
      <c r="A20" s="4" t="n">
        <v>2034</v>
      </c>
      <c r="B20" s="27" t="n">
        <v>0</v>
      </c>
      <c r="C20" s="27" t="n">
        <v>0</v>
      </c>
      <c r="D20" s="27" t="n">
        <v>4.048</v>
      </c>
      <c r="E20" s="27" t="n">
        <v>108.209</v>
      </c>
      <c r="F20" s="27" t="n">
        <v>18.505</v>
      </c>
      <c r="G20" s="27" t="n">
        <v>15.343</v>
      </c>
      <c r="H20" s="27" t="n">
        <v>0</v>
      </c>
      <c r="I20" s="27" t="n">
        <v>192.702</v>
      </c>
      <c r="J20" s="27" t="n">
        <v>205.93</v>
      </c>
      <c r="K20" s="27" t="n">
        <v>0</v>
      </c>
      <c r="L20" s="27" t="n">
        <v>91.993</v>
      </c>
      <c r="M20" s="27" t="n">
        <v>0.96</v>
      </c>
      <c r="N20" s="27" t="n">
        <v>176.624</v>
      </c>
      <c r="O20" s="27" t="n">
        <v>12.704</v>
      </c>
      <c r="P20" s="27" t="n">
        <v>46.608</v>
      </c>
      <c r="Q20" s="27" t="n">
        <v>97.022</v>
      </c>
      <c r="R20" s="27" t="n">
        <v>0</v>
      </c>
      <c r="S20" s="27" t="n">
        <v>1022.364</v>
      </c>
      <c r="T20" s="27" t="n">
        <v>0</v>
      </c>
      <c r="U20" s="27" t="n">
        <v>19.909</v>
      </c>
      <c r="V20" s="27" t="n">
        <v>0</v>
      </c>
      <c r="W20" s="27" t="n">
        <v>119.833</v>
      </c>
      <c r="X20" s="27" t="n">
        <v>0.091</v>
      </c>
      <c r="Y20" s="27" t="n">
        <v>2.582</v>
      </c>
      <c r="Z20" s="27" t="n">
        <v>120.54</v>
      </c>
    </row>
    <row r="21" customFormat="false" ht="15" hidden="false" customHeight="false" outlineLevel="0" collapsed="false">
      <c r="A21" s="4" t="n">
        <v>2035</v>
      </c>
      <c r="B21" s="27" t="n">
        <v>0</v>
      </c>
      <c r="C21" s="27" t="n">
        <v>0</v>
      </c>
      <c r="D21" s="27" t="n">
        <v>4.77</v>
      </c>
      <c r="E21" s="27" t="n">
        <v>95.889</v>
      </c>
      <c r="F21" s="27" t="n">
        <v>0.368</v>
      </c>
      <c r="G21" s="27" t="n">
        <v>14.249</v>
      </c>
      <c r="H21" s="27" t="n">
        <v>0</v>
      </c>
      <c r="I21" s="27" t="n">
        <v>183.879</v>
      </c>
      <c r="J21" s="27" t="n">
        <v>215.76</v>
      </c>
      <c r="K21" s="27" t="n">
        <v>0</v>
      </c>
      <c r="L21" s="27" t="n">
        <v>87.634</v>
      </c>
      <c r="M21" s="27" t="n">
        <v>0.96</v>
      </c>
      <c r="N21" s="27" t="n">
        <v>158.001</v>
      </c>
      <c r="O21" s="27" t="n">
        <v>14.966</v>
      </c>
      <c r="P21" s="27" t="n">
        <v>47.053</v>
      </c>
      <c r="Q21" s="27" t="n">
        <v>95.491</v>
      </c>
      <c r="R21" s="27" t="n">
        <v>0</v>
      </c>
      <c r="S21" s="27" t="n">
        <v>1707.432</v>
      </c>
      <c r="T21" s="27" t="n">
        <v>0</v>
      </c>
      <c r="U21" s="27" t="n">
        <v>17.688</v>
      </c>
      <c r="V21" s="27" t="n">
        <v>0</v>
      </c>
      <c r="W21" s="27" t="n">
        <v>131.452</v>
      </c>
      <c r="X21" s="27" t="n">
        <v>0.092</v>
      </c>
      <c r="Y21" s="27" t="n">
        <v>1.067</v>
      </c>
      <c r="Z21" s="27" t="n">
        <v>131.452</v>
      </c>
    </row>
    <row r="22" customFormat="false" ht="15" hidden="false" customHeight="false" outlineLevel="0" collapsed="false">
      <c r="A22" s="4" t="n">
        <v>2036</v>
      </c>
      <c r="B22" s="27" t="n">
        <v>0</v>
      </c>
      <c r="C22" s="27" t="n">
        <v>0</v>
      </c>
      <c r="D22" s="27" t="n">
        <v>4.893</v>
      </c>
      <c r="E22" s="27" t="n">
        <v>75.585</v>
      </c>
      <c r="F22" s="27" t="n">
        <v>0.341</v>
      </c>
      <c r="G22" s="27" t="n">
        <v>13.192</v>
      </c>
      <c r="H22" s="27" t="n">
        <v>0</v>
      </c>
      <c r="I22" s="27" t="n">
        <v>174.676</v>
      </c>
      <c r="J22" s="27" t="n">
        <v>227.019</v>
      </c>
      <c r="K22" s="27" t="n">
        <v>0</v>
      </c>
      <c r="L22" s="27" t="n">
        <v>83.051</v>
      </c>
      <c r="M22" s="27" t="n">
        <v>0.96</v>
      </c>
      <c r="N22" s="27" t="n">
        <v>127.903</v>
      </c>
      <c r="O22" s="27" t="n">
        <v>17.181</v>
      </c>
      <c r="P22" s="27" t="n">
        <v>47.47</v>
      </c>
      <c r="Q22" s="27" t="n">
        <v>95.391</v>
      </c>
      <c r="R22" s="27" t="n">
        <v>0</v>
      </c>
      <c r="S22" s="27" t="n">
        <v>1780.8</v>
      </c>
      <c r="T22" s="27" t="n">
        <v>0</v>
      </c>
      <c r="U22" s="27" t="n">
        <v>16.422</v>
      </c>
      <c r="V22" s="27" t="n">
        <v>0</v>
      </c>
      <c r="W22" s="27" t="n">
        <v>137.844</v>
      </c>
      <c r="X22" s="27" t="n">
        <v>0.094</v>
      </c>
      <c r="Y22" s="27" t="n">
        <v>1.157</v>
      </c>
      <c r="Z22" s="27" t="n">
        <v>137.844</v>
      </c>
    </row>
    <row r="23" customFormat="false" ht="15" hidden="false" customHeight="false" outlineLevel="0" collapsed="false">
      <c r="A23" s="4" t="n">
        <v>2037</v>
      </c>
      <c r="B23" s="27" t="n">
        <v>0</v>
      </c>
      <c r="C23" s="27" t="n">
        <v>0</v>
      </c>
      <c r="D23" s="27" t="n">
        <v>5.018</v>
      </c>
      <c r="E23" s="27" t="n">
        <v>52.222</v>
      </c>
      <c r="F23" s="27" t="n">
        <v>0.315</v>
      </c>
      <c r="G23" s="27" t="n">
        <v>12.174</v>
      </c>
      <c r="H23" s="27" t="n">
        <v>0</v>
      </c>
      <c r="I23" s="27" t="n">
        <v>165.103</v>
      </c>
      <c r="J23" s="27" t="n">
        <v>239.3</v>
      </c>
      <c r="K23" s="27" t="n">
        <v>0</v>
      </c>
      <c r="L23" s="27" t="n">
        <v>78.249</v>
      </c>
      <c r="M23" s="27" t="n">
        <v>0.96</v>
      </c>
      <c r="N23" s="27" t="n">
        <v>91.1</v>
      </c>
      <c r="O23" s="27" t="n">
        <v>19.348</v>
      </c>
      <c r="P23" s="27" t="n">
        <v>47.856</v>
      </c>
      <c r="Q23" s="27" t="n">
        <v>95.294</v>
      </c>
      <c r="R23" s="27" t="n">
        <v>0</v>
      </c>
      <c r="S23" s="27" t="n">
        <v>1857.566</v>
      </c>
      <c r="T23" s="27" t="n">
        <v>0</v>
      </c>
      <c r="U23" s="27" t="n">
        <v>15.197</v>
      </c>
      <c r="V23" s="27" t="n">
        <v>0</v>
      </c>
      <c r="W23" s="27" t="n">
        <v>144.783</v>
      </c>
      <c r="X23" s="27" t="n">
        <v>0.096</v>
      </c>
      <c r="Y23" s="27" t="n">
        <v>1.18</v>
      </c>
      <c r="Z23" s="27" t="n">
        <v>144.783</v>
      </c>
    </row>
    <row r="24" customFormat="false" ht="15" hidden="false" customHeight="false" outlineLevel="0" collapsed="false">
      <c r="A24" s="4" t="n">
        <v>2038</v>
      </c>
      <c r="B24" s="27" t="n">
        <v>0</v>
      </c>
      <c r="C24" s="27" t="n">
        <v>0</v>
      </c>
      <c r="D24" s="27" t="n">
        <v>5.145</v>
      </c>
      <c r="E24" s="27" t="n">
        <v>33.377</v>
      </c>
      <c r="F24" s="27" t="n">
        <v>0.29</v>
      </c>
      <c r="G24" s="27" t="n">
        <v>11.197</v>
      </c>
      <c r="H24" s="27" t="n">
        <v>0</v>
      </c>
      <c r="I24" s="27" t="n">
        <v>155.173</v>
      </c>
      <c r="J24" s="27" t="n">
        <v>251.258</v>
      </c>
      <c r="K24" s="27" t="n">
        <v>0</v>
      </c>
      <c r="L24" s="27" t="n">
        <v>73.235</v>
      </c>
      <c r="M24" s="27" t="n">
        <v>0.96</v>
      </c>
      <c r="N24" s="27" t="n">
        <v>59.272</v>
      </c>
      <c r="O24" s="27" t="n">
        <v>21.465</v>
      </c>
      <c r="P24" s="27" t="n">
        <v>48.21</v>
      </c>
      <c r="Q24" s="27" t="n">
        <v>95.201</v>
      </c>
      <c r="R24" s="27" t="n">
        <v>0</v>
      </c>
      <c r="S24" s="27" t="n">
        <v>1932.069</v>
      </c>
      <c r="T24" s="27" t="n">
        <v>0</v>
      </c>
      <c r="U24" s="27" t="n">
        <v>14.015</v>
      </c>
      <c r="V24" s="27" t="n">
        <v>0</v>
      </c>
      <c r="W24" s="27" t="n">
        <v>151.45</v>
      </c>
      <c r="X24" s="27" t="n">
        <v>0.098</v>
      </c>
      <c r="Y24" s="27" t="n">
        <v>1.216</v>
      </c>
      <c r="Z24" s="27" t="n">
        <v>151.45</v>
      </c>
    </row>
    <row r="25" customFormat="false" ht="15" hidden="false" customHeight="false" outlineLevel="0" collapsed="false">
      <c r="A25" s="4" t="n">
        <v>2039</v>
      </c>
      <c r="B25" s="27" t="n">
        <v>0</v>
      </c>
      <c r="C25" s="27" t="n">
        <v>0</v>
      </c>
      <c r="D25" s="27" t="n">
        <v>5.274</v>
      </c>
      <c r="E25" s="27" t="n">
        <v>22.134</v>
      </c>
      <c r="F25" s="27" t="n">
        <v>0.265</v>
      </c>
      <c r="G25" s="27" t="n">
        <v>10.261</v>
      </c>
      <c r="H25" s="27" t="n">
        <v>0</v>
      </c>
      <c r="I25" s="27" t="n">
        <v>144.898</v>
      </c>
      <c r="J25" s="27" t="n">
        <v>262.001</v>
      </c>
      <c r="K25" s="27" t="n">
        <v>0</v>
      </c>
      <c r="L25" s="27" t="n">
        <v>68.017</v>
      </c>
      <c r="M25" s="27" t="n">
        <v>0.96</v>
      </c>
      <c r="N25" s="27" t="n">
        <v>38.85</v>
      </c>
      <c r="O25" s="27" t="n">
        <v>23.531</v>
      </c>
      <c r="P25" s="27" t="n">
        <v>48.53</v>
      </c>
      <c r="Q25" s="27" t="n">
        <v>95.11</v>
      </c>
      <c r="R25" s="27" t="n">
        <v>0</v>
      </c>
      <c r="S25" s="27" t="n">
        <v>2003.158</v>
      </c>
      <c r="T25" s="27" t="n">
        <v>0</v>
      </c>
      <c r="U25" s="27" t="n">
        <v>12.876</v>
      </c>
      <c r="V25" s="27" t="n">
        <v>0</v>
      </c>
      <c r="W25" s="27" t="n">
        <v>157.503</v>
      </c>
      <c r="X25" s="27" t="n">
        <v>0.099</v>
      </c>
      <c r="Y25" s="27" t="n">
        <v>1.173</v>
      </c>
      <c r="Z25" s="27" t="n">
        <v>157.503</v>
      </c>
    </row>
    <row r="26" customFormat="false" ht="15" hidden="false" customHeight="false" outlineLevel="0" collapsed="false">
      <c r="A26" s="4" t="n">
        <v>2040</v>
      </c>
      <c r="B26" s="27" t="n">
        <v>0</v>
      </c>
      <c r="C26" s="27" t="n">
        <v>0</v>
      </c>
      <c r="D26" s="27" t="n">
        <v>5.404</v>
      </c>
      <c r="E26" s="27" t="n">
        <v>16.16</v>
      </c>
      <c r="F26" s="27" t="n">
        <v>0.242</v>
      </c>
      <c r="G26" s="27" t="n">
        <v>9.364</v>
      </c>
      <c r="H26" s="27" t="n">
        <v>0</v>
      </c>
      <c r="I26" s="27" t="n">
        <v>134.294</v>
      </c>
      <c r="J26" s="27" t="n">
        <v>271.656</v>
      </c>
      <c r="K26" s="27" t="n">
        <v>0</v>
      </c>
      <c r="L26" s="27" t="n">
        <v>62.601</v>
      </c>
      <c r="M26" s="27" t="n">
        <v>0.96</v>
      </c>
      <c r="N26" s="27" t="n">
        <v>27.831</v>
      </c>
      <c r="O26" s="27" t="n">
        <v>25.545</v>
      </c>
      <c r="P26" s="27" t="n">
        <v>48.814</v>
      </c>
      <c r="Q26" s="27" t="n">
        <v>95.023</v>
      </c>
      <c r="R26" s="27" t="n">
        <v>0</v>
      </c>
      <c r="S26" s="27" t="n">
        <v>2063.709</v>
      </c>
      <c r="T26" s="27" t="n">
        <v>0</v>
      </c>
      <c r="U26" s="27" t="n">
        <v>11.78</v>
      </c>
      <c r="V26" s="27" t="n">
        <v>0</v>
      </c>
      <c r="W26" s="27" t="n">
        <v>162.415</v>
      </c>
      <c r="X26" s="27" t="n">
        <v>0.101</v>
      </c>
      <c r="Y26" s="27" t="n">
        <v>1.204</v>
      </c>
      <c r="Z26" s="27" t="n">
        <v>162.415</v>
      </c>
    </row>
    <row r="27" customFormat="false" ht="15" hidden="false" customHeight="false" outlineLevel="0" collapsed="false">
      <c r="A27" s="4" t="n">
        <v>2041</v>
      </c>
      <c r="B27" s="27" t="n">
        <v>0</v>
      </c>
      <c r="C27" s="27" t="n">
        <v>0</v>
      </c>
      <c r="D27" s="27" t="n">
        <v>5.537</v>
      </c>
      <c r="E27" s="27" t="n">
        <v>13.096</v>
      </c>
      <c r="F27" s="27" t="n">
        <v>0.22</v>
      </c>
      <c r="G27" s="27" t="n">
        <v>8.505</v>
      </c>
      <c r="H27" s="27" t="n">
        <v>0</v>
      </c>
      <c r="I27" s="27" t="n">
        <v>123.433</v>
      </c>
      <c r="J27" s="27" t="n">
        <v>280.746</v>
      </c>
      <c r="K27" s="27" t="n">
        <v>0</v>
      </c>
      <c r="L27" s="27" t="n">
        <v>57.027</v>
      </c>
      <c r="M27" s="27" t="n">
        <v>0.96</v>
      </c>
      <c r="N27" s="27" t="n">
        <v>22.113</v>
      </c>
      <c r="O27" s="27" t="n">
        <v>27.511</v>
      </c>
      <c r="P27" s="27" t="n">
        <v>49.085</v>
      </c>
      <c r="Q27" s="27" t="n">
        <v>94.939</v>
      </c>
      <c r="R27" s="27" t="n">
        <v>0</v>
      </c>
      <c r="S27" s="27" t="n">
        <v>2143.297</v>
      </c>
      <c r="T27" s="27" t="n">
        <v>0</v>
      </c>
      <c r="U27" s="27" t="n">
        <v>10.727</v>
      </c>
      <c r="V27" s="27" t="n">
        <v>0</v>
      </c>
      <c r="W27" s="27" t="n">
        <v>168.638</v>
      </c>
      <c r="X27" s="27" t="n">
        <v>0.103</v>
      </c>
      <c r="Y27" s="27" t="n">
        <v>1.287</v>
      </c>
      <c r="Z27" s="27" t="n">
        <v>168.638</v>
      </c>
    </row>
    <row r="28" customFormat="false" ht="15" hidden="false" customHeight="false" outlineLevel="0" collapsed="false">
      <c r="A28" s="4" t="n">
        <v>2042</v>
      </c>
      <c r="B28" s="27" t="n">
        <v>0</v>
      </c>
      <c r="C28" s="27" t="n">
        <v>0</v>
      </c>
      <c r="D28" s="27" t="n">
        <v>5.673</v>
      </c>
      <c r="E28" s="27" t="n">
        <v>11.416</v>
      </c>
      <c r="F28" s="27" t="n">
        <v>0.199</v>
      </c>
      <c r="G28" s="27" t="n">
        <v>7.684</v>
      </c>
      <c r="H28" s="27" t="n">
        <v>0</v>
      </c>
      <c r="I28" s="27" t="n">
        <v>112.318</v>
      </c>
      <c r="J28" s="27" t="n">
        <v>289.61</v>
      </c>
      <c r="K28" s="27" t="n">
        <v>0</v>
      </c>
      <c r="L28" s="27" t="n">
        <v>51.296</v>
      </c>
      <c r="M28" s="27" t="n">
        <v>0.96</v>
      </c>
      <c r="N28" s="27" t="n">
        <v>18.902</v>
      </c>
      <c r="O28" s="27" t="n">
        <v>29.43</v>
      </c>
      <c r="P28" s="27" t="n">
        <v>49.342</v>
      </c>
      <c r="Q28" s="27" t="n">
        <v>94.859</v>
      </c>
      <c r="R28" s="27" t="n">
        <v>0</v>
      </c>
      <c r="S28" s="27" t="n">
        <v>2203.577</v>
      </c>
      <c r="T28" s="27" t="n">
        <v>0</v>
      </c>
      <c r="U28" s="27" t="n">
        <v>9.713</v>
      </c>
      <c r="V28" s="27" t="n">
        <v>0</v>
      </c>
      <c r="W28" s="27" t="n">
        <v>173.245</v>
      </c>
      <c r="X28" s="27" t="n">
        <v>0.105</v>
      </c>
      <c r="Y28" s="27" t="n">
        <v>1.335</v>
      </c>
      <c r="Z28" s="27" t="n">
        <v>173.245</v>
      </c>
    </row>
    <row r="29" customFormat="false" ht="15" hidden="false" customHeight="false" outlineLevel="0" collapsed="false">
      <c r="A29" s="4" t="n">
        <v>2043</v>
      </c>
      <c r="B29" s="27" t="n">
        <v>0</v>
      </c>
      <c r="C29" s="27" t="n">
        <v>0</v>
      </c>
      <c r="D29" s="27" t="n">
        <v>5.81</v>
      </c>
      <c r="E29" s="27" t="n">
        <v>10.335</v>
      </c>
      <c r="F29" s="27" t="n">
        <v>0.178</v>
      </c>
      <c r="G29" s="27" t="n">
        <v>6.897</v>
      </c>
      <c r="H29" s="27" t="n">
        <v>0</v>
      </c>
      <c r="I29" s="27" t="n">
        <v>100.951</v>
      </c>
      <c r="J29" s="27" t="n">
        <v>298.424</v>
      </c>
      <c r="K29" s="27" t="n">
        <v>0</v>
      </c>
      <c r="L29" s="27" t="n">
        <v>45.41</v>
      </c>
      <c r="M29" s="27" t="n">
        <v>0.96</v>
      </c>
      <c r="N29" s="27" t="n">
        <v>16.787</v>
      </c>
      <c r="O29" s="27" t="n">
        <v>31.302</v>
      </c>
      <c r="P29" s="27" t="n">
        <v>49.583</v>
      </c>
      <c r="Q29" s="27" t="n">
        <v>94.781</v>
      </c>
      <c r="R29" s="27" t="n">
        <v>0</v>
      </c>
      <c r="S29" s="27" t="n">
        <v>2240.299</v>
      </c>
      <c r="T29" s="27" t="n">
        <v>0</v>
      </c>
      <c r="U29" s="27" t="n">
        <v>8.739</v>
      </c>
      <c r="V29" s="27" t="n">
        <v>0</v>
      </c>
      <c r="W29" s="27" t="n">
        <v>175.977</v>
      </c>
      <c r="X29" s="27" t="n">
        <v>0.108</v>
      </c>
      <c r="Y29" s="27" t="n">
        <v>1.344</v>
      </c>
      <c r="Z29" s="27" t="n">
        <v>175.977</v>
      </c>
    </row>
    <row r="30" customFormat="false" ht="15" hidden="false" customHeight="false" outlineLevel="0" collapsed="false">
      <c r="A30" s="4" t="n">
        <v>2044</v>
      </c>
      <c r="B30" s="27" t="n">
        <v>0</v>
      </c>
      <c r="C30" s="27" t="n">
        <v>0</v>
      </c>
      <c r="D30" s="27" t="n">
        <v>5.95</v>
      </c>
      <c r="E30" s="27" t="n">
        <v>9.352</v>
      </c>
      <c r="F30" s="27" t="n">
        <v>0.159</v>
      </c>
      <c r="G30" s="27" t="n">
        <v>6.144</v>
      </c>
      <c r="H30" s="27" t="n">
        <v>0</v>
      </c>
      <c r="I30" s="27" t="n">
        <v>89.337</v>
      </c>
      <c r="J30" s="27" t="n">
        <v>307.267</v>
      </c>
      <c r="K30" s="27" t="n">
        <v>0</v>
      </c>
      <c r="L30" s="27" t="n">
        <v>39.374</v>
      </c>
      <c r="M30" s="27" t="n">
        <v>0.96</v>
      </c>
      <c r="N30" s="27" t="n">
        <v>15.132</v>
      </c>
      <c r="O30" s="27" t="n">
        <v>33.126</v>
      </c>
      <c r="P30" s="27" t="n">
        <v>49.807</v>
      </c>
      <c r="Q30" s="27" t="n">
        <v>94.706</v>
      </c>
      <c r="R30" s="27" t="n">
        <v>0</v>
      </c>
      <c r="S30" s="27" t="n">
        <v>2300.419</v>
      </c>
      <c r="T30" s="27" t="n">
        <v>0</v>
      </c>
      <c r="U30" s="27" t="n">
        <v>7.802</v>
      </c>
      <c r="V30" s="27" t="n">
        <v>0</v>
      </c>
      <c r="W30" s="27" t="n">
        <v>180.521</v>
      </c>
      <c r="X30" s="27" t="n">
        <v>0.11</v>
      </c>
      <c r="Y30" s="27" t="n">
        <v>1.449</v>
      </c>
      <c r="Z30" s="27" t="n">
        <v>180.521</v>
      </c>
    </row>
    <row r="31" customFormat="false" ht="15" hidden="false" customHeight="false" outlineLevel="0" collapsed="false">
      <c r="A31" s="4" t="n">
        <v>2045</v>
      </c>
      <c r="B31" s="27" t="n">
        <v>0</v>
      </c>
      <c r="C31" s="27" t="n">
        <v>0</v>
      </c>
      <c r="D31" s="27" t="n">
        <v>6.093</v>
      </c>
      <c r="E31" s="27" t="n">
        <v>8.975</v>
      </c>
      <c r="F31" s="27" t="n">
        <v>0.14</v>
      </c>
      <c r="G31" s="27" t="n">
        <v>5.423</v>
      </c>
      <c r="H31" s="27" t="n">
        <v>0</v>
      </c>
      <c r="I31" s="27" t="n">
        <v>77.483</v>
      </c>
      <c r="J31" s="27" t="n">
        <v>315.962</v>
      </c>
      <c r="K31" s="27" t="n">
        <v>0</v>
      </c>
      <c r="L31" s="27" t="n">
        <v>33.19</v>
      </c>
      <c r="M31" s="27" t="n">
        <v>0.96</v>
      </c>
      <c r="N31" s="27" t="n">
        <v>15.011</v>
      </c>
      <c r="O31" s="27" t="n">
        <v>34.901</v>
      </c>
      <c r="P31" s="27" t="n">
        <v>50.012</v>
      </c>
      <c r="Q31" s="27" t="n">
        <v>94.634</v>
      </c>
      <c r="R31" s="27" t="n">
        <v>0</v>
      </c>
      <c r="S31" s="27" t="n">
        <v>2359.917</v>
      </c>
      <c r="T31" s="27" t="n">
        <v>0</v>
      </c>
      <c r="U31" s="27" t="n">
        <v>6.903</v>
      </c>
      <c r="V31" s="27" t="n">
        <v>0</v>
      </c>
      <c r="W31" s="27" t="n">
        <v>184.939</v>
      </c>
      <c r="X31" s="27" t="n">
        <v>0.113</v>
      </c>
      <c r="Y31" s="27" t="n">
        <v>1.665</v>
      </c>
      <c r="Z31" s="27" t="n">
        <v>184.939</v>
      </c>
    </row>
    <row r="32" customFormat="false" ht="15" hidden="false" customHeight="false" outlineLevel="0" collapsed="false">
      <c r="A32" s="4" t="n">
        <v>2046</v>
      </c>
      <c r="B32" s="27" t="n">
        <v>0</v>
      </c>
      <c r="C32" s="27" t="n">
        <v>0</v>
      </c>
      <c r="D32" s="27" t="n">
        <v>6.24</v>
      </c>
      <c r="E32" s="27" t="n">
        <v>9.059</v>
      </c>
      <c r="F32" s="27" t="n">
        <v>0.122</v>
      </c>
      <c r="G32" s="27" t="n">
        <v>4.735</v>
      </c>
      <c r="H32" s="27" t="n">
        <v>0</v>
      </c>
      <c r="I32" s="27" t="n">
        <v>65.396</v>
      </c>
      <c r="J32" s="27" t="n">
        <v>325.074</v>
      </c>
      <c r="K32" s="27" t="n">
        <v>0</v>
      </c>
      <c r="L32" s="27" t="n">
        <v>26.865</v>
      </c>
      <c r="M32" s="27" t="n">
        <v>0.96</v>
      </c>
      <c r="N32" s="27" t="n">
        <v>14.961</v>
      </c>
      <c r="O32" s="27" t="n">
        <v>36.628</v>
      </c>
      <c r="P32" s="27" t="n">
        <v>50.197</v>
      </c>
      <c r="Q32" s="27" t="n">
        <v>94.565</v>
      </c>
      <c r="R32" s="27" t="n">
        <v>0</v>
      </c>
      <c r="S32" s="27" t="n">
        <v>2420.76</v>
      </c>
      <c r="T32" s="27" t="n">
        <v>0</v>
      </c>
      <c r="U32" s="27" t="n">
        <v>6.039</v>
      </c>
      <c r="V32" s="27" t="n">
        <v>0</v>
      </c>
      <c r="W32" s="27" t="n">
        <v>189.54</v>
      </c>
      <c r="X32" s="27" t="n">
        <v>0.115</v>
      </c>
      <c r="Y32" s="27" t="n">
        <v>1.709</v>
      </c>
      <c r="Z32" s="27" t="n">
        <v>189.54</v>
      </c>
    </row>
    <row r="33" customFormat="false" ht="15" hidden="false" customHeight="false" outlineLevel="0" collapsed="false">
      <c r="A33" s="4" t="n">
        <v>2047</v>
      </c>
      <c r="B33" s="27" t="n">
        <v>0</v>
      </c>
      <c r="C33" s="27" t="n">
        <v>0</v>
      </c>
      <c r="D33" s="27" t="n">
        <v>6.391</v>
      </c>
      <c r="E33" s="27" t="n">
        <v>9.154</v>
      </c>
      <c r="F33" s="27" t="n">
        <v>0.105</v>
      </c>
      <c r="G33" s="27" t="n">
        <v>4.077</v>
      </c>
      <c r="H33" s="27" t="n">
        <v>0</v>
      </c>
      <c r="I33" s="27" t="n">
        <v>53.084</v>
      </c>
      <c r="J33" s="27" t="n">
        <v>334.21</v>
      </c>
      <c r="K33" s="27" t="n">
        <v>0</v>
      </c>
      <c r="L33" s="27" t="n">
        <v>20.403</v>
      </c>
      <c r="M33" s="27" t="n">
        <v>0.96</v>
      </c>
      <c r="N33" s="27" t="n">
        <v>14.91</v>
      </c>
      <c r="O33" s="27" t="n">
        <v>38.305</v>
      </c>
      <c r="P33" s="27" t="n">
        <v>50.359</v>
      </c>
      <c r="Q33" s="27" t="n">
        <v>94.499</v>
      </c>
      <c r="R33" s="27" t="n">
        <v>0</v>
      </c>
      <c r="S33" s="27" t="n">
        <v>2480.642</v>
      </c>
      <c r="T33" s="27" t="n">
        <v>0</v>
      </c>
      <c r="U33" s="27" t="n">
        <v>5.211</v>
      </c>
      <c r="V33" s="27" t="n">
        <v>0</v>
      </c>
      <c r="W33" s="27" t="n">
        <v>194.035</v>
      </c>
      <c r="X33" s="27" t="n">
        <v>0.118</v>
      </c>
      <c r="Y33" s="27" t="n">
        <v>1.75</v>
      </c>
      <c r="Z33" s="27" t="n">
        <v>194.035</v>
      </c>
    </row>
    <row r="34" customFormat="false" ht="15" hidden="false" customHeight="false" outlineLevel="0" collapsed="false">
      <c r="A34" s="4" t="n">
        <v>2048</v>
      </c>
      <c r="B34" s="27" t="n">
        <v>0</v>
      </c>
      <c r="C34" s="27" t="n">
        <v>0</v>
      </c>
      <c r="D34" s="27" t="n">
        <v>6.545</v>
      </c>
      <c r="E34" s="27" t="n">
        <v>9.259</v>
      </c>
      <c r="F34" s="27" t="n">
        <v>0.089</v>
      </c>
      <c r="G34" s="27" t="n">
        <v>3.45</v>
      </c>
      <c r="H34" s="27" t="n">
        <v>0</v>
      </c>
      <c r="I34" s="27" t="n">
        <v>40.559</v>
      </c>
      <c r="J34" s="27" t="n">
        <v>343.367</v>
      </c>
      <c r="K34" s="27" t="n">
        <v>0</v>
      </c>
      <c r="L34" s="27" t="n">
        <v>13.812</v>
      </c>
      <c r="M34" s="27" t="n">
        <v>0.96</v>
      </c>
      <c r="N34" s="27" t="n">
        <v>14.859</v>
      </c>
      <c r="O34" s="27" t="n">
        <v>39.931</v>
      </c>
      <c r="P34" s="27" t="n">
        <v>50.498</v>
      </c>
      <c r="Q34" s="27" t="n">
        <v>94.435</v>
      </c>
      <c r="R34" s="27" t="n">
        <v>0</v>
      </c>
      <c r="S34" s="27" t="n">
        <v>2540.03</v>
      </c>
      <c r="T34" s="27" t="n">
        <v>0</v>
      </c>
      <c r="U34" s="27" t="n">
        <v>4.418</v>
      </c>
      <c r="V34" s="27" t="n">
        <v>0</v>
      </c>
      <c r="W34" s="27" t="n">
        <v>198.457</v>
      </c>
      <c r="X34" s="27" t="n">
        <v>0.121</v>
      </c>
      <c r="Y34" s="27" t="n">
        <v>1.788</v>
      </c>
      <c r="Z34" s="27" t="n">
        <v>198.457</v>
      </c>
    </row>
    <row r="35" customFormat="false" ht="15" hidden="false" customHeight="false" outlineLevel="0" collapsed="false">
      <c r="A35" s="4" t="n">
        <v>2049</v>
      </c>
      <c r="B35" s="27" t="n">
        <v>0</v>
      </c>
      <c r="C35" s="27" t="n">
        <v>0</v>
      </c>
      <c r="D35" s="27" t="n">
        <v>6.704</v>
      </c>
      <c r="E35" s="27" t="n">
        <v>9.376</v>
      </c>
      <c r="F35" s="27" t="n">
        <v>0.074</v>
      </c>
      <c r="G35" s="27" t="n">
        <v>2.853</v>
      </c>
      <c r="H35" s="27" t="n">
        <v>0</v>
      </c>
      <c r="I35" s="27" t="n">
        <v>27.832</v>
      </c>
      <c r="J35" s="27" t="n">
        <v>352.6</v>
      </c>
      <c r="K35" s="27" t="n">
        <v>0</v>
      </c>
      <c r="L35" s="27" t="n">
        <v>7.099</v>
      </c>
      <c r="M35" s="27" t="n">
        <v>0.96</v>
      </c>
      <c r="N35" s="27" t="n">
        <v>14.807</v>
      </c>
      <c r="O35" s="27" t="n">
        <v>41.504</v>
      </c>
      <c r="P35" s="27" t="n">
        <v>50.612</v>
      </c>
      <c r="Q35" s="27" t="n">
        <v>94.375</v>
      </c>
      <c r="R35" s="27" t="n">
        <v>0</v>
      </c>
      <c r="S35" s="27" t="n">
        <v>2598.166</v>
      </c>
      <c r="T35" s="27" t="n">
        <v>0</v>
      </c>
      <c r="U35" s="27" t="n">
        <v>3.661</v>
      </c>
      <c r="V35" s="27" t="n">
        <v>0</v>
      </c>
      <c r="W35" s="27" t="n">
        <v>202.761</v>
      </c>
      <c r="X35" s="27" t="n">
        <v>0.124</v>
      </c>
      <c r="Y35" s="27" t="n">
        <v>1.823</v>
      </c>
      <c r="Z35" s="27" t="n">
        <v>202.761</v>
      </c>
    </row>
    <row r="36" customFormat="false" ht="15" hidden="false" customHeight="false" outlineLevel="0" collapsed="false">
      <c r="A36" s="4" t="n">
        <v>2050</v>
      </c>
      <c r="B36" s="27" t="n">
        <v>0</v>
      </c>
      <c r="C36" s="27" t="n">
        <v>0</v>
      </c>
      <c r="D36" s="27" t="n">
        <v>6.866</v>
      </c>
      <c r="E36" s="27" t="n">
        <v>9.503</v>
      </c>
      <c r="F36" s="27" t="n">
        <v>0.059</v>
      </c>
      <c r="G36" s="27" t="n">
        <v>2.284</v>
      </c>
      <c r="H36" s="27" t="n">
        <v>0</v>
      </c>
      <c r="I36" s="27" t="n">
        <v>14.918</v>
      </c>
      <c r="J36" s="27" t="n">
        <v>361.853</v>
      </c>
      <c r="K36" s="27" t="n">
        <v>0</v>
      </c>
      <c r="L36" s="27" t="n">
        <v>0.274</v>
      </c>
      <c r="M36" s="27" t="n">
        <v>0.96</v>
      </c>
      <c r="N36" s="27" t="n">
        <v>14.755</v>
      </c>
      <c r="O36" s="27" t="n">
        <v>43.023</v>
      </c>
      <c r="P36" s="27" t="n">
        <v>50.699</v>
      </c>
      <c r="Q36" s="27" t="n">
        <v>94.316</v>
      </c>
      <c r="R36" s="27" t="n">
        <v>0</v>
      </c>
      <c r="S36" s="27" t="n">
        <v>2656.329</v>
      </c>
      <c r="T36" s="27" t="n">
        <v>0</v>
      </c>
      <c r="U36" s="27" t="n">
        <v>2.936</v>
      </c>
      <c r="V36" s="27" t="n">
        <v>0</v>
      </c>
      <c r="W36" s="27" t="n">
        <v>207.032</v>
      </c>
      <c r="X36" s="27" t="n">
        <v>0.127</v>
      </c>
      <c r="Y36" s="27" t="n">
        <v>1.855</v>
      </c>
      <c r="Z36" s="27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278</v>
      </c>
    </row>
    <row r="2" customFormat="false" ht="15" hidden="false" customHeight="false" outlineLevel="0" collapsed="false">
      <c r="A2" s="22" t="s">
        <v>279</v>
      </c>
    </row>
    <row r="3" customFormat="false" ht="15" hidden="false" customHeight="false" outlineLevel="0" collapsed="false">
      <c r="A3" s="22" t="s">
        <v>280</v>
      </c>
    </row>
    <row r="5" customFormat="false" ht="26.85" hidden="false" customHeight="false" outlineLevel="0" collapsed="false">
      <c r="A5" s="3" t="s">
        <v>281</v>
      </c>
      <c r="B5" s="3" t="s">
        <v>282</v>
      </c>
      <c r="C5" s="3" t="s">
        <v>283</v>
      </c>
      <c r="D5" s="3" t="s">
        <v>284</v>
      </c>
    </row>
    <row r="6" customFormat="false" ht="15" hidden="false" customHeight="false" outlineLevel="0" collapsed="false">
      <c r="A6" s="4" t="s">
        <v>285</v>
      </c>
      <c r="B6" s="28" t="n">
        <v>372</v>
      </c>
      <c r="C6" s="8" t="n">
        <f aca="false">B6/B$10</f>
        <v>0.145142411236832</v>
      </c>
      <c r="D6" s="29" t="n">
        <f aca="false">C6*500</f>
        <v>72.5712056184159</v>
      </c>
    </row>
    <row r="7" customFormat="false" ht="15" hidden="false" customHeight="false" outlineLevel="0" collapsed="false">
      <c r="A7" s="4" t="s">
        <v>286</v>
      </c>
      <c r="B7" s="28" t="n">
        <v>339</v>
      </c>
      <c r="C7" s="8" t="n">
        <f aca="false">B7/B$10</f>
        <v>0.132266874756145</v>
      </c>
      <c r="D7" s="29" t="n">
        <f aca="false">C7*500</f>
        <v>66.1334373780726</v>
      </c>
    </row>
    <row r="8" customFormat="false" ht="15" hidden="false" customHeight="false" outlineLevel="0" collapsed="false">
      <c r="A8" s="4" t="s">
        <v>287</v>
      </c>
      <c r="B8" s="28" t="n">
        <v>862</v>
      </c>
      <c r="C8" s="8" t="n">
        <f aca="false">B8/B$10</f>
        <v>0.336324619586422</v>
      </c>
      <c r="D8" s="29" t="n">
        <f aca="false">C8*500</f>
        <v>168.162309793211</v>
      </c>
    </row>
    <row r="9" customFormat="false" ht="15" hidden="false" customHeight="false" outlineLevel="0" collapsed="false">
      <c r="A9" s="4" t="s">
        <v>288</v>
      </c>
      <c r="B9" s="28" t="n">
        <v>990</v>
      </c>
      <c r="C9" s="8" t="n">
        <f aca="false">B9/B$10</f>
        <v>0.386266094420601</v>
      </c>
      <c r="D9" s="29" t="n">
        <f aca="false">C9*500</f>
        <v>193.1330472103</v>
      </c>
    </row>
    <row r="10" customFormat="false" ht="15" hidden="false" customHeight="false" outlineLevel="0" collapsed="false">
      <c r="A10" s="10" t="s">
        <v>289</v>
      </c>
      <c r="B10" s="10" t="n">
        <f aca="false">SUM(B6:B9)</f>
        <v>2563</v>
      </c>
      <c r="C10" s="12"/>
      <c r="D10" s="30" t="n">
        <f aca="false">SUM(D6:D9)</f>
        <v>500</v>
      </c>
    </row>
    <row r="12" customFormat="false" ht="15" hidden="false" customHeight="false" outlineLevel="0" collapsed="false">
      <c r="A12" s="13" t="s">
        <v>290</v>
      </c>
    </row>
    <row r="13" customFormat="false" ht="15" hidden="false" customHeight="false" outlineLevel="0" collapsed="false">
      <c r="A13" s="4" t="s">
        <v>291</v>
      </c>
      <c r="B13" s="31" t="n">
        <v>299</v>
      </c>
      <c r="C13" s="32" t="s">
        <v>292</v>
      </c>
    </row>
    <row r="14" customFormat="false" ht="15" hidden="false" customHeight="false" outlineLevel="0" collapsed="false">
      <c r="A14" s="4" t="s">
        <v>293</v>
      </c>
      <c r="B14" s="31" t="n">
        <v>152</v>
      </c>
      <c r="C14" s="32" t="s">
        <v>292</v>
      </c>
    </row>
    <row r="16" customFormat="false" ht="15" hidden="false" customHeight="false" outlineLevel="0" collapsed="false">
      <c r="A16" s="33" t="s">
        <v>294</v>
      </c>
    </row>
    <row r="17" customFormat="false" ht="15" hidden="false" customHeight="false" outlineLevel="0" collapsed="false">
      <c r="A17" s="22" t="s">
        <v>295</v>
      </c>
    </row>
    <row r="18" customFormat="false" ht="15" hidden="false" customHeight="false" outlineLevel="0" collapsed="false">
      <c r="A18" s="22" t="s">
        <v>296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297</v>
      </c>
    </row>
    <row r="21" customFormat="false" ht="15" hidden="false" customHeight="false" outlineLevel="0" collapsed="false">
      <c r="A21" s="22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300</v>
      </c>
    </row>
    <row r="4" customFormat="false" ht="15" hidden="false" customHeight="false" outlineLevel="0" collapsed="false">
      <c r="A4" s="2" t="s">
        <v>301</v>
      </c>
    </row>
    <row r="5" customFormat="false" ht="15" hidden="false" customHeight="false" outlineLevel="0" collapsed="false">
      <c r="A5" s="2" t="s">
        <v>302</v>
      </c>
    </row>
    <row r="6" customFormat="false" ht="15" hidden="false" customHeight="false" outlineLevel="0" collapsed="false">
      <c r="A6" s="2" t="s">
        <v>303</v>
      </c>
    </row>
    <row r="7" customFormat="false" ht="15" hidden="false" customHeight="false" outlineLevel="0" collapsed="false">
      <c r="A7" s="2" t="s">
        <v>304</v>
      </c>
    </row>
    <row r="8" customFormat="false" ht="15" hidden="false" customHeight="false" outlineLevel="0" collapsed="false">
      <c r="A8" s="2" t="s">
        <v>305</v>
      </c>
    </row>
    <row r="9" customFormat="false" ht="15" hidden="false" customHeight="false" outlineLevel="0" collapsed="false">
      <c r="A9" s="2" t="s">
        <v>306</v>
      </c>
    </row>
    <row r="10" customFormat="false" ht="15" hidden="false" customHeight="false" outlineLevel="0" collapsed="false">
      <c r="A10" s="2" t="s">
        <v>307</v>
      </c>
    </row>
    <row r="11" customFormat="false" ht="15" hidden="false" customHeight="false" outlineLevel="0" collapsed="false">
      <c r="A11" s="2" t="s">
        <v>308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309</v>
      </c>
    </row>
    <row r="14" customFormat="false" ht="15" hidden="false" customHeight="false" outlineLevel="0" collapsed="false">
      <c r="A14" s="2" t="s">
        <v>310</v>
      </c>
    </row>
    <row r="15" customFormat="false" ht="15" hidden="false" customHeight="false" outlineLevel="0" collapsed="false">
      <c r="A15" s="2" t="s">
        <v>311</v>
      </c>
    </row>
    <row r="16" customFormat="false" ht="15" hidden="false" customHeight="false" outlineLevel="0" collapsed="false">
      <c r="A16" s="2" t="s">
        <v>312</v>
      </c>
    </row>
    <row r="17" customFormat="false" ht="15" hidden="false" customHeight="false" outlineLevel="0" collapsed="false">
      <c r="A17" s="2" t="s">
        <v>313</v>
      </c>
    </row>
    <row r="18" customFormat="false" ht="15" hidden="false" customHeight="false" outlineLevel="0" collapsed="false">
      <c r="A18" s="2" t="s">
        <v>314</v>
      </c>
    </row>
    <row r="19" customFormat="false" ht="15" hidden="false" customHeight="false" outlineLevel="0" collapsed="false">
      <c r="A19" s="2" t="s">
        <v>315</v>
      </c>
    </row>
    <row r="20" customFormat="false" ht="15" hidden="false" customHeight="false" outlineLevel="0" collapsed="false">
      <c r="A20" s="2" t="s">
        <v>316</v>
      </c>
    </row>
    <row r="21" customFormat="false" ht="15" hidden="false" customHeight="false" outlineLevel="0" collapsed="false">
      <c r="A21" s="2" t="s">
        <v>317</v>
      </c>
    </row>
    <row r="22" customFormat="false" ht="15" hidden="false" customHeight="false" outlineLevel="0" collapsed="false">
      <c r="A22" s="2" t="s">
        <v>318</v>
      </c>
    </row>
    <row r="23" customFormat="false" ht="15" hidden="false" customHeight="false" outlineLevel="0" collapsed="false">
      <c r="A23" s="2" t="s">
        <v>319</v>
      </c>
    </row>
    <row r="24" customFormat="false" ht="15" hidden="false" customHeight="false" outlineLevel="0" collapsed="false">
      <c r="A24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321</v>
      </c>
    </row>
    <row r="2" customFormat="false" ht="15" hidden="false" customHeight="false" outlineLevel="0" collapsed="false">
      <c r="A2" s="22" t="s">
        <v>322</v>
      </c>
    </row>
    <row r="3" customFormat="false" ht="15" hidden="false" customHeight="false" outlineLevel="0" collapsed="false">
      <c r="A3" s="34" t="s">
        <v>323</v>
      </c>
    </row>
    <row r="5" customFormat="false" ht="26.85" hidden="false" customHeight="false" outlineLevel="0" collapsed="false">
      <c r="A5" s="3" t="s">
        <v>169</v>
      </c>
      <c r="B5" s="3" t="s">
        <v>324</v>
      </c>
      <c r="C5" s="3" t="s">
        <v>325</v>
      </c>
      <c r="D5" s="3" t="s">
        <v>326</v>
      </c>
      <c r="E5" s="3" t="s">
        <v>327</v>
      </c>
      <c r="F5" s="3" t="s">
        <v>328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5" t="s">
        <v>329</v>
      </c>
      <c r="F6" s="36" t="s">
        <v>330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5" t="s">
        <v>329</v>
      </c>
      <c r="F7" s="36" t="s">
        <v>331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5" t="s">
        <v>329</v>
      </c>
      <c r="F8" s="36" t="s">
        <v>331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5" t="s">
        <v>329</v>
      </c>
      <c r="F9" s="36" t="s">
        <v>330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5" t="s">
        <v>329</v>
      </c>
      <c r="F10" s="36" t="s">
        <v>331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5" t="s">
        <v>329</v>
      </c>
      <c r="F11" s="36" t="s">
        <v>331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5" t="s">
        <v>329</v>
      </c>
      <c r="F12" s="36" t="s">
        <v>331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5" t="s">
        <v>329</v>
      </c>
      <c r="F13" s="36" t="s">
        <v>330</v>
      </c>
    </row>
    <row r="14" customFormat="false" ht="15" hidden="false" customHeight="false" outlineLevel="0" collapsed="false">
      <c r="A14" s="4" t="s">
        <v>332</v>
      </c>
      <c r="B14" s="7" t="n">
        <v>0</v>
      </c>
      <c r="C14" s="7" t="n">
        <v>17.427</v>
      </c>
      <c r="D14" s="7" t="n">
        <v>17.427</v>
      </c>
      <c r="E14" s="35" t="s">
        <v>329</v>
      </c>
      <c r="F14" s="36" t="s">
        <v>330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5" t="s">
        <v>329</v>
      </c>
      <c r="F15" s="36" t="s">
        <v>331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5" t="s">
        <v>329</v>
      </c>
      <c r="F16" s="36" t="s">
        <v>330</v>
      </c>
    </row>
    <row r="17" customFormat="false" ht="15" hidden="false" customHeight="false" outlineLevel="0" collapsed="false">
      <c r="A17" s="4" t="s">
        <v>333</v>
      </c>
      <c r="B17" s="7" t="n">
        <v>0</v>
      </c>
      <c r="C17" s="7" t="n">
        <v>8.135</v>
      </c>
      <c r="D17" s="7" t="n">
        <v>8.135</v>
      </c>
      <c r="E17" s="35" t="s">
        <v>329</v>
      </c>
      <c r="F17" s="36" t="s">
        <v>331</v>
      </c>
    </row>
    <row r="18" customFormat="false" ht="15" hidden="false" customHeight="false" outlineLevel="0" collapsed="false">
      <c r="A18" s="4" t="s">
        <v>334</v>
      </c>
      <c r="B18" s="7" t="n">
        <v>0</v>
      </c>
      <c r="C18" s="7" t="n">
        <v>4.795</v>
      </c>
      <c r="D18" s="7" t="n">
        <v>4.795</v>
      </c>
      <c r="E18" s="35" t="s">
        <v>329</v>
      </c>
      <c r="F18" s="36" t="s">
        <v>331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5" t="s">
        <v>329</v>
      </c>
      <c r="F19" s="36" t="s">
        <v>331</v>
      </c>
    </row>
    <row r="20" customFormat="false" ht="15" hidden="false" customHeight="false" outlineLevel="0" collapsed="false">
      <c r="A20" s="4" t="s">
        <v>335</v>
      </c>
      <c r="B20" s="7" t="n">
        <v>0</v>
      </c>
      <c r="C20" s="7" t="n">
        <v>0.047</v>
      </c>
      <c r="D20" s="7" t="n">
        <v>0.047</v>
      </c>
      <c r="E20" s="35" t="s">
        <v>329</v>
      </c>
      <c r="F20" s="36" t="s">
        <v>336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5" t="s">
        <v>329</v>
      </c>
      <c r="F21" s="36" t="s">
        <v>331</v>
      </c>
    </row>
    <row r="23" customFormat="false" ht="15" hidden="false" customHeight="false" outlineLevel="0" collapsed="false">
      <c r="A23" s="33" t="s">
        <v>337</v>
      </c>
    </row>
    <row r="24" customFormat="false" ht="15" hidden="false" customHeight="false" outlineLevel="0" collapsed="false">
      <c r="A24" s="21" t="s">
        <v>338</v>
      </c>
    </row>
    <row r="25" customFormat="false" ht="15" hidden="false" customHeight="false" outlineLevel="0" collapsed="false">
      <c r="A25" s="21" t="s">
        <v>339</v>
      </c>
    </row>
    <row r="26" customFormat="false" ht="15" hidden="false" customHeight="false" outlineLevel="0" collapsed="false">
      <c r="A26" s="21" t="s">
        <v>340</v>
      </c>
    </row>
    <row r="27" customFormat="false" ht="15" hidden="false" customHeight="false" outlineLevel="0" collapsed="false">
      <c r="A27" s="21" t="s">
        <v>341</v>
      </c>
    </row>
    <row r="28" customFormat="false" ht="15" hidden="false" customHeight="false" outlineLevel="0" collapsed="false">
      <c r="A28" s="21" t="s">
        <v>342</v>
      </c>
    </row>
    <row r="29" customFormat="false" ht="15" hidden="false" customHeight="false" outlineLevel="0" collapsed="false">
      <c r="A29" s="21" t="s">
        <v>343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344</v>
      </c>
    </row>
    <row r="32" customFormat="false" ht="15" hidden="false" customHeight="false" outlineLevel="0" collapsed="false">
      <c r="A32" s="21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2026-07-27T23:36:57Z</dcterms:created>
  <dc:creator>openpyxl</dc:creator>
  <dc:description/>
  <dc:language>en-US</dc:language>
  <cp:lastModifiedBy/>
  <dcterms:modified xsi:type="dcterms:W3CDTF">2026-07-27T17:37:01Z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